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ontariogov-my.sharepoint.com/personal/geordie_mcruer_ontario_ca/Documents/Documents/R Projects/Analysis/tina_tracker/data/"/>
    </mc:Choice>
  </mc:AlternateContent>
  <xr:revisionPtr revIDLastSave="153" documentId="8_{C30174FA-765F-4863-A2F6-39D6753D3318}" xr6:coauthVersionLast="47" xr6:coauthVersionMax="47" xr10:uidLastSave="{ADD2BEF7-27BB-4B9C-B930-4971EE1FA93A}"/>
  <workbookProtection lockStructure="1"/>
  <bookViews>
    <workbookView xWindow="-285" yWindow="-16320" windowWidth="29040" windowHeight="15720" tabRatio="564" firstSheet="1" activeTab="4" xr2:uid="{90454EDD-A9ED-4C62-BC67-EDE77C4C0816}"/>
  </bookViews>
  <sheets>
    <sheet name="form" sheetId="34" state="hidden" r:id="rId1"/>
    <sheet name="Instructions and Glossary" sheetId="29" r:id="rId2"/>
    <sheet name="Board Contacts" sheetId="30" r:id="rId3"/>
    <sheet name="Basic Project Info" sheetId="33" r:id="rId4"/>
    <sheet name="Monthly Update" sheetId="2" r:id="rId5"/>
    <sheet name="Errors" sheetId="36" r:id="rId6"/>
    <sheet name="Ad-Hoc or Potential Projects" sheetId="13" r:id="rId7"/>
    <sheet name="Project Commitment" sheetId="12" r:id="rId8"/>
    <sheet name="Constants" sheetId="35" state="hidden" r:id="rId9"/>
    <sheet name="List" sheetId="5" state="hidden" r:id="rId10"/>
    <sheet name="Translation" sheetId="23" state="hidden"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M11" i="2" l="1" a="1"/>
  <c r="DM11" i="2" s="1"/>
  <c r="EO11" i="2" a="1"/>
  <c r="EO11" i="2" s="1"/>
  <c r="AW11" i="36" s="1" a="1"/>
  <c r="AW11" i="36" s="1"/>
  <c r="EN11" i="2" a="1"/>
  <c r="EN11" i="2"/>
  <c r="EM11" i="2" a="1"/>
  <c r="EM11" i="2" s="1"/>
  <c r="AU11" i="36" s="1" a="1"/>
  <c r="AU11" i="36" s="1"/>
  <c r="EL11" i="2" a="1"/>
  <c r="EL11" i="2" s="1"/>
  <c r="AT11" i="36" s="1" a="1"/>
  <c r="AT11" i="36" s="1"/>
  <c r="EK11" i="2" a="1"/>
  <c r="EK11" i="2" s="1"/>
  <c r="AS11" i="36" s="1" a="1"/>
  <c r="AS11" i="36" s="1"/>
  <c r="EE11" i="2" a="1"/>
  <c r="EE11" i="2" s="1"/>
  <c r="AM11" i="36" s="1" a="1"/>
  <c r="AM11" i="36" s="1"/>
  <c r="EC11" i="2" a="1"/>
  <c r="EC11" i="2" s="1"/>
  <c r="AK11" i="36" s="1" a="1"/>
  <c r="AK11" i="36" s="1"/>
  <c r="EA11" i="2" a="1"/>
  <c r="EA11" i="2" s="1"/>
  <c r="AI11" i="36" s="1" a="1"/>
  <c r="AI11" i="36" s="1"/>
  <c r="DY11" i="2" a="1"/>
  <c r="DY11" i="2" s="1"/>
  <c r="AG11" i="36" s="1" a="1"/>
  <c r="AG11" i="36" s="1"/>
  <c r="DW11" i="2" a="1"/>
  <c r="DW11" i="2" s="1"/>
  <c r="AE11" i="36" s="1" a="1"/>
  <c r="AE11" i="36" s="1"/>
  <c r="DV11" i="2" a="1"/>
  <c r="DV11" i="2" s="1"/>
  <c r="AD11" i="36" s="1" a="1"/>
  <c r="AD11" i="36" s="1"/>
  <c r="DU11" i="2" a="1"/>
  <c r="DU11" i="2" s="1"/>
  <c r="AC11" i="36" s="1" a="1"/>
  <c r="AC11" i="36" s="1"/>
  <c r="DT11" i="2" a="1"/>
  <c r="DT11" i="2" s="1"/>
  <c r="AB11" i="36" s="1" a="1"/>
  <c r="AB11" i="36" s="1"/>
  <c r="DR11" i="2" a="1"/>
  <c r="DR11" i="2" s="1"/>
  <c r="Z11" i="36" s="1" a="1"/>
  <c r="Z11" i="36" s="1"/>
  <c r="DP11" i="2" a="1"/>
  <c r="DP11" i="2" s="1"/>
  <c r="X11" i="36" s="1" a="1"/>
  <c r="X11" i="36" s="1"/>
  <c r="DO11" i="2" a="1"/>
  <c r="DO11" i="2" s="1"/>
  <c r="W11" i="36" s="1" a="1"/>
  <c r="W11" i="36" s="1"/>
  <c r="DL11" i="2" a="1"/>
  <c r="DL11" i="2" s="1"/>
  <c r="DK11" i="2"/>
  <c r="DI11" i="2" a="1"/>
  <c r="DI11" i="2" s="1"/>
  <c r="Q11" i="36" s="1" a="1"/>
  <c r="Q11" i="36" s="1"/>
  <c r="DH11" i="2" a="1"/>
  <c r="DH11" i="2" s="1"/>
  <c r="P11" i="36" s="1" a="1"/>
  <c r="P11" i="36" s="1"/>
  <c r="DG11" i="2" a="1"/>
  <c r="DG11" i="2" s="1"/>
  <c r="O11" i="36" s="1" a="1"/>
  <c r="O11" i="36" s="1"/>
  <c r="DE11" i="2" a="1"/>
  <c r="DE11" i="2" s="1"/>
  <c r="DD11" i="2" a="1"/>
  <c r="DD11" i="2" s="1"/>
  <c r="L11" i="36" s="1" a="1"/>
  <c r="L11" i="36" s="1"/>
  <c r="DC11" i="2" a="1"/>
  <c r="DC11" i="2" s="1"/>
  <c r="K11" i="36" s="1" a="1"/>
  <c r="K11" i="36" s="1"/>
  <c r="DA11" i="2" a="1"/>
  <c r="DA11" i="2" s="1"/>
  <c r="CZ11" i="2" a="1"/>
  <c r="CZ11" i="2" s="1"/>
  <c r="H11" i="36" s="1" a="1"/>
  <c r="H11" i="36" s="1"/>
  <c r="CU11" i="2"/>
  <c r="AW86" i="36" a="1"/>
  <c r="AW86" i="36" s="1"/>
  <c r="AV86" i="36" a="1"/>
  <c r="AV86" i="36" s="1"/>
  <c r="AU86" i="36" a="1"/>
  <c r="AU86" i="36" s="1"/>
  <c r="AT86" i="36" a="1"/>
  <c r="AT86" i="36" s="1"/>
  <c r="AS86" i="36" a="1"/>
  <c r="AS86" i="36" s="1"/>
  <c r="AR86" i="36" a="1"/>
  <c r="AR86" i="36" s="1"/>
  <c r="AQ86" i="36" a="1"/>
  <c r="AQ86" i="36" s="1"/>
  <c r="AP86" i="36" a="1"/>
  <c r="AP86" i="36" s="1"/>
  <c r="AO86" i="36" a="1"/>
  <c r="AO86" i="36" s="1"/>
  <c r="AN86" i="36" a="1"/>
  <c r="AN86" i="36" s="1"/>
  <c r="AM86" i="36" a="1"/>
  <c r="AM86" i="36" s="1"/>
  <c r="AL86" i="36" a="1"/>
  <c r="AL86" i="36" s="1"/>
  <c r="AK86" i="36" a="1"/>
  <c r="AK86" i="36" s="1"/>
  <c r="AJ86" i="36" a="1"/>
  <c r="AJ86" i="36" s="1"/>
  <c r="AI86" i="36" a="1"/>
  <c r="AI86" i="36" s="1"/>
  <c r="AH86" i="36" a="1"/>
  <c r="AH86" i="36" s="1"/>
  <c r="AG86" i="36" a="1"/>
  <c r="AG86" i="36" s="1"/>
  <c r="AF86" i="36" a="1"/>
  <c r="AF86" i="36" s="1"/>
  <c r="AE86" i="36" a="1"/>
  <c r="AE86" i="36" s="1"/>
  <c r="AD86" i="36" a="1"/>
  <c r="AD86" i="36" s="1"/>
  <c r="AC86" i="36" a="1"/>
  <c r="AC86" i="36" s="1"/>
  <c r="AB86" i="36" a="1"/>
  <c r="AB86" i="36" s="1"/>
  <c r="AA86" i="36" a="1"/>
  <c r="AA86" i="36" s="1"/>
  <c r="Z86" i="36" a="1"/>
  <c r="Z86" i="36" s="1"/>
  <c r="Y86" i="36" a="1"/>
  <c r="Y86" i="36" s="1"/>
  <c r="X86" i="36" a="1"/>
  <c r="X86" i="36" s="1"/>
  <c r="W86" i="36" a="1"/>
  <c r="W86" i="36" s="1"/>
  <c r="V86" i="36" a="1"/>
  <c r="V86" i="36" s="1"/>
  <c r="U86" i="36" a="1"/>
  <c r="U86" i="36" s="1"/>
  <c r="T86" i="36" a="1"/>
  <c r="T86" i="36" s="1"/>
  <c r="S86" i="36" a="1"/>
  <c r="S86" i="36" s="1"/>
  <c r="R86" i="36" a="1"/>
  <c r="R86" i="36" s="1"/>
  <c r="Q86" i="36" a="1"/>
  <c r="Q86" i="36" s="1"/>
  <c r="P86" i="36" a="1"/>
  <c r="P86" i="36" s="1"/>
  <c r="O86" i="36" a="1"/>
  <c r="O86" i="36" s="1"/>
  <c r="N86" i="36" a="1"/>
  <c r="N86" i="36" s="1"/>
  <c r="M86" i="36" a="1"/>
  <c r="M86" i="36" s="1"/>
  <c r="L86" i="36" a="1"/>
  <c r="L86" i="36" s="1"/>
  <c r="K86" i="36" a="1"/>
  <c r="K86" i="36" s="1"/>
  <c r="J86" i="36" a="1"/>
  <c r="J86" i="36" s="1"/>
  <c r="I86" i="36" a="1"/>
  <c r="I86" i="36" s="1"/>
  <c r="H86" i="36" a="1"/>
  <c r="H86" i="36" s="1"/>
  <c r="G86" i="36" a="1"/>
  <c r="G86" i="36" s="1"/>
  <c r="F86" i="36" a="1"/>
  <c r="F86" i="36" s="1"/>
  <c r="E86" i="36" a="1"/>
  <c r="E86" i="36" s="1"/>
  <c r="D86" i="36" a="1"/>
  <c r="D86" i="36" s="1"/>
  <c r="C86" i="36" a="1"/>
  <c r="C86" i="36" s="1"/>
  <c r="AW85" i="36" a="1"/>
  <c r="AW85" i="36" s="1"/>
  <c r="AV85" i="36" a="1"/>
  <c r="AV85" i="36" s="1"/>
  <c r="AU85" i="36" a="1"/>
  <c r="AU85" i="36" s="1"/>
  <c r="AT85" i="36" a="1"/>
  <c r="AT85" i="36" s="1"/>
  <c r="AS85" i="36" a="1"/>
  <c r="AS85" i="36" s="1"/>
  <c r="AR85" i="36" a="1"/>
  <c r="AR85" i="36" s="1"/>
  <c r="AQ85" i="36" a="1"/>
  <c r="AQ85" i="36" s="1"/>
  <c r="AP85" i="36" a="1"/>
  <c r="AP85" i="36" s="1"/>
  <c r="AO85" i="36" a="1"/>
  <c r="AO85" i="36" s="1"/>
  <c r="AN85" i="36" a="1"/>
  <c r="AN85" i="36" s="1"/>
  <c r="AM85" i="36" a="1"/>
  <c r="AM85" i="36" s="1"/>
  <c r="AL85" i="36" a="1"/>
  <c r="AL85" i="36" s="1"/>
  <c r="AK85" i="36" a="1"/>
  <c r="AK85" i="36" s="1"/>
  <c r="AJ85" i="36" a="1"/>
  <c r="AJ85" i="36" s="1"/>
  <c r="AI85" i="36" a="1"/>
  <c r="AI85" i="36" s="1"/>
  <c r="AH85" i="36" a="1"/>
  <c r="AH85" i="36" s="1"/>
  <c r="AG85" i="36" a="1"/>
  <c r="AG85" i="36" s="1"/>
  <c r="AF85" i="36" a="1"/>
  <c r="AF85" i="36" s="1"/>
  <c r="AE85" i="36" a="1"/>
  <c r="AE85" i="36" s="1"/>
  <c r="AD85" i="36" a="1"/>
  <c r="AD85" i="36" s="1"/>
  <c r="AC85" i="36" a="1"/>
  <c r="AC85" i="36" s="1"/>
  <c r="AB85" i="36" a="1"/>
  <c r="AB85" i="36" s="1"/>
  <c r="AA85" i="36" a="1"/>
  <c r="AA85" i="36" s="1"/>
  <c r="Z85" i="36" a="1"/>
  <c r="Z85" i="36" s="1"/>
  <c r="Y85" i="36" a="1"/>
  <c r="Y85" i="36" s="1"/>
  <c r="X85" i="36" a="1"/>
  <c r="X85" i="36" s="1"/>
  <c r="W85" i="36" a="1"/>
  <c r="W85" i="36" s="1"/>
  <c r="V85" i="36" a="1"/>
  <c r="V85" i="36" s="1"/>
  <c r="U85" i="36" a="1"/>
  <c r="U85" i="36" s="1"/>
  <c r="T85" i="36" a="1"/>
  <c r="T85" i="36" s="1"/>
  <c r="S85" i="36" a="1"/>
  <c r="S85" i="36" s="1"/>
  <c r="R85" i="36" a="1"/>
  <c r="R85" i="36" s="1"/>
  <c r="Q85" i="36" a="1"/>
  <c r="Q85" i="36" s="1"/>
  <c r="P85" i="36" a="1"/>
  <c r="P85" i="36" s="1"/>
  <c r="O85" i="36" a="1"/>
  <c r="O85" i="36" s="1"/>
  <c r="N85" i="36" a="1"/>
  <c r="N85" i="36" s="1"/>
  <c r="M85" i="36" a="1"/>
  <c r="M85" i="36" s="1"/>
  <c r="L85" i="36" a="1"/>
  <c r="L85" i="36" s="1"/>
  <c r="K85" i="36" a="1"/>
  <c r="K85" i="36" s="1"/>
  <c r="J85" i="36" a="1"/>
  <c r="J85" i="36" s="1"/>
  <c r="I85" i="36" a="1"/>
  <c r="I85" i="36" s="1"/>
  <c r="H85" i="36" a="1"/>
  <c r="H85" i="36" s="1"/>
  <c r="G85" i="36" a="1"/>
  <c r="G85" i="36" s="1"/>
  <c r="F85" i="36" a="1"/>
  <c r="F85" i="36" s="1"/>
  <c r="E85" i="36" a="1"/>
  <c r="E85" i="36" s="1"/>
  <c r="D85" i="36" a="1"/>
  <c r="D85" i="36" s="1"/>
  <c r="C85" i="36" a="1"/>
  <c r="C85" i="36" s="1"/>
  <c r="AW84" i="36" a="1"/>
  <c r="AW84" i="36" s="1"/>
  <c r="AV84" i="36" a="1"/>
  <c r="AV84" i="36" s="1"/>
  <c r="AU84" i="36" a="1"/>
  <c r="AU84" i="36" s="1"/>
  <c r="AT84" i="36" a="1"/>
  <c r="AT84" i="36" s="1"/>
  <c r="AS84" i="36" a="1"/>
  <c r="AS84" i="36" s="1"/>
  <c r="AR84" i="36" a="1"/>
  <c r="AR84" i="36" s="1"/>
  <c r="AQ84" i="36" a="1"/>
  <c r="AQ84" i="36" s="1"/>
  <c r="AP84" i="36" a="1"/>
  <c r="AP84" i="36" s="1"/>
  <c r="AO84" i="36" a="1"/>
  <c r="AO84" i="36" s="1"/>
  <c r="AN84" i="36" a="1"/>
  <c r="AN84" i="36" s="1"/>
  <c r="AM84" i="36" a="1"/>
  <c r="AM84" i="36" s="1"/>
  <c r="AL84" i="36" a="1"/>
  <c r="AL84" i="36" s="1"/>
  <c r="AK84" i="36" a="1"/>
  <c r="AK84" i="36" s="1"/>
  <c r="AJ84" i="36" a="1"/>
  <c r="AJ84" i="36" s="1"/>
  <c r="AI84" i="36" a="1"/>
  <c r="AI84" i="36" s="1"/>
  <c r="AH84" i="36" a="1"/>
  <c r="AH84" i="36" s="1"/>
  <c r="AG84" i="36" a="1"/>
  <c r="AG84" i="36" s="1"/>
  <c r="AF84" i="36" a="1"/>
  <c r="AF84" i="36" s="1"/>
  <c r="AE84" i="36" a="1"/>
  <c r="AE84" i="36" s="1"/>
  <c r="AD84" i="36" a="1"/>
  <c r="AD84" i="36" s="1"/>
  <c r="AC84" i="36" a="1"/>
  <c r="AC84" i="36" s="1"/>
  <c r="AB84" i="36" a="1"/>
  <c r="AB84" i="36" s="1"/>
  <c r="AA84" i="36" a="1"/>
  <c r="AA84" i="36" s="1"/>
  <c r="Z84" i="36" a="1"/>
  <c r="Z84" i="36" s="1"/>
  <c r="Y84" i="36" a="1"/>
  <c r="Y84" i="36" s="1"/>
  <c r="X84" i="36" a="1"/>
  <c r="X84" i="36" s="1"/>
  <c r="W84" i="36" a="1"/>
  <c r="W84" i="36" s="1"/>
  <c r="V84" i="36" a="1"/>
  <c r="V84" i="36" s="1"/>
  <c r="U84" i="36" a="1"/>
  <c r="U84" i="36" s="1"/>
  <c r="T84" i="36" a="1"/>
  <c r="T84" i="36" s="1"/>
  <c r="S84" i="36" a="1"/>
  <c r="S84" i="36" s="1"/>
  <c r="R84" i="36" a="1"/>
  <c r="R84" i="36" s="1"/>
  <c r="Q84" i="36" a="1"/>
  <c r="Q84" i="36" s="1"/>
  <c r="P84" i="36" a="1"/>
  <c r="P84" i="36" s="1"/>
  <c r="O84" i="36" a="1"/>
  <c r="O84" i="36" s="1"/>
  <c r="N84" i="36" a="1"/>
  <c r="N84" i="36" s="1"/>
  <c r="M84" i="36" a="1"/>
  <c r="M84" i="36" s="1"/>
  <c r="L84" i="36" a="1"/>
  <c r="L84" i="36" s="1"/>
  <c r="K84" i="36" a="1"/>
  <c r="K84" i="36" s="1"/>
  <c r="J84" i="36" a="1"/>
  <c r="J84" i="36" s="1"/>
  <c r="I84" i="36" a="1"/>
  <c r="I84" i="36" s="1"/>
  <c r="H84" i="36" a="1"/>
  <c r="H84" i="36" s="1"/>
  <c r="G84" i="36" a="1"/>
  <c r="G84" i="36" s="1"/>
  <c r="F84" i="36" a="1"/>
  <c r="F84" i="36" s="1"/>
  <c r="E84" i="36" a="1"/>
  <c r="E84" i="36" s="1"/>
  <c r="D84" i="36" a="1"/>
  <c r="D84" i="36" s="1"/>
  <c r="C84" i="36" a="1"/>
  <c r="C84" i="36" s="1"/>
  <c r="AW83" i="36" a="1"/>
  <c r="AW83" i="36" s="1"/>
  <c r="AV83" i="36" a="1"/>
  <c r="AV83" i="36" s="1"/>
  <c r="AU83" i="36" a="1"/>
  <c r="AU83" i="36" s="1"/>
  <c r="AT83" i="36" a="1"/>
  <c r="AT83" i="36" s="1"/>
  <c r="AS83" i="36" a="1"/>
  <c r="AS83" i="36" s="1"/>
  <c r="AR83" i="36" a="1"/>
  <c r="AR83" i="36" s="1"/>
  <c r="AQ83" i="36" a="1"/>
  <c r="AQ83" i="36" s="1"/>
  <c r="AP83" i="36" a="1"/>
  <c r="AP83" i="36" s="1"/>
  <c r="AO83" i="36" a="1"/>
  <c r="AO83" i="36" s="1"/>
  <c r="AN83" i="36" a="1"/>
  <c r="AN83" i="36" s="1"/>
  <c r="AM83" i="36" a="1"/>
  <c r="AM83" i="36" s="1"/>
  <c r="AL83" i="36" a="1"/>
  <c r="AL83" i="36" s="1"/>
  <c r="AK83" i="36" a="1"/>
  <c r="AK83" i="36" s="1"/>
  <c r="AJ83" i="36" a="1"/>
  <c r="AJ83" i="36" s="1"/>
  <c r="AI83" i="36" a="1"/>
  <c r="AI83" i="36" s="1"/>
  <c r="AH83" i="36" a="1"/>
  <c r="AH83" i="36" s="1"/>
  <c r="AG83" i="36" a="1"/>
  <c r="AG83" i="36" s="1"/>
  <c r="AF83" i="36" a="1"/>
  <c r="AF83" i="36" s="1"/>
  <c r="AE83" i="36" a="1"/>
  <c r="AE83" i="36" s="1"/>
  <c r="AD83" i="36" a="1"/>
  <c r="AD83" i="36" s="1"/>
  <c r="AC83" i="36" a="1"/>
  <c r="AC83" i="36" s="1"/>
  <c r="AB83" i="36" a="1"/>
  <c r="AB83" i="36" s="1"/>
  <c r="AA83" i="36" a="1"/>
  <c r="AA83" i="36" s="1"/>
  <c r="Z83" i="36" a="1"/>
  <c r="Z83" i="36" s="1"/>
  <c r="Y83" i="36" a="1"/>
  <c r="Y83" i="36" s="1"/>
  <c r="X83" i="36" a="1"/>
  <c r="X83" i="36" s="1"/>
  <c r="W83" i="36" a="1"/>
  <c r="W83" i="36" s="1"/>
  <c r="V83" i="36" a="1"/>
  <c r="V83" i="36" s="1"/>
  <c r="U83" i="36" a="1"/>
  <c r="U83" i="36" s="1"/>
  <c r="T83" i="36" a="1"/>
  <c r="T83" i="36" s="1"/>
  <c r="S83" i="36" a="1"/>
  <c r="S83" i="36" s="1"/>
  <c r="R83" i="36" a="1"/>
  <c r="R83" i="36" s="1"/>
  <c r="Q83" i="36" a="1"/>
  <c r="Q83" i="36" s="1"/>
  <c r="P83" i="36" a="1"/>
  <c r="P83" i="36" s="1"/>
  <c r="O83" i="36" a="1"/>
  <c r="O83" i="36" s="1"/>
  <c r="N83" i="36" a="1"/>
  <c r="N83" i="36" s="1"/>
  <c r="M83" i="36" a="1"/>
  <c r="M83" i="36" s="1"/>
  <c r="L83" i="36" a="1"/>
  <c r="L83" i="36" s="1"/>
  <c r="K83" i="36" a="1"/>
  <c r="K83" i="36" s="1"/>
  <c r="J83" i="36" a="1"/>
  <c r="J83" i="36" s="1"/>
  <c r="I83" i="36" a="1"/>
  <c r="I83" i="36" s="1"/>
  <c r="H83" i="36" a="1"/>
  <c r="H83" i="36" s="1"/>
  <c r="G83" i="36" a="1"/>
  <c r="G83" i="36" s="1"/>
  <c r="F83" i="36" a="1"/>
  <c r="F83" i="36" s="1"/>
  <c r="E83" i="36" a="1"/>
  <c r="E83" i="36" s="1"/>
  <c r="D83" i="36" a="1"/>
  <c r="D83" i="36" s="1"/>
  <c r="C83" i="36" a="1"/>
  <c r="C83" i="36" s="1"/>
  <c r="AW82" i="36" a="1"/>
  <c r="AW82" i="36" s="1"/>
  <c r="AV82" i="36" a="1"/>
  <c r="AV82" i="36" s="1"/>
  <c r="AU82" i="36" a="1"/>
  <c r="AU82" i="36" s="1"/>
  <c r="AT82" i="36" a="1"/>
  <c r="AT82" i="36" s="1"/>
  <c r="AS82" i="36" a="1"/>
  <c r="AS82" i="36" s="1"/>
  <c r="AR82" i="36" a="1"/>
  <c r="AR82" i="36" s="1"/>
  <c r="AQ82" i="36" a="1"/>
  <c r="AQ82" i="36" s="1"/>
  <c r="AP82" i="36" a="1"/>
  <c r="AP82" i="36" s="1"/>
  <c r="AO82" i="36" a="1"/>
  <c r="AO82" i="36" s="1"/>
  <c r="AN82" i="36" a="1"/>
  <c r="AN82" i="36" s="1"/>
  <c r="AM82" i="36" a="1"/>
  <c r="AM82" i="36" s="1"/>
  <c r="AL82" i="36" a="1"/>
  <c r="AL82" i="36" s="1"/>
  <c r="AK82" i="36" a="1"/>
  <c r="AK82" i="36" s="1"/>
  <c r="AJ82" i="36" a="1"/>
  <c r="AJ82" i="36" s="1"/>
  <c r="AI82" i="36" a="1"/>
  <c r="AI82" i="36" s="1"/>
  <c r="AH82" i="36" a="1"/>
  <c r="AH82" i="36" s="1"/>
  <c r="AG82" i="36" a="1"/>
  <c r="AG82" i="36" s="1"/>
  <c r="AF82" i="36" a="1"/>
  <c r="AF82" i="36" s="1"/>
  <c r="AE82" i="36" a="1"/>
  <c r="AE82" i="36" s="1"/>
  <c r="AD82" i="36" a="1"/>
  <c r="AD82" i="36" s="1"/>
  <c r="AC82" i="36" a="1"/>
  <c r="AC82" i="36" s="1"/>
  <c r="AB82" i="36" a="1"/>
  <c r="AB82" i="36" s="1"/>
  <c r="AA82" i="36" a="1"/>
  <c r="AA82" i="36" s="1"/>
  <c r="Z82" i="36" a="1"/>
  <c r="Z82" i="36" s="1"/>
  <c r="Y82" i="36" a="1"/>
  <c r="Y82" i="36" s="1"/>
  <c r="X82" i="36" a="1"/>
  <c r="X82" i="36" s="1"/>
  <c r="W82" i="36" a="1"/>
  <c r="W82" i="36" s="1"/>
  <c r="V82" i="36" a="1"/>
  <c r="V82" i="36" s="1"/>
  <c r="U82" i="36" a="1"/>
  <c r="U82" i="36" s="1"/>
  <c r="T82" i="36" a="1"/>
  <c r="T82" i="36" s="1"/>
  <c r="S82" i="36" a="1"/>
  <c r="S82" i="36" s="1"/>
  <c r="R82" i="36" a="1"/>
  <c r="R82" i="36" s="1"/>
  <c r="Q82" i="36" a="1"/>
  <c r="Q82" i="36" s="1"/>
  <c r="P82" i="36" a="1"/>
  <c r="P82" i="36" s="1"/>
  <c r="O82" i="36" a="1"/>
  <c r="O82" i="36" s="1"/>
  <c r="N82" i="36" a="1"/>
  <c r="N82" i="36" s="1"/>
  <c r="M82" i="36" a="1"/>
  <c r="M82" i="36" s="1"/>
  <c r="L82" i="36" a="1"/>
  <c r="L82" i="36" s="1"/>
  <c r="K82" i="36" a="1"/>
  <c r="K82" i="36" s="1"/>
  <c r="J82" i="36" a="1"/>
  <c r="J82" i="36" s="1"/>
  <c r="I82" i="36" a="1"/>
  <c r="I82" i="36" s="1"/>
  <c r="H82" i="36" a="1"/>
  <c r="H82" i="36" s="1"/>
  <c r="G82" i="36" a="1"/>
  <c r="G82" i="36" s="1"/>
  <c r="F82" i="36" a="1"/>
  <c r="F82" i="36" s="1"/>
  <c r="E82" i="36" a="1"/>
  <c r="E82" i="36" s="1"/>
  <c r="D82" i="36" a="1"/>
  <c r="D82" i="36" s="1"/>
  <c r="C82" i="36" a="1"/>
  <c r="C82" i="36" s="1"/>
  <c r="AW81" i="36" a="1"/>
  <c r="AW81" i="36" s="1"/>
  <c r="AV81" i="36" a="1"/>
  <c r="AV81" i="36" s="1"/>
  <c r="AU81" i="36" a="1"/>
  <c r="AU81" i="36" s="1"/>
  <c r="AT81" i="36" a="1"/>
  <c r="AT81" i="36" s="1"/>
  <c r="AS81" i="36" a="1"/>
  <c r="AS81" i="36" s="1"/>
  <c r="AR81" i="36" a="1"/>
  <c r="AR81" i="36" s="1"/>
  <c r="AQ81" i="36" a="1"/>
  <c r="AQ81" i="36" s="1"/>
  <c r="AP81" i="36" a="1"/>
  <c r="AP81" i="36" s="1"/>
  <c r="AO81" i="36" a="1"/>
  <c r="AO81" i="36" s="1"/>
  <c r="AN81" i="36" a="1"/>
  <c r="AN81" i="36" s="1"/>
  <c r="AM81" i="36" a="1"/>
  <c r="AM81" i="36" s="1"/>
  <c r="AL81" i="36" a="1"/>
  <c r="AL81" i="36" s="1"/>
  <c r="AK81" i="36" a="1"/>
  <c r="AK81" i="36" s="1"/>
  <c r="AJ81" i="36" a="1"/>
  <c r="AJ81" i="36" s="1"/>
  <c r="AI81" i="36" a="1"/>
  <c r="AI81" i="36" s="1"/>
  <c r="AH81" i="36" a="1"/>
  <c r="AH81" i="36" s="1"/>
  <c r="AG81" i="36" a="1"/>
  <c r="AG81" i="36" s="1"/>
  <c r="AF81" i="36" a="1"/>
  <c r="AF81" i="36" s="1"/>
  <c r="AE81" i="36" a="1"/>
  <c r="AE81" i="36" s="1"/>
  <c r="AD81" i="36" a="1"/>
  <c r="AD81" i="36" s="1"/>
  <c r="AC81" i="36" a="1"/>
  <c r="AC81" i="36" s="1"/>
  <c r="AB81" i="36" a="1"/>
  <c r="AB81" i="36" s="1"/>
  <c r="AA81" i="36" a="1"/>
  <c r="AA81" i="36" s="1"/>
  <c r="Z81" i="36" a="1"/>
  <c r="Z81" i="36" s="1"/>
  <c r="Y81" i="36" a="1"/>
  <c r="Y81" i="36" s="1"/>
  <c r="X81" i="36" a="1"/>
  <c r="X81" i="36" s="1"/>
  <c r="W81" i="36" a="1"/>
  <c r="W81" i="36" s="1"/>
  <c r="V81" i="36" a="1"/>
  <c r="V81" i="36" s="1"/>
  <c r="U81" i="36" a="1"/>
  <c r="U81" i="36" s="1"/>
  <c r="T81" i="36" a="1"/>
  <c r="T81" i="36" s="1"/>
  <c r="S81" i="36" a="1"/>
  <c r="S81" i="36" s="1"/>
  <c r="R81" i="36" a="1"/>
  <c r="R81" i="36" s="1"/>
  <c r="Q81" i="36" a="1"/>
  <c r="Q81" i="36" s="1"/>
  <c r="P81" i="36" a="1"/>
  <c r="P81" i="36" s="1"/>
  <c r="O81" i="36" a="1"/>
  <c r="O81" i="36" s="1"/>
  <c r="N81" i="36" a="1"/>
  <c r="N81" i="36" s="1"/>
  <c r="M81" i="36" a="1"/>
  <c r="M81" i="36" s="1"/>
  <c r="L81" i="36" a="1"/>
  <c r="L81" i="36" s="1"/>
  <c r="K81" i="36" a="1"/>
  <c r="K81" i="36" s="1"/>
  <c r="J81" i="36" a="1"/>
  <c r="J81" i="36" s="1"/>
  <c r="I81" i="36" a="1"/>
  <c r="I81" i="36" s="1"/>
  <c r="H81" i="36" a="1"/>
  <c r="H81" i="36" s="1"/>
  <c r="G81" i="36" a="1"/>
  <c r="G81" i="36" s="1"/>
  <c r="F81" i="36" a="1"/>
  <c r="F81" i="36" s="1"/>
  <c r="E81" i="36" a="1"/>
  <c r="E81" i="36" s="1"/>
  <c r="D81" i="36" a="1"/>
  <c r="D81" i="36" s="1"/>
  <c r="C81" i="36" a="1"/>
  <c r="C81" i="36" s="1"/>
  <c r="AW80" i="36" a="1"/>
  <c r="AW80" i="36" s="1"/>
  <c r="AV80" i="36" a="1"/>
  <c r="AV80" i="36" s="1"/>
  <c r="AU80" i="36" a="1"/>
  <c r="AU80" i="36" s="1"/>
  <c r="AT80" i="36" a="1"/>
  <c r="AT80" i="36" s="1"/>
  <c r="AS80" i="36" a="1"/>
  <c r="AS80" i="36" s="1"/>
  <c r="AR80" i="36" a="1"/>
  <c r="AR80" i="36" s="1"/>
  <c r="AQ80" i="36" a="1"/>
  <c r="AQ80" i="36" s="1"/>
  <c r="AP80" i="36" a="1"/>
  <c r="AP80" i="36" s="1"/>
  <c r="AO80" i="36" a="1"/>
  <c r="AO80" i="36" s="1"/>
  <c r="AN80" i="36" a="1"/>
  <c r="AN80" i="36" s="1"/>
  <c r="AM80" i="36" a="1"/>
  <c r="AM80" i="36" s="1"/>
  <c r="AL80" i="36" a="1"/>
  <c r="AL80" i="36" s="1"/>
  <c r="AK80" i="36" a="1"/>
  <c r="AK80" i="36" s="1"/>
  <c r="AJ80" i="36" a="1"/>
  <c r="AJ80" i="36" s="1"/>
  <c r="AI80" i="36" a="1"/>
  <c r="AI80" i="36" s="1"/>
  <c r="AH80" i="36" a="1"/>
  <c r="AH80" i="36" s="1"/>
  <c r="AG80" i="36" a="1"/>
  <c r="AG80" i="36" s="1"/>
  <c r="AF80" i="36" a="1"/>
  <c r="AF80" i="36" s="1"/>
  <c r="AE80" i="36" a="1"/>
  <c r="AE80" i="36" s="1"/>
  <c r="AD80" i="36" a="1"/>
  <c r="AD80" i="36" s="1"/>
  <c r="AC80" i="36" a="1"/>
  <c r="AC80" i="36" s="1"/>
  <c r="AB80" i="36" a="1"/>
  <c r="AB80" i="36" s="1"/>
  <c r="AA80" i="36" a="1"/>
  <c r="AA80" i="36" s="1"/>
  <c r="Z80" i="36" a="1"/>
  <c r="Z80" i="36" s="1"/>
  <c r="Y80" i="36" a="1"/>
  <c r="Y80" i="36" s="1"/>
  <c r="X80" i="36" a="1"/>
  <c r="X80" i="36" s="1"/>
  <c r="W80" i="36" a="1"/>
  <c r="W80" i="36" s="1"/>
  <c r="V80" i="36" a="1"/>
  <c r="V80" i="36" s="1"/>
  <c r="U80" i="36" a="1"/>
  <c r="U80" i="36" s="1"/>
  <c r="T80" i="36" a="1"/>
  <c r="T80" i="36" s="1"/>
  <c r="S80" i="36" a="1"/>
  <c r="S80" i="36" s="1"/>
  <c r="R80" i="36" a="1"/>
  <c r="R80" i="36" s="1"/>
  <c r="Q80" i="36" a="1"/>
  <c r="Q80" i="36" s="1"/>
  <c r="P80" i="36" a="1"/>
  <c r="P80" i="36" s="1"/>
  <c r="O80" i="36" a="1"/>
  <c r="O80" i="36" s="1"/>
  <c r="N80" i="36" a="1"/>
  <c r="N80" i="36" s="1"/>
  <c r="M80" i="36" a="1"/>
  <c r="M80" i="36" s="1"/>
  <c r="L80" i="36" a="1"/>
  <c r="L80" i="36" s="1"/>
  <c r="K80" i="36" a="1"/>
  <c r="K80" i="36" s="1"/>
  <c r="J80" i="36" a="1"/>
  <c r="J80" i="36" s="1"/>
  <c r="I80" i="36" a="1"/>
  <c r="I80" i="36" s="1"/>
  <c r="H80" i="36" a="1"/>
  <c r="H80" i="36" s="1"/>
  <c r="G80" i="36" a="1"/>
  <c r="G80" i="36" s="1"/>
  <c r="F80" i="36" a="1"/>
  <c r="F80" i="36" s="1"/>
  <c r="E80" i="36" a="1"/>
  <c r="E80" i="36" s="1"/>
  <c r="D80" i="36" a="1"/>
  <c r="D80" i="36" s="1"/>
  <c r="C80" i="36" a="1"/>
  <c r="C80" i="36" s="1"/>
  <c r="AW79" i="36" a="1"/>
  <c r="AW79" i="36" s="1"/>
  <c r="AV79" i="36" a="1"/>
  <c r="AV79" i="36" s="1"/>
  <c r="AU79" i="36" a="1"/>
  <c r="AU79" i="36" s="1"/>
  <c r="AT79" i="36" a="1"/>
  <c r="AT79" i="36" s="1"/>
  <c r="AS79" i="36" a="1"/>
  <c r="AS79" i="36" s="1"/>
  <c r="AR79" i="36" a="1"/>
  <c r="AR79" i="36" s="1"/>
  <c r="AQ79" i="36" a="1"/>
  <c r="AQ79" i="36" s="1"/>
  <c r="AP79" i="36" a="1"/>
  <c r="AP79" i="36" s="1"/>
  <c r="AO79" i="36" a="1"/>
  <c r="AO79" i="36" s="1"/>
  <c r="AN79" i="36" a="1"/>
  <c r="AN79" i="36" s="1"/>
  <c r="AM79" i="36" a="1"/>
  <c r="AM79" i="36" s="1"/>
  <c r="AL79" i="36" a="1"/>
  <c r="AL79" i="36" s="1"/>
  <c r="AK79" i="36" a="1"/>
  <c r="AK79" i="36" s="1"/>
  <c r="AJ79" i="36" a="1"/>
  <c r="AJ79" i="36" s="1"/>
  <c r="AI79" i="36" a="1"/>
  <c r="AI79" i="36" s="1"/>
  <c r="AH79" i="36" a="1"/>
  <c r="AH79" i="36" s="1"/>
  <c r="AG79" i="36" a="1"/>
  <c r="AG79" i="36" s="1"/>
  <c r="AF79" i="36" a="1"/>
  <c r="AF79" i="36" s="1"/>
  <c r="AE79" i="36" a="1"/>
  <c r="AE79" i="36" s="1"/>
  <c r="AD79" i="36" a="1"/>
  <c r="AD79" i="36" s="1"/>
  <c r="AC79" i="36" a="1"/>
  <c r="AC79" i="36" s="1"/>
  <c r="AB79" i="36" a="1"/>
  <c r="AB79" i="36" s="1"/>
  <c r="AA79" i="36" a="1"/>
  <c r="AA79" i="36" s="1"/>
  <c r="Z79" i="36" a="1"/>
  <c r="Z79" i="36" s="1"/>
  <c r="Y79" i="36" a="1"/>
  <c r="Y79" i="36" s="1"/>
  <c r="X79" i="36" a="1"/>
  <c r="X79" i="36" s="1"/>
  <c r="W79" i="36" a="1"/>
  <c r="W79" i="36" s="1"/>
  <c r="V79" i="36" a="1"/>
  <c r="V79" i="36" s="1"/>
  <c r="U79" i="36" a="1"/>
  <c r="U79" i="36" s="1"/>
  <c r="T79" i="36" a="1"/>
  <c r="T79" i="36" s="1"/>
  <c r="S79" i="36" a="1"/>
  <c r="S79" i="36" s="1"/>
  <c r="R79" i="36" a="1"/>
  <c r="R79" i="36" s="1"/>
  <c r="Q79" i="36" a="1"/>
  <c r="Q79" i="36" s="1"/>
  <c r="P79" i="36" a="1"/>
  <c r="P79" i="36" s="1"/>
  <c r="O79" i="36" a="1"/>
  <c r="O79" i="36" s="1"/>
  <c r="N79" i="36" a="1"/>
  <c r="N79" i="36" s="1"/>
  <c r="M79" i="36" a="1"/>
  <c r="M79" i="36" s="1"/>
  <c r="L79" i="36" a="1"/>
  <c r="L79" i="36" s="1"/>
  <c r="K79" i="36" a="1"/>
  <c r="K79" i="36" s="1"/>
  <c r="J79" i="36" a="1"/>
  <c r="J79" i="36" s="1"/>
  <c r="I79" i="36" a="1"/>
  <c r="I79" i="36" s="1"/>
  <c r="H79" i="36" a="1"/>
  <c r="H79" i="36" s="1"/>
  <c r="G79" i="36" a="1"/>
  <c r="G79" i="36" s="1"/>
  <c r="F79" i="36" a="1"/>
  <c r="F79" i="36" s="1"/>
  <c r="E79" i="36" a="1"/>
  <c r="E79" i="36" s="1"/>
  <c r="D79" i="36" a="1"/>
  <c r="D79" i="36" s="1"/>
  <c r="C79" i="36" a="1"/>
  <c r="C79" i="36" s="1"/>
  <c r="AW78" i="36" a="1"/>
  <c r="AW78" i="36" s="1"/>
  <c r="AV78" i="36" a="1"/>
  <c r="AV78" i="36" s="1"/>
  <c r="AU78" i="36" a="1"/>
  <c r="AU78" i="36" s="1"/>
  <c r="AT78" i="36" a="1"/>
  <c r="AT78" i="36" s="1"/>
  <c r="AS78" i="36" a="1"/>
  <c r="AS78" i="36" s="1"/>
  <c r="AR78" i="36" a="1"/>
  <c r="AR78" i="36" s="1"/>
  <c r="AQ78" i="36" a="1"/>
  <c r="AQ78" i="36" s="1"/>
  <c r="AP78" i="36" a="1"/>
  <c r="AP78" i="36" s="1"/>
  <c r="AO78" i="36" a="1"/>
  <c r="AO78" i="36" s="1"/>
  <c r="AN78" i="36" a="1"/>
  <c r="AN78" i="36" s="1"/>
  <c r="AM78" i="36" a="1"/>
  <c r="AM78" i="36" s="1"/>
  <c r="AL78" i="36" a="1"/>
  <c r="AL78" i="36" s="1"/>
  <c r="AK78" i="36" a="1"/>
  <c r="AK78" i="36" s="1"/>
  <c r="AJ78" i="36" a="1"/>
  <c r="AJ78" i="36" s="1"/>
  <c r="AI78" i="36" a="1"/>
  <c r="AI78" i="36" s="1"/>
  <c r="AH78" i="36" a="1"/>
  <c r="AH78" i="36" s="1"/>
  <c r="AG78" i="36" a="1"/>
  <c r="AG78" i="36" s="1"/>
  <c r="AF78" i="36" a="1"/>
  <c r="AF78" i="36" s="1"/>
  <c r="AE78" i="36" a="1"/>
  <c r="AE78" i="36" s="1"/>
  <c r="AD78" i="36" a="1"/>
  <c r="AD78" i="36" s="1"/>
  <c r="AC78" i="36" a="1"/>
  <c r="AC78" i="36" s="1"/>
  <c r="AB78" i="36" a="1"/>
  <c r="AB78" i="36" s="1"/>
  <c r="AA78" i="36" a="1"/>
  <c r="AA78" i="36" s="1"/>
  <c r="Z78" i="36" a="1"/>
  <c r="Z78" i="36" s="1"/>
  <c r="Y78" i="36" a="1"/>
  <c r="Y78" i="36" s="1"/>
  <c r="X78" i="36" a="1"/>
  <c r="X78" i="36" s="1"/>
  <c r="W78" i="36" a="1"/>
  <c r="W78" i="36" s="1"/>
  <c r="V78" i="36" a="1"/>
  <c r="V78" i="36" s="1"/>
  <c r="U78" i="36" a="1"/>
  <c r="U78" i="36" s="1"/>
  <c r="T78" i="36" a="1"/>
  <c r="T78" i="36" s="1"/>
  <c r="S78" i="36" a="1"/>
  <c r="S78" i="36" s="1"/>
  <c r="R78" i="36" a="1"/>
  <c r="R78" i="36" s="1"/>
  <c r="Q78" i="36" a="1"/>
  <c r="Q78" i="36" s="1"/>
  <c r="P78" i="36" a="1"/>
  <c r="P78" i="36" s="1"/>
  <c r="O78" i="36" a="1"/>
  <c r="O78" i="36" s="1"/>
  <c r="N78" i="36" a="1"/>
  <c r="N78" i="36" s="1"/>
  <c r="M78" i="36" a="1"/>
  <c r="M78" i="36" s="1"/>
  <c r="L78" i="36" a="1"/>
  <c r="L78" i="36" s="1"/>
  <c r="K78" i="36" a="1"/>
  <c r="K78" i="36" s="1"/>
  <c r="J78" i="36" a="1"/>
  <c r="J78" i="36" s="1"/>
  <c r="I78" i="36" a="1"/>
  <c r="I78" i="36" s="1"/>
  <c r="H78" i="36" a="1"/>
  <c r="H78" i="36" s="1"/>
  <c r="G78" i="36" a="1"/>
  <c r="G78" i="36" s="1"/>
  <c r="F78" i="36" a="1"/>
  <c r="F78" i="36" s="1"/>
  <c r="E78" i="36" a="1"/>
  <c r="E78" i="36" s="1"/>
  <c r="D78" i="36" a="1"/>
  <c r="D78" i="36" s="1"/>
  <c r="C78" i="36" a="1"/>
  <c r="C78" i="36" s="1"/>
  <c r="AW77" i="36" a="1"/>
  <c r="AW77" i="36" s="1"/>
  <c r="AV77" i="36" a="1"/>
  <c r="AV77" i="36" s="1"/>
  <c r="AU77" i="36" a="1"/>
  <c r="AU77" i="36" s="1"/>
  <c r="AT77" i="36" a="1"/>
  <c r="AT77" i="36" s="1"/>
  <c r="AS77" i="36" a="1"/>
  <c r="AS77" i="36" s="1"/>
  <c r="AR77" i="36" a="1"/>
  <c r="AR77" i="36" s="1"/>
  <c r="AQ77" i="36" a="1"/>
  <c r="AQ77" i="36" s="1"/>
  <c r="AP77" i="36" a="1"/>
  <c r="AP77" i="36" s="1"/>
  <c r="AO77" i="36" a="1"/>
  <c r="AO77" i="36" s="1"/>
  <c r="AN77" i="36" a="1"/>
  <c r="AN77" i="36" s="1"/>
  <c r="AM77" i="36" a="1"/>
  <c r="AM77" i="36" s="1"/>
  <c r="AL77" i="36" a="1"/>
  <c r="AL77" i="36" s="1"/>
  <c r="AK77" i="36" a="1"/>
  <c r="AK77" i="36" s="1"/>
  <c r="AJ77" i="36" a="1"/>
  <c r="AJ77" i="36" s="1"/>
  <c r="AI77" i="36" a="1"/>
  <c r="AI77" i="36" s="1"/>
  <c r="AH77" i="36" a="1"/>
  <c r="AH77" i="36" s="1"/>
  <c r="AG77" i="36" a="1"/>
  <c r="AG77" i="36" s="1"/>
  <c r="AF77" i="36" a="1"/>
  <c r="AF77" i="36" s="1"/>
  <c r="AE77" i="36" a="1"/>
  <c r="AE77" i="36" s="1"/>
  <c r="AD77" i="36" a="1"/>
  <c r="AD77" i="36" s="1"/>
  <c r="AC77" i="36" a="1"/>
  <c r="AC77" i="36" s="1"/>
  <c r="AB77" i="36" a="1"/>
  <c r="AB77" i="36" s="1"/>
  <c r="AA77" i="36" a="1"/>
  <c r="AA77" i="36" s="1"/>
  <c r="Z77" i="36" a="1"/>
  <c r="Z77" i="36" s="1"/>
  <c r="Y77" i="36" a="1"/>
  <c r="Y77" i="36" s="1"/>
  <c r="X77" i="36" a="1"/>
  <c r="X77" i="36" s="1"/>
  <c r="W77" i="36" a="1"/>
  <c r="W77" i="36" s="1"/>
  <c r="V77" i="36" a="1"/>
  <c r="V77" i="36" s="1"/>
  <c r="U77" i="36" a="1"/>
  <c r="U77" i="36" s="1"/>
  <c r="T77" i="36" a="1"/>
  <c r="T77" i="36" s="1"/>
  <c r="S77" i="36" a="1"/>
  <c r="S77" i="36" s="1"/>
  <c r="R77" i="36" a="1"/>
  <c r="R77" i="36" s="1"/>
  <c r="Q77" i="36" a="1"/>
  <c r="Q77" i="36" s="1"/>
  <c r="P77" i="36" a="1"/>
  <c r="P77" i="36" s="1"/>
  <c r="O77" i="36" a="1"/>
  <c r="O77" i="36" s="1"/>
  <c r="N77" i="36" a="1"/>
  <c r="N77" i="36" s="1"/>
  <c r="M77" i="36" a="1"/>
  <c r="M77" i="36" s="1"/>
  <c r="L77" i="36" a="1"/>
  <c r="L77" i="36" s="1"/>
  <c r="K77" i="36" a="1"/>
  <c r="K77" i="36" s="1"/>
  <c r="J77" i="36" a="1"/>
  <c r="J77" i="36" s="1"/>
  <c r="I77" i="36" a="1"/>
  <c r="I77" i="36" s="1"/>
  <c r="H77" i="36" a="1"/>
  <c r="H77" i="36" s="1"/>
  <c r="G77" i="36" a="1"/>
  <c r="G77" i="36" s="1"/>
  <c r="F77" i="36" a="1"/>
  <c r="F77" i="36" s="1"/>
  <c r="E77" i="36" a="1"/>
  <c r="E77" i="36" s="1"/>
  <c r="D77" i="36" a="1"/>
  <c r="D77" i="36" s="1"/>
  <c r="C77" i="36" a="1"/>
  <c r="C77" i="36" s="1"/>
  <c r="AW76" i="36" a="1"/>
  <c r="AW76" i="36" s="1"/>
  <c r="AV76" i="36" a="1"/>
  <c r="AV76" i="36" s="1"/>
  <c r="AU76" i="36" a="1"/>
  <c r="AU76" i="36" s="1"/>
  <c r="AT76" i="36" a="1"/>
  <c r="AT76" i="36" s="1"/>
  <c r="AS76" i="36" a="1"/>
  <c r="AS76" i="36" s="1"/>
  <c r="AR76" i="36" a="1"/>
  <c r="AR76" i="36" s="1"/>
  <c r="AQ76" i="36" a="1"/>
  <c r="AQ76" i="36" s="1"/>
  <c r="AP76" i="36" a="1"/>
  <c r="AP76" i="36" s="1"/>
  <c r="AO76" i="36" a="1"/>
  <c r="AO76" i="36" s="1"/>
  <c r="AN76" i="36" a="1"/>
  <c r="AN76" i="36" s="1"/>
  <c r="AM76" i="36" a="1"/>
  <c r="AM76" i="36" s="1"/>
  <c r="AL76" i="36" a="1"/>
  <c r="AL76" i="36" s="1"/>
  <c r="AK76" i="36" a="1"/>
  <c r="AK76" i="36" s="1"/>
  <c r="AJ76" i="36" a="1"/>
  <c r="AJ76" i="36" s="1"/>
  <c r="AI76" i="36" a="1"/>
  <c r="AI76" i="36" s="1"/>
  <c r="AH76" i="36" a="1"/>
  <c r="AH76" i="36" s="1"/>
  <c r="AG76" i="36" a="1"/>
  <c r="AG76" i="36" s="1"/>
  <c r="AF76" i="36" a="1"/>
  <c r="AF76" i="36" s="1"/>
  <c r="AE76" i="36" a="1"/>
  <c r="AE76" i="36" s="1"/>
  <c r="AD76" i="36" a="1"/>
  <c r="AD76" i="36" s="1"/>
  <c r="AC76" i="36" a="1"/>
  <c r="AC76" i="36" s="1"/>
  <c r="AB76" i="36" a="1"/>
  <c r="AB76" i="36" s="1"/>
  <c r="AA76" i="36" a="1"/>
  <c r="AA76" i="36" s="1"/>
  <c r="Z76" i="36" a="1"/>
  <c r="Z76" i="36" s="1"/>
  <c r="Y76" i="36" a="1"/>
  <c r="Y76" i="36" s="1"/>
  <c r="X76" i="36" a="1"/>
  <c r="X76" i="36" s="1"/>
  <c r="W76" i="36" a="1"/>
  <c r="W76" i="36" s="1"/>
  <c r="V76" i="36" a="1"/>
  <c r="V76" i="36" s="1"/>
  <c r="U76" i="36" a="1"/>
  <c r="U76" i="36" s="1"/>
  <c r="T76" i="36" a="1"/>
  <c r="T76" i="36" s="1"/>
  <c r="S76" i="36" a="1"/>
  <c r="S76" i="36" s="1"/>
  <c r="R76" i="36" a="1"/>
  <c r="R76" i="36" s="1"/>
  <c r="Q76" i="36" a="1"/>
  <c r="Q76" i="36" s="1"/>
  <c r="P76" i="36" a="1"/>
  <c r="P76" i="36" s="1"/>
  <c r="O76" i="36" a="1"/>
  <c r="O76" i="36" s="1"/>
  <c r="N76" i="36" a="1"/>
  <c r="N76" i="36" s="1"/>
  <c r="M76" i="36" a="1"/>
  <c r="M76" i="36" s="1"/>
  <c r="L76" i="36" a="1"/>
  <c r="L76" i="36" s="1"/>
  <c r="K76" i="36" a="1"/>
  <c r="K76" i="36" s="1"/>
  <c r="J76" i="36" a="1"/>
  <c r="J76" i="36" s="1"/>
  <c r="I76" i="36" a="1"/>
  <c r="I76" i="36" s="1"/>
  <c r="H76" i="36" a="1"/>
  <c r="H76" i="36" s="1"/>
  <c r="G76" i="36" a="1"/>
  <c r="G76" i="36" s="1"/>
  <c r="F76" i="36" a="1"/>
  <c r="F76" i="36" s="1"/>
  <c r="E76" i="36" a="1"/>
  <c r="E76" i="36" s="1"/>
  <c r="D76" i="36" a="1"/>
  <c r="D76" i="36" s="1"/>
  <c r="C76" i="36" a="1"/>
  <c r="C76" i="36" s="1"/>
  <c r="AW75" i="36" a="1"/>
  <c r="AW75" i="36" s="1"/>
  <c r="AV75" i="36" a="1"/>
  <c r="AV75" i="36" s="1"/>
  <c r="AU75" i="36" a="1"/>
  <c r="AU75" i="36" s="1"/>
  <c r="AT75" i="36" a="1"/>
  <c r="AT75" i="36" s="1"/>
  <c r="AS75" i="36" a="1"/>
  <c r="AS75" i="36" s="1"/>
  <c r="AR75" i="36" a="1"/>
  <c r="AR75" i="36" s="1"/>
  <c r="AQ75" i="36" a="1"/>
  <c r="AQ75" i="36" s="1"/>
  <c r="AP75" i="36" a="1"/>
  <c r="AP75" i="36" s="1"/>
  <c r="AO75" i="36" a="1"/>
  <c r="AO75" i="36" s="1"/>
  <c r="AN75" i="36" a="1"/>
  <c r="AN75" i="36" s="1"/>
  <c r="AM75" i="36" a="1"/>
  <c r="AM75" i="36" s="1"/>
  <c r="AL75" i="36" a="1"/>
  <c r="AL75" i="36" s="1"/>
  <c r="AK75" i="36" a="1"/>
  <c r="AK75" i="36" s="1"/>
  <c r="AJ75" i="36" a="1"/>
  <c r="AJ75" i="36" s="1"/>
  <c r="AI75" i="36" a="1"/>
  <c r="AI75" i="36" s="1"/>
  <c r="AH75" i="36" a="1"/>
  <c r="AH75" i="36" s="1"/>
  <c r="AG75" i="36" a="1"/>
  <c r="AG75" i="36" s="1"/>
  <c r="AF75" i="36" a="1"/>
  <c r="AF75" i="36" s="1"/>
  <c r="AE75" i="36" a="1"/>
  <c r="AE75" i="36" s="1"/>
  <c r="AD75" i="36" a="1"/>
  <c r="AD75" i="36" s="1"/>
  <c r="AC75" i="36" a="1"/>
  <c r="AC75" i="36" s="1"/>
  <c r="AB75" i="36" a="1"/>
  <c r="AB75" i="36" s="1"/>
  <c r="AA75" i="36" a="1"/>
  <c r="AA75" i="36" s="1"/>
  <c r="Z75" i="36" a="1"/>
  <c r="Z75" i="36" s="1"/>
  <c r="Y75" i="36" a="1"/>
  <c r="Y75" i="36" s="1"/>
  <c r="X75" i="36" a="1"/>
  <c r="X75" i="36" s="1"/>
  <c r="W75" i="36" a="1"/>
  <c r="W75" i="36" s="1"/>
  <c r="V75" i="36" a="1"/>
  <c r="V75" i="36" s="1"/>
  <c r="U75" i="36" a="1"/>
  <c r="U75" i="36" s="1"/>
  <c r="T75" i="36" a="1"/>
  <c r="T75" i="36" s="1"/>
  <c r="S75" i="36" a="1"/>
  <c r="S75" i="36" s="1"/>
  <c r="R75" i="36" a="1"/>
  <c r="R75" i="36" s="1"/>
  <c r="Q75" i="36" a="1"/>
  <c r="Q75" i="36" s="1"/>
  <c r="P75" i="36" a="1"/>
  <c r="P75" i="36" s="1"/>
  <c r="O75" i="36" a="1"/>
  <c r="O75" i="36" s="1"/>
  <c r="N75" i="36" a="1"/>
  <c r="N75" i="36" s="1"/>
  <c r="M75" i="36" a="1"/>
  <c r="M75" i="36" s="1"/>
  <c r="L75" i="36" a="1"/>
  <c r="L75" i="36" s="1"/>
  <c r="K75" i="36" a="1"/>
  <c r="K75" i="36" s="1"/>
  <c r="J75" i="36" a="1"/>
  <c r="J75" i="36" s="1"/>
  <c r="I75" i="36" a="1"/>
  <c r="I75" i="36" s="1"/>
  <c r="H75" i="36" a="1"/>
  <c r="H75" i="36" s="1"/>
  <c r="G75" i="36" a="1"/>
  <c r="G75" i="36" s="1"/>
  <c r="F75" i="36" a="1"/>
  <c r="F75" i="36" s="1"/>
  <c r="E75" i="36" a="1"/>
  <c r="E75" i="36" s="1"/>
  <c r="D75" i="36" a="1"/>
  <c r="D75" i="36" s="1"/>
  <c r="C75" i="36" a="1"/>
  <c r="C75" i="36" s="1"/>
  <c r="AW74" i="36" a="1"/>
  <c r="AW74" i="36" s="1"/>
  <c r="AV74" i="36" a="1"/>
  <c r="AV74" i="36" s="1"/>
  <c r="AU74" i="36" a="1"/>
  <c r="AU74" i="36" s="1"/>
  <c r="AT74" i="36" a="1"/>
  <c r="AT74" i="36" s="1"/>
  <c r="AS74" i="36" a="1"/>
  <c r="AS74" i="36" s="1"/>
  <c r="AR74" i="36" a="1"/>
  <c r="AR74" i="36" s="1"/>
  <c r="AQ74" i="36" a="1"/>
  <c r="AQ74" i="36" s="1"/>
  <c r="AP74" i="36" a="1"/>
  <c r="AP74" i="36" s="1"/>
  <c r="AO74" i="36" a="1"/>
  <c r="AO74" i="36" s="1"/>
  <c r="AN74" i="36" a="1"/>
  <c r="AN74" i="36" s="1"/>
  <c r="AM74" i="36" a="1"/>
  <c r="AM74" i="36" s="1"/>
  <c r="AL74" i="36" a="1"/>
  <c r="AL74" i="36" s="1"/>
  <c r="AK74" i="36" a="1"/>
  <c r="AK74" i="36" s="1"/>
  <c r="AJ74" i="36" a="1"/>
  <c r="AJ74" i="36" s="1"/>
  <c r="AI74" i="36" a="1"/>
  <c r="AI74" i="36" s="1"/>
  <c r="AH74" i="36" a="1"/>
  <c r="AH74" i="36" s="1"/>
  <c r="AG74" i="36" a="1"/>
  <c r="AG74" i="36" s="1"/>
  <c r="AF74" i="36" a="1"/>
  <c r="AF74" i="36" s="1"/>
  <c r="AE74" i="36" a="1"/>
  <c r="AE74" i="36" s="1"/>
  <c r="AD74" i="36" a="1"/>
  <c r="AD74" i="36" s="1"/>
  <c r="AC74" i="36" a="1"/>
  <c r="AC74" i="36" s="1"/>
  <c r="AB74" i="36" a="1"/>
  <c r="AB74" i="36" s="1"/>
  <c r="AA74" i="36" a="1"/>
  <c r="AA74" i="36" s="1"/>
  <c r="Z74" i="36" a="1"/>
  <c r="Z74" i="36" s="1"/>
  <c r="Y74" i="36" a="1"/>
  <c r="Y74" i="36" s="1"/>
  <c r="X74" i="36" a="1"/>
  <c r="X74" i="36" s="1"/>
  <c r="W74" i="36" a="1"/>
  <c r="W74" i="36" s="1"/>
  <c r="V74" i="36" a="1"/>
  <c r="V74" i="36" s="1"/>
  <c r="U74" i="36" a="1"/>
  <c r="U74" i="36" s="1"/>
  <c r="T74" i="36" a="1"/>
  <c r="T74" i="36" s="1"/>
  <c r="S74" i="36" a="1"/>
  <c r="S74" i="36" s="1"/>
  <c r="R74" i="36" a="1"/>
  <c r="R74" i="36" s="1"/>
  <c r="Q74" i="36" a="1"/>
  <c r="Q74" i="36" s="1"/>
  <c r="P74" i="36" a="1"/>
  <c r="P74" i="36" s="1"/>
  <c r="O74" i="36" a="1"/>
  <c r="O74" i="36" s="1"/>
  <c r="N74" i="36" a="1"/>
  <c r="N74" i="36" s="1"/>
  <c r="M74" i="36" a="1"/>
  <c r="M74" i="36" s="1"/>
  <c r="L74" i="36" a="1"/>
  <c r="L74" i="36" s="1"/>
  <c r="K74" i="36" a="1"/>
  <c r="K74" i="36" s="1"/>
  <c r="J74" i="36" a="1"/>
  <c r="J74" i="36" s="1"/>
  <c r="I74" i="36" a="1"/>
  <c r="I74" i="36" s="1"/>
  <c r="H74" i="36" a="1"/>
  <c r="H74" i="36" s="1"/>
  <c r="G74" i="36" a="1"/>
  <c r="G74" i="36" s="1"/>
  <c r="F74" i="36" a="1"/>
  <c r="F74" i="36" s="1"/>
  <c r="E74" i="36" a="1"/>
  <c r="E74" i="36" s="1"/>
  <c r="D74" i="36" a="1"/>
  <c r="D74" i="36" s="1"/>
  <c r="C74" i="36" a="1"/>
  <c r="C74" i="36" s="1"/>
  <c r="AW73" i="36" a="1"/>
  <c r="AW73" i="36" s="1"/>
  <c r="AV73" i="36" a="1"/>
  <c r="AV73" i="36" s="1"/>
  <c r="AU73" i="36" a="1"/>
  <c r="AU73" i="36" s="1"/>
  <c r="AT73" i="36" a="1"/>
  <c r="AT73" i="36" s="1"/>
  <c r="AS73" i="36" a="1"/>
  <c r="AS73" i="36" s="1"/>
  <c r="AR73" i="36" a="1"/>
  <c r="AR73" i="36" s="1"/>
  <c r="AQ73" i="36" a="1"/>
  <c r="AQ73" i="36" s="1"/>
  <c r="AP73" i="36" a="1"/>
  <c r="AP73" i="36" s="1"/>
  <c r="AO73" i="36" a="1"/>
  <c r="AO73" i="36" s="1"/>
  <c r="AN73" i="36" a="1"/>
  <c r="AN73" i="36" s="1"/>
  <c r="AM73" i="36" a="1"/>
  <c r="AM73" i="36" s="1"/>
  <c r="AL73" i="36" a="1"/>
  <c r="AL73" i="36" s="1"/>
  <c r="AK73" i="36" a="1"/>
  <c r="AK73" i="36" s="1"/>
  <c r="AJ73" i="36" a="1"/>
  <c r="AJ73" i="36" s="1"/>
  <c r="AI73" i="36" a="1"/>
  <c r="AI73" i="36" s="1"/>
  <c r="AH73" i="36" a="1"/>
  <c r="AH73" i="36" s="1"/>
  <c r="AG73" i="36" a="1"/>
  <c r="AG73" i="36" s="1"/>
  <c r="AF73" i="36" a="1"/>
  <c r="AF73" i="36" s="1"/>
  <c r="AE73" i="36" a="1"/>
  <c r="AE73" i="36" s="1"/>
  <c r="AD73" i="36" a="1"/>
  <c r="AD73" i="36" s="1"/>
  <c r="AC73" i="36" a="1"/>
  <c r="AC73" i="36" s="1"/>
  <c r="AB73" i="36" a="1"/>
  <c r="AB73" i="36" s="1"/>
  <c r="AA73" i="36" a="1"/>
  <c r="AA73" i="36" s="1"/>
  <c r="Z73" i="36" a="1"/>
  <c r="Z73" i="36" s="1"/>
  <c r="Y73" i="36" a="1"/>
  <c r="Y73" i="36" s="1"/>
  <c r="X73" i="36" a="1"/>
  <c r="X73" i="36" s="1"/>
  <c r="W73" i="36" a="1"/>
  <c r="W73" i="36" s="1"/>
  <c r="V73" i="36" a="1"/>
  <c r="V73" i="36" s="1"/>
  <c r="U73" i="36" a="1"/>
  <c r="U73" i="36" s="1"/>
  <c r="T73" i="36" a="1"/>
  <c r="T73" i="36" s="1"/>
  <c r="S73" i="36" a="1"/>
  <c r="S73" i="36" s="1"/>
  <c r="R73" i="36" a="1"/>
  <c r="R73" i="36" s="1"/>
  <c r="Q73" i="36" a="1"/>
  <c r="Q73" i="36" s="1"/>
  <c r="P73" i="36" a="1"/>
  <c r="P73" i="36" s="1"/>
  <c r="O73" i="36" a="1"/>
  <c r="O73" i="36" s="1"/>
  <c r="N73" i="36" a="1"/>
  <c r="N73" i="36" s="1"/>
  <c r="M73" i="36" a="1"/>
  <c r="M73" i="36" s="1"/>
  <c r="L73" i="36" a="1"/>
  <c r="L73" i="36" s="1"/>
  <c r="K73" i="36" a="1"/>
  <c r="K73" i="36" s="1"/>
  <c r="J73" i="36" a="1"/>
  <c r="J73" i="36" s="1"/>
  <c r="I73" i="36" a="1"/>
  <c r="I73" i="36" s="1"/>
  <c r="H73" i="36" a="1"/>
  <c r="H73" i="36" s="1"/>
  <c r="G73" i="36" a="1"/>
  <c r="G73" i="36" s="1"/>
  <c r="F73" i="36" a="1"/>
  <c r="F73" i="36" s="1"/>
  <c r="E73" i="36" a="1"/>
  <c r="E73" i="36" s="1"/>
  <c r="D73" i="36" a="1"/>
  <c r="D73" i="36" s="1"/>
  <c r="C73" i="36" a="1"/>
  <c r="C73" i="36" s="1"/>
  <c r="AW72" i="36" a="1"/>
  <c r="AW72" i="36" s="1"/>
  <c r="AV72" i="36" a="1"/>
  <c r="AV72" i="36" s="1"/>
  <c r="AU72" i="36" a="1"/>
  <c r="AU72" i="36" s="1"/>
  <c r="AT72" i="36" a="1"/>
  <c r="AT72" i="36" s="1"/>
  <c r="AS72" i="36" a="1"/>
  <c r="AS72" i="36" s="1"/>
  <c r="AR72" i="36" a="1"/>
  <c r="AR72" i="36" s="1"/>
  <c r="AQ72" i="36" a="1"/>
  <c r="AQ72" i="36" s="1"/>
  <c r="AP72" i="36" a="1"/>
  <c r="AP72" i="36" s="1"/>
  <c r="AO72" i="36" a="1"/>
  <c r="AO72" i="36" s="1"/>
  <c r="AN72" i="36" a="1"/>
  <c r="AN72" i="36" s="1"/>
  <c r="AM72" i="36" a="1"/>
  <c r="AM72" i="36" s="1"/>
  <c r="AL72" i="36"/>
  <c r="AL72" i="36" a="1"/>
  <c r="AK72" i="36" a="1"/>
  <c r="AK72" i="36" s="1"/>
  <c r="AJ72" i="36" a="1"/>
  <c r="AJ72" i="36" s="1"/>
  <c r="AI72" i="36" a="1"/>
  <c r="AI72" i="36" s="1"/>
  <c r="AH72" i="36" a="1"/>
  <c r="AH72" i="36" s="1"/>
  <c r="AG72" i="36" a="1"/>
  <c r="AG72" i="36" s="1"/>
  <c r="AF72" i="36" a="1"/>
  <c r="AF72" i="36" s="1"/>
  <c r="AE72" i="36" a="1"/>
  <c r="AE72" i="36" s="1"/>
  <c r="AD72" i="36"/>
  <c r="AD72" i="36" a="1"/>
  <c r="AC72" i="36" a="1"/>
  <c r="AC72" i="36" s="1"/>
  <c r="AB72" i="36" a="1"/>
  <c r="AB72" i="36" s="1"/>
  <c r="AA72" i="36" a="1"/>
  <c r="AA72" i="36" s="1"/>
  <c r="Z72" i="36" a="1"/>
  <c r="Z72" i="36" s="1"/>
  <c r="Y72" i="36" a="1"/>
  <c r="Y72" i="36" s="1"/>
  <c r="X72" i="36" a="1"/>
  <c r="X72" i="36" s="1"/>
  <c r="W72" i="36" a="1"/>
  <c r="W72" i="36" s="1"/>
  <c r="V72" i="36" a="1"/>
  <c r="V72" i="36" s="1"/>
  <c r="U72" i="36" a="1"/>
  <c r="U72" i="36" s="1"/>
  <c r="T72" i="36" a="1"/>
  <c r="T72" i="36" s="1"/>
  <c r="S72" i="36" a="1"/>
  <c r="S72" i="36" s="1"/>
  <c r="R72" i="36" a="1"/>
  <c r="R72" i="36" s="1"/>
  <c r="Q72" i="36" a="1"/>
  <c r="Q72" i="36" s="1"/>
  <c r="P72" i="36" a="1"/>
  <c r="P72" i="36" s="1"/>
  <c r="O72" i="36" a="1"/>
  <c r="O72" i="36" s="1"/>
  <c r="N72" i="36" a="1"/>
  <c r="N72" i="36" s="1"/>
  <c r="M72" i="36" a="1"/>
  <c r="M72" i="36" s="1"/>
  <c r="L72" i="36" a="1"/>
  <c r="L72" i="36" s="1"/>
  <c r="K72" i="36" a="1"/>
  <c r="K72" i="36" s="1"/>
  <c r="J72" i="36" a="1"/>
  <c r="J72" i="36" s="1"/>
  <c r="I72" i="36" a="1"/>
  <c r="I72" i="36" s="1"/>
  <c r="H72" i="36" a="1"/>
  <c r="H72" i="36" s="1"/>
  <c r="G72" i="36" a="1"/>
  <c r="G72" i="36" s="1"/>
  <c r="F72" i="36" a="1"/>
  <c r="F72" i="36" s="1"/>
  <c r="E72" i="36" a="1"/>
  <c r="E72" i="36" s="1"/>
  <c r="D72" i="36" a="1"/>
  <c r="D72" i="36" s="1"/>
  <c r="C72" i="36" a="1"/>
  <c r="C72" i="36" s="1"/>
  <c r="AW71" i="36" a="1"/>
  <c r="AW71" i="36" s="1"/>
  <c r="AV71" i="36" a="1"/>
  <c r="AV71" i="36" s="1"/>
  <c r="AU71" i="36" a="1"/>
  <c r="AU71" i="36" s="1"/>
  <c r="AT71" i="36" a="1"/>
  <c r="AT71" i="36" s="1"/>
  <c r="AS71" i="36" a="1"/>
  <c r="AS71" i="36" s="1"/>
  <c r="AR71" i="36" a="1"/>
  <c r="AR71" i="36" s="1"/>
  <c r="AQ71" i="36" a="1"/>
  <c r="AQ71" i="36" s="1"/>
  <c r="AP71" i="36" a="1"/>
  <c r="AP71" i="36" s="1"/>
  <c r="AO71" i="36" a="1"/>
  <c r="AO71" i="36" s="1"/>
  <c r="AN71" i="36" a="1"/>
  <c r="AN71" i="36" s="1"/>
  <c r="AM71" i="36" a="1"/>
  <c r="AM71" i="36" s="1"/>
  <c r="AL71" i="36" a="1"/>
  <c r="AL71" i="36" s="1"/>
  <c r="AK71" i="36" a="1"/>
  <c r="AK71" i="36" s="1"/>
  <c r="AJ71" i="36" a="1"/>
  <c r="AJ71" i="36" s="1"/>
  <c r="AI71" i="36" a="1"/>
  <c r="AI71" i="36" s="1"/>
  <c r="AH71" i="36" a="1"/>
  <c r="AH71" i="36" s="1"/>
  <c r="AG71" i="36" a="1"/>
  <c r="AG71" i="36" s="1"/>
  <c r="AF71" i="36" a="1"/>
  <c r="AF71" i="36" s="1"/>
  <c r="AE71" i="36" a="1"/>
  <c r="AE71" i="36" s="1"/>
  <c r="AD71" i="36" a="1"/>
  <c r="AD71" i="36" s="1"/>
  <c r="AC71" i="36" a="1"/>
  <c r="AC71" i="36" s="1"/>
  <c r="AB71" i="36" a="1"/>
  <c r="AB71" i="36" s="1"/>
  <c r="AA71" i="36" a="1"/>
  <c r="AA71" i="36" s="1"/>
  <c r="Z71" i="36" a="1"/>
  <c r="Z71" i="36" s="1"/>
  <c r="Y71" i="36" a="1"/>
  <c r="Y71" i="36" s="1"/>
  <c r="X71" i="36" a="1"/>
  <c r="X71" i="36" s="1"/>
  <c r="W71" i="36" a="1"/>
  <c r="W71" i="36" s="1"/>
  <c r="V71" i="36" a="1"/>
  <c r="V71" i="36" s="1"/>
  <c r="U71" i="36" a="1"/>
  <c r="U71" i="36" s="1"/>
  <c r="T71" i="36" a="1"/>
  <c r="T71" i="36" s="1"/>
  <c r="S71" i="36" a="1"/>
  <c r="S71" i="36" s="1"/>
  <c r="R71" i="36" a="1"/>
  <c r="R71" i="36" s="1"/>
  <c r="Q71" i="36" a="1"/>
  <c r="Q71" i="36" s="1"/>
  <c r="P71" i="36" a="1"/>
  <c r="P71" i="36" s="1"/>
  <c r="O71" i="36" a="1"/>
  <c r="O71" i="36" s="1"/>
  <c r="N71" i="36" a="1"/>
  <c r="N71" i="36" s="1"/>
  <c r="M71" i="36" a="1"/>
  <c r="M71" i="36" s="1"/>
  <c r="L71" i="36" a="1"/>
  <c r="L71" i="36" s="1"/>
  <c r="K71" i="36" a="1"/>
  <c r="K71" i="36" s="1"/>
  <c r="J71" i="36" a="1"/>
  <c r="J71" i="36" s="1"/>
  <c r="I71" i="36" a="1"/>
  <c r="I71" i="36" s="1"/>
  <c r="H71" i="36" a="1"/>
  <c r="H71" i="36" s="1"/>
  <c r="G71" i="36" a="1"/>
  <c r="G71" i="36" s="1"/>
  <c r="F71" i="36" a="1"/>
  <c r="F71" i="36" s="1"/>
  <c r="E71" i="36" a="1"/>
  <c r="E71" i="36" s="1"/>
  <c r="D71" i="36" a="1"/>
  <c r="D71" i="36" s="1"/>
  <c r="C71" i="36" a="1"/>
  <c r="C71" i="36" s="1"/>
  <c r="AW70" i="36" a="1"/>
  <c r="AW70" i="36" s="1"/>
  <c r="AV70" i="36" a="1"/>
  <c r="AV70" i="36" s="1"/>
  <c r="AU70" i="36" a="1"/>
  <c r="AU70" i="36" s="1"/>
  <c r="AT70" i="36" a="1"/>
  <c r="AT70" i="36" s="1"/>
  <c r="AS70" i="36" a="1"/>
  <c r="AS70" i="36" s="1"/>
  <c r="AR70" i="36" a="1"/>
  <c r="AR70" i="36" s="1"/>
  <c r="AQ70" i="36" a="1"/>
  <c r="AQ70" i="36" s="1"/>
  <c r="AP70" i="36" a="1"/>
  <c r="AP70" i="36" s="1"/>
  <c r="AO70" i="36" a="1"/>
  <c r="AO70" i="36" s="1"/>
  <c r="AN70" i="36" a="1"/>
  <c r="AN70" i="36" s="1"/>
  <c r="AM70" i="36" a="1"/>
  <c r="AM70" i="36" s="1"/>
  <c r="AL70" i="36" a="1"/>
  <c r="AL70" i="36" s="1"/>
  <c r="AK70" i="36" a="1"/>
  <c r="AK70" i="36" s="1"/>
  <c r="AJ70" i="36" a="1"/>
  <c r="AJ70" i="36" s="1"/>
  <c r="AI70" i="36" a="1"/>
  <c r="AI70" i="36" s="1"/>
  <c r="AH70" i="36" a="1"/>
  <c r="AH70" i="36" s="1"/>
  <c r="AG70" i="36" a="1"/>
  <c r="AG70" i="36" s="1"/>
  <c r="AF70" i="36" a="1"/>
  <c r="AF70" i="36" s="1"/>
  <c r="AE70" i="36" a="1"/>
  <c r="AE70" i="36" s="1"/>
  <c r="AD70" i="36" a="1"/>
  <c r="AD70" i="36" s="1"/>
  <c r="AC70" i="36" a="1"/>
  <c r="AC70" i="36" s="1"/>
  <c r="AB70" i="36" a="1"/>
  <c r="AB70" i="36" s="1"/>
  <c r="AA70" i="36" a="1"/>
  <c r="AA70" i="36" s="1"/>
  <c r="Z70" i="36" a="1"/>
  <c r="Z70" i="36" s="1"/>
  <c r="Y70" i="36" a="1"/>
  <c r="Y70" i="36" s="1"/>
  <c r="X70" i="36" a="1"/>
  <c r="X70" i="36" s="1"/>
  <c r="W70" i="36" a="1"/>
  <c r="W70" i="36" s="1"/>
  <c r="V70" i="36" a="1"/>
  <c r="V70" i="36" s="1"/>
  <c r="U70" i="36" a="1"/>
  <c r="U70" i="36" s="1"/>
  <c r="T70" i="36" a="1"/>
  <c r="T70" i="36" s="1"/>
  <c r="S70" i="36" a="1"/>
  <c r="S70" i="36" s="1"/>
  <c r="R70" i="36" a="1"/>
  <c r="R70" i="36" s="1"/>
  <c r="Q70" i="36" a="1"/>
  <c r="Q70" i="36" s="1"/>
  <c r="P70" i="36" a="1"/>
  <c r="P70" i="36" s="1"/>
  <c r="O70" i="36" a="1"/>
  <c r="O70" i="36" s="1"/>
  <c r="N70" i="36" a="1"/>
  <c r="N70" i="36" s="1"/>
  <c r="M70" i="36" a="1"/>
  <c r="M70" i="36" s="1"/>
  <c r="L70" i="36" a="1"/>
  <c r="L70" i="36" s="1"/>
  <c r="K70" i="36" a="1"/>
  <c r="K70" i="36" s="1"/>
  <c r="J70" i="36" a="1"/>
  <c r="J70" i="36" s="1"/>
  <c r="I70" i="36" a="1"/>
  <c r="I70" i="36" s="1"/>
  <c r="H70" i="36" a="1"/>
  <c r="H70" i="36" s="1"/>
  <c r="G70" i="36" a="1"/>
  <c r="G70" i="36" s="1"/>
  <c r="F70" i="36" a="1"/>
  <c r="F70" i="36" s="1"/>
  <c r="E70" i="36" a="1"/>
  <c r="E70" i="36" s="1"/>
  <c r="D70" i="36" a="1"/>
  <c r="D70" i="36" s="1"/>
  <c r="C70" i="36" a="1"/>
  <c r="C70" i="36" s="1"/>
  <c r="AW69" i="36" a="1"/>
  <c r="AW69" i="36" s="1"/>
  <c r="AV69" i="36" a="1"/>
  <c r="AV69" i="36" s="1"/>
  <c r="AU69" i="36" a="1"/>
  <c r="AU69" i="36" s="1"/>
  <c r="AT69" i="36" a="1"/>
  <c r="AT69" i="36" s="1"/>
  <c r="AS69" i="36" a="1"/>
  <c r="AS69" i="36" s="1"/>
  <c r="AR69" i="36" a="1"/>
  <c r="AR69" i="36" s="1"/>
  <c r="AQ69" i="36" a="1"/>
  <c r="AQ69" i="36" s="1"/>
  <c r="AP69" i="36" a="1"/>
  <c r="AP69" i="36" s="1"/>
  <c r="AO69" i="36" a="1"/>
  <c r="AO69" i="36" s="1"/>
  <c r="AN69" i="36" a="1"/>
  <c r="AN69" i="36" s="1"/>
  <c r="AM69" i="36" a="1"/>
  <c r="AM69" i="36" s="1"/>
  <c r="AL69" i="36" a="1"/>
  <c r="AL69" i="36" s="1"/>
  <c r="AK69" i="36" a="1"/>
  <c r="AK69" i="36" s="1"/>
  <c r="AJ69" i="36" a="1"/>
  <c r="AJ69" i="36" s="1"/>
  <c r="AI69" i="36" a="1"/>
  <c r="AI69" i="36" s="1"/>
  <c r="AH69" i="36" a="1"/>
  <c r="AH69" i="36" s="1"/>
  <c r="AG69" i="36" a="1"/>
  <c r="AG69" i="36" s="1"/>
  <c r="AF69" i="36" a="1"/>
  <c r="AF69" i="36" s="1"/>
  <c r="AE69" i="36" a="1"/>
  <c r="AE69" i="36" s="1"/>
  <c r="AD69" i="36" a="1"/>
  <c r="AD69" i="36" s="1"/>
  <c r="AC69" i="36" a="1"/>
  <c r="AC69" i="36" s="1"/>
  <c r="AB69" i="36" a="1"/>
  <c r="AB69" i="36" s="1"/>
  <c r="AA69" i="36" a="1"/>
  <c r="AA69" i="36" s="1"/>
  <c r="Z69" i="36" a="1"/>
  <c r="Z69" i="36" s="1"/>
  <c r="Y69" i="36" a="1"/>
  <c r="Y69" i="36" s="1"/>
  <c r="X69" i="36" a="1"/>
  <c r="X69" i="36" s="1"/>
  <c r="W69" i="36" a="1"/>
  <c r="W69" i="36" s="1"/>
  <c r="V69" i="36" a="1"/>
  <c r="V69" i="36" s="1"/>
  <c r="U69" i="36" a="1"/>
  <c r="U69" i="36" s="1"/>
  <c r="T69" i="36" a="1"/>
  <c r="T69" i="36" s="1"/>
  <c r="S69" i="36" a="1"/>
  <c r="S69" i="36" s="1"/>
  <c r="R69" i="36" a="1"/>
  <c r="R69" i="36" s="1"/>
  <c r="Q69" i="36" a="1"/>
  <c r="Q69" i="36" s="1"/>
  <c r="P69" i="36" a="1"/>
  <c r="P69" i="36" s="1"/>
  <c r="O69" i="36" a="1"/>
  <c r="O69" i="36" s="1"/>
  <c r="N69" i="36" a="1"/>
  <c r="N69" i="36" s="1"/>
  <c r="M69" i="36" a="1"/>
  <c r="M69" i="36" s="1"/>
  <c r="L69" i="36" a="1"/>
  <c r="L69" i="36" s="1"/>
  <c r="K69" i="36" a="1"/>
  <c r="K69" i="36" s="1"/>
  <c r="J69" i="36" a="1"/>
  <c r="J69" i="36" s="1"/>
  <c r="I69" i="36" a="1"/>
  <c r="I69" i="36" s="1"/>
  <c r="H69" i="36" a="1"/>
  <c r="H69" i="36" s="1"/>
  <c r="G69" i="36" a="1"/>
  <c r="G69" i="36" s="1"/>
  <c r="F69" i="36" a="1"/>
  <c r="F69" i="36" s="1"/>
  <c r="E69" i="36" a="1"/>
  <c r="E69" i="36" s="1"/>
  <c r="D69" i="36" a="1"/>
  <c r="D69" i="36" s="1"/>
  <c r="C69" i="36" a="1"/>
  <c r="C69" i="36" s="1"/>
  <c r="AW68" i="36" a="1"/>
  <c r="AW68" i="36" s="1"/>
  <c r="AV68" i="36" a="1"/>
  <c r="AV68" i="36" s="1"/>
  <c r="AU68" i="36" a="1"/>
  <c r="AU68" i="36" s="1"/>
  <c r="AT68" i="36" a="1"/>
  <c r="AT68" i="36" s="1"/>
  <c r="AS68" i="36" a="1"/>
  <c r="AS68" i="36" s="1"/>
  <c r="AR68" i="36" a="1"/>
  <c r="AR68" i="36" s="1"/>
  <c r="AQ68" i="36" a="1"/>
  <c r="AQ68" i="36" s="1"/>
  <c r="AP68" i="36" a="1"/>
  <c r="AP68" i="36" s="1"/>
  <c r="AO68" i="36" a="1"/>
  <c r="AO68" i="36" s="1"/>
  <c r="AN68" i="36" a="1"/>
  <c r="AN68" i="36" s="1"/>
  <c r="AM68" i="36" a="1"/>
  <c r="AM68" i="36" s="1"/>
  <c r="AL68" i="36" a="1"/>
  <c r="AL68" i="36" s="1"/>
  <c r="AK68" i="36" a="1"/>
  <c r="AK68" i="36" s="1"/>
  <c r="AJ68" i="36" a="1"/>
  <c r="AJ68" i="36" s="1"/>
  <c r="AI68" i="36" a="1"/>
  <c r="AI68" i="36" s="1"/>
  <c r="AH68" i="36" a="1"/>
  <c r="AH68" i="36" s="1"/>
  <c r="AG68" i="36" a="1"/>
  <c r="AG68" i="36" s="1"/>
  <c r="AF68" i="36" a="1"/>
  <c r="AF68" i="36" s="1"/>
  <c r="AE68" i="36" a="1"/>
  <c r="AE68" i="36" s="1"/>
  <c r="AD68" i="36" a="1"/>
  <c r="AD68" i="36" s="1"/>
  <c r="AC68" i="36" a="1"/>
  <c r="AC68" i="36" s="1"/>
  <c r="AB68" i="36" a="1"/>
  <c r="AB68" i="36" s="1"/>
  <c r="AA68" i="36" a="1"/>
  <c r="AA68" i="36" s="1"/>
  <c r="Z68" i="36" a="1"/>
  <c r="Z68" i="36" s="1"/>
  <c r="Y68" i="36" a="1"/>
  <c r="Y68" i="36" s="1"/>
  <c r="X68" i="36" a="1"/>
  <c r="X68" i="36" s="1"/>
  <c r="W68" i="36" a="1"/>
  <c r="W68" i="36" s="1"/>
  <c r="V68" i="36" a="1"/>
  <c r="V68" i="36" s="1"/>
  <c r="U68" i="36" a="1"/>
  <c r="U68" i="36" s="1"/>
  <c r="T68" i="36" a="1"/>
  <c r="T68" i="36" s="1"/>
  <c r="S68" i="36" a="1"/>
  <c r="S68" i="36" s="1"/>
  <c r="R68" i="36" a="1"/>
  <c r="R68" i="36" s="1"/>
  <c r="Q68" i="36" a="1"/>
  <c r="Q68" i="36" s="1"/>
  <c r="P68" i="36" a="1"/>
  <c r="P68" i="36" s="1"/>
  <c r="O68" i="36" a="1"/>
  <c r="O68" i="36" s="1"/>
  <c r="N68" i="36" a="1"/>
  <c r="N68" i="36" s="1"/>
  <c r="M68" i="36" a="1"/>
  <c r="M68" i="36" s="1"/>
  <c r="L68" i="36" a="1"/>
  <c r="L68" i="36" s="1"/>
  <c r="K68" i="36" a="1"/>
  <c r="K68" i="36" s="1"/>
  <c r="J68" i="36" a="1"/>
  <c r="J68" i="36" s="1"/>
  <c r="I68" i="36" a="1"/>
  <c r="I68" i="36" s="1"/>
  <c r="H68" i="36" a="1"/>
  <c r="H68" i="36" s="1"/>
  <c r="G68" i="36" a="1"/>
  <c r="G68" i="36" s="1"/>
  <c r="F68" i="36" a="1"/>
  <c r="F68" i="36" s="1"/>
  <c r="E68" i="36" a="1"/>
  <c r="E68" i="36" s="1"/>
  <c r="D68" i="36" a="1"/>
  <c r="D68" i="36" s="1"/>
  <c r="C68" i="36" a="1"/>
  <c r="C68" i="36" s="1"/>
  <c r="AW67" i="36" a="1"/>
  <c r="AW67" i="36" s="1"/>
  <c r="AV67" i="36" a="1"/>
  <c r="AV67" i="36" s="1"/>
  <c r="AU67" i="36" a="1"/>
  <c r="AU67" i="36" s="1"/>
  <c r="AT67" i="36" a="1"/>
  <c r="AT67" i="36" s="1"/>
  <c r="AS67" i="36" a="1"/>
  <c r="AS67" i="36" s="1"/>
  <c r="AR67" i="36" a="1"/>
  <c r="AR67" i="36" s="1"/>
  <c r="AQ67" i="36" a="1"/>
  <c r="AQ67" i="36" s="1"/>
  <c r="AP67" i="36" a="1"/>
  <c r="AP67" i="36" s="1"/>
  <c r="AO67" i="36" a="1"/>
  <c r="AO67" i="36" s="1"/>
  <c r="AN67" i="36" a="1"/>
  <c r="AN67" i="36" s="1"/>
  <c r="AM67" i="36" a="1"/>
  <c r="AM67" i="36" s="1"/>
  <c r="AL67" i="36" a="1"/>
  <c r="AL67" i="36" s="1"/>
  <c r="AK67" i="36" a="1"/>
  <c r="AK67" i="36" s="1"/>
  <c r="AJ67" i="36" a="1"/>
  <c r="AJ67" i="36" s="1"/>
  <c r="AI67" i="36" a="1"/>
  <c r="AI67" i="36" s="1"/>
  <c r="AH67" i="36" a="1"/>
  <c r="AH67" i="36" s="1"/>
  <c r="AG67" i="36" a="1"/>
  <c r="AG67" i="36" s="1"/>
  <c r="AF67" i="36" a="1"/>
  <c r="AF67" i="36" s="1"/>
  <c r="AE67" i="36" a="1"/>
  <c r="AE67" i="36" s="1"/>
  <c r="AD67" i="36" a="1"/>
  <c r="AD67" i="36" s="1"/>
  <c r="AC67" i="36" a="1"/>
  <c r="AC67" i="36" s="1"/>
  <c r="AB67" i="36" a="1"/>
  <c r="AB67" i="36" s="1"/>
  <c r="AA67" i="36" a="1"/>
  <c r="AA67" i="36" s="1"/>
  <c r="Z67" i="36" a="1"/>
  <c r="Z67" i="36" s="1"/>
  <c r="Y67" i="36" a="1"/>
  <c r="Y67" i="36" s="1"/>
  <c r="X67" i="36" a="1"/>
  <c r="X67" i="36" s="1"/>
  <c r="W67" i="36" a="1"/>
  <c r="W67" i="36" s="1"/>
  <c r="V67" i="36" a="1"/>
  <c r="V67" i="36" s="1"/>
  <c r="U67" i="36" a="1"/>
  <c r="U67" i="36" s="1"/>
  <c r="T67" i="36" a="1"/>
  <c r="T67" i="36" s="1"/>
  <c r="S67" i="36" a="1"/>
  <c r="S67" i="36" s="1"/>
  <c r="R67" i="36" a="1"/>
  <c r="R67" i="36" s="1"/>
  <c r="Q67" i="36" a="1"/>
  <c r="Q67" i="36" s="1"/>
  <c r="P67" i="36" a="1"/>
  <c r="P67" i="36" s="1"/>
  <c r="O67" i="36" a="1"/>
  <c r="O67" i="36" s="1"/>
  <c r="N67" i="36" a="1"/>
  <c r="N67" i="36" s="1"/>
  <c r="M67" i="36" a="1"/>
  <c r="M67" i="36" s="1"/>
  <c r="L67" i="36" a="1"/>
  <c r="L67" i="36" s="1"/>
  <c r="K67" i="36" a="1"/>
  <c r="K67" i="36" s="1"/>
  <c r="J67" i="36" a="1"/>
  <c r="J67" i="36" s="1"/>
  <c r="I67" i="36" a="1"/>
  <c r="I67" i="36" s="1"/>
  <c r="H67" i="36" a="1"/>
  <c r="H67" i="36" s="1"/>
  <c r="G67" i="36" a="1"/>
  <c r="G67" i="36" s="1"/>
  <c r="F67" i="36" a="1"/>
  <c r="F67" i="36" s="1"/>
  <c r="E67" i="36" a="1"/>
  <c r="E67" i="36" s="1"/>
  <c r="D67" i="36" a="1"/>
  <c r="D67" i="36" s="1"/>
  <c r="C67" i="36" a="1"/>
  <c r="C67" i="36" s="1"/>
  <c r="AW66" i="36" a="1"/>
  <c r="AW66" i="36" s="1"/>
  <c r="AV66" i="36" a="1"/>
  <c r="AV66" i="36" s="1"/>
  <c r="AU66" i="36" a="1"/>
  <c r="AU66" i="36" s="1"/>
  <c r="AT66" i="36" a="1"/>
  <c r="AT66" i="36" s="1"/>
  <c r="AS66" i="36" a="1"/>
  <c r="AS66" i="36" s="1"/>
  <c r="AR66" i="36" a="1"/>
  <c r="AR66" i="36" s="1"/>
  <c r="AQ66" i="36" a="1"/>
  <c r="AQ66" i="36" s="1"/>
  <c r="AP66" i="36" a="1"/>
  <c r="AP66" i="36" s="1"/>
  <c r="AO66" i="36" a="1"/>
  <c r="AO66" i="36" s="1"/>
  <c r="AN66" i="36" a="1"/>
  <c r="AN66" i="36" s="1"/>
  <c r="AM66" i="36" a="1"/>
  <c r="AM66" i="36" s="1"/>
  <c r="AL66" i="36" a="1"/>
  <c r="AL66" i="36" s="1"/>
  <c r="AK66" i="36" a="1"/>
  <c r="AK66" i="36" s="1"/>
  <c r="AJ66" i="36" a="1"/>
  <c r="AJ66" i="36" s="1"/>
  <c r="AI66" i="36" a="1"/>
  <c r="AI66" i="36" s="1"/>
  <c r="AH66" i="36" a="1"/>
  <c r="AH66" i="36" s="1"/>
  <c r="AG66" i="36" a="1"/>
  <c r="AG66" i="36" s="1"/>
  <c r="AF66" i="36" a="1"/>
  <c r="AF66" i="36" s="1"/>
  <c r="AE66" i="36" a="1"/>
  <c r="AE66" i="36" s="1"/>
  <c r="AD66" i="36" a="1"/>
  <c r="AD66" i="36" s="1"/>
  <c r="AC66" i="36" a="1"/>
  <c r="AC66" i="36" s="1"/>
  <c r="AB66" i="36" a="1"/>
  <c r="AB66" i="36" s="1"/>
  <c r="AA66" i="36" a="1"/>
  <c r="AA66" i="36" s="1"/>
  <c r="Z66" i="36" a="1"/>
  <c r="Z66" i="36" s="1"/>
  <c r="Y66" i="36" a="1"/>
  <c r="Y66" i="36" s="1"/>
  <c r="X66" i="36" a="1"/>
  <c r="X66" i="36" s="1"/>
  <c r="W66" i="36" a="1"/>
  <c r="W66" i="36" s="1"/>
  <c r="V66" i="36" a="1"/>
  <c r="V66" i="36" s="1"/>
  <c r="U66" i="36" a="1"/>
  <c r="U66" i="36" s="1"/>
  <c r="T66" i="36" a="1"/>
  <c r="T66" i="36" s="1"/>
  <c r="S66" i="36" a="1"/>
  <c r="S66" i="36" s="1"/>
  <c r="R66" i="36" a="1"/>
  <c r="R66" i="36" s="1"/>
  <c r="Q66" i="36" a="1"/>
  <c r="Q66" i="36" s="1"/>
  <c r="P66" i="36" a="1"/>
  <c r="P66" i="36" s="1"/>
  <c r="O66" i="36" a="1"/>
  <c r="O66" i="36" s="1"/>
  <c r="N66" i="36" a="1"/>
  <c r="N66" i="36" s="1"/>
  <c r="M66" i="36" a="1"/>
  <c r="M66" i="36" s="1"/>
  <c r="L66" i="36" a="1"/>
  <c r="L66" i="36" s="1"/>
  <c r="K66" i="36" a="1"/>
  <c r="K66" i="36" s="1"/>
  <c r="J66" i="36" a="1"/>
  <c r="J66" i="36" s="1"/>
  <c r="I66" i="36" a="1"/>
  <c r="I66" i="36" s="1"/>
  <c r="H66" i="36" a="1"/>
  <c r="H66" i="36" s="1"/>
  <c r="G66" i="36" a="1"/>
  <c r="G66" i="36" s="1"/>
  <c r="F66" i="36" a="1"/>
  <c r="F66" i="36" s="1"/>
  <c r="E66" i="36" a="1"/>
  <c r="E66" i="36" s="1"/>
  <c r="D66" i="36" a="1"/>
  <c r="D66" i="36" s="1"/>
  <c r="C66" i="36" a="1"/>
  <c r="C66" i="36" s="1"/>
  <c r="AW65" i="36" a="1"/>
  <c r="AW65" i="36" s="1"/>
  <c r="AV65" i="36" a="1"/>
  <c r="AV65" i="36" s="1"/>
  <c r="AU65" i="36" a="1"/>
  <c r="AU65" i="36" s="1"/>
  <c r="AT65" i="36" a="1"/>
  <c r="AT65" i="36" s="1"/>
  <c r="AS65" i="36" a="1"/>
  <c r="AS65" i="36" s="1"/>
  <c r="AR65" i="36" a="1"/>
  <c r="AR65" i="36" s="1"/>
  <c r="AQ65" i="36" a="1"/>
  <c r="AQ65" i="36" s="1"/>
  <c r="AP65" i="36" a="1"/>
  <c r="AP65" i="36" s="1"/>
  <c r="AO65" i="36" a="1"/>
  <c r="AO65" i="36" s="1"/>
  <c r="AN65" i="36" a="1"/>
  <c r="AN65" i="36" s="1"/>
  <c r="AM65" i="36" a="1"/>
  <c r="AM65" i="36" s="1"/>
  <c r="AL65" i="36" a="1"/>
  <c r="AL65" i="36" s="1"/>
  <c r="AK65" i="36" a="1"/>
  <c r="AK65" i="36" s="1"/>
  <c r="AJ65" i="36" a="1"/>
  <c r="AJ65" i="36" s="1"/>
  <c r="AI65" i="36" a="1"/>
  <c r="AI65" i="36" s="1"/>
  <c r="AH65" i="36" a="1"/>
  <c r="AH65" i="36" s="1"/>
  <c r="AG65" i="36" a="1"/>
  <c r="AG65" i="36" s="1"/>
  <c r="AF65" i="36" a="1"/>
  <c r="AF65" i="36" s="1"/>
  <c r="AE65" i="36" a="1"/>
  <c r="AE65" i="36" s="1"/>
  <c r="AD65" i="36" a="1"/>
  <c r="AD65" i="36" s="1"/>
  <c r="AC65" i="36" a="1"/>
  <c r="AC65" i="36" s="1"/>
  <c r="AB65" i="36" a="1"/>
  <c r="AB65" i="36" s="1"/>
  <c r="AA65" i="36" a="1"/>
  <c r="AA65" i="36" s="1"/>
  <c r="Z65" i="36" a="1"/>
  <c r="Z65" i="36" s="1"/>
  <c r="Y65" i="36" a="1"/>
  <c r="Y65" i="36" s="1"/>
  <c r="X65" i="36" a="1"/>
  <c r="X65" i="36" s="1"/>
  <c r="W65" i="36" a="1"/>
  <c r="W65" i="36" s="1"/>
  <c r="V65" i="36" a="1"/>
  <c r="V65" i="36" s="1"/>
  <c r="U65" i="36" a="1"/>
  <c r="U65" i="36" s="1"/>
  <c r="T65" i="36" a="1"/>
  <c r="T65" i="36" s="1"/>
  <c r="S65" i="36" a="1"/>
  <c r="S65" i="36" s="1"/>
  <c r="R65" i="36" a="1"/>
  <c r="R65" i="36" s="1"/>
  <c r="Q65" i="36" a="1"/>
  <c r="Q65" i="36" s="1"/>
  <c r="P65" i="36" a="1"/>
  <c r="P65" i="36" s="1"/>
  <c r="O65" i="36" a="1"/>
  <c r="O65" i="36" s="1"/>
  <c r="N65" i="36" a="1"/>
  <c r="N65" i="36" s="1"/>
  <c r="M65" i="36" a="1"/>
  <c r="M65" i="36" s="1"/>
  <c r="L65" i="36" a="1"/>
  <c r="L65" i="36" s="1"/>
  <c r="K65" i="36" a="1"/>
  <c r="K65" i="36" s="1"/>
  <c r="J65" i="36" a="1"/>
  <c r="J65" i="36" s="1"/>
  <c r="I65" i="36" a="1"/>
  <c r="I65" i="36" s="1"/>
  <c r="H65" i="36" a="1"/>
  <c r="H65" i="36" s="1"/>
  <c r="G65" i="36" a="1"/>
  <c r="G65" i="36" s="1"/>
  <c r="F65" i="36" a="1"/>
  <c r="F65" i="36" s="1"/>
  <c r="E65" i="36" a="1"/>
  <c r="E65" i="36" s="1"/>
  <c r="D65" i="36" a="1"/>
  <c r="D65" i="36" s="1"/>
  <c r="C65" i="36" a="1"/>
  <c r="C65" i="36" s="1"/>
  <c r="AW64" i="36" a="1"/>
  <c r="AW64" i="36" s="1"/>
  <c r="AV64" i="36" a="1"/>
  <c r="AV64" i="36" s="1"/>
  <c r="AU64" i="36" a="1"/>
  <c r="AU64" i="36" s="1"/>
  <c r="AT64" i="36" a="1"/>
  <c r="AT64" i="36" s="1"/>
  <c r="AS64" i="36" a="1"/>
  <c r="AS64" i="36" s="1"/>
  <c r="AR64" i="36" a="1"/>
  <c r="AR64" i="36" s="1"/>
  <c r="AQ64" i="36" a="1"/>
  <c r="AQ64" i="36" s="1"/>
  <c r="AP64" i="36" a="1"/>
  <c r="AP64" i="36" s="1"/>
  <c r="AO64" i="36" a="1"/>
  <c r="AO64" i="36" s="1"/>
  <c r="AN64" i="36" a="1"/>
  <c r="AN64" i="36" s="1"/>
  <c r="AM64" i="36" a="1"/>
  <c r="AM64" i="36" s="1"/>
  <c r="AL64" i="36" a="1"/>
  <c r="AL64" i="36" s="1"/>
  <c r="AK64" i="36" a="1"/>
  <c r="AK64" i="36" s="1"/>
  <c r="AJ64" i="36" a="1"/>
  <c r="AJ64" i="36" s="1"/>
  <c r="AI64" i="36" a="1"/>
  <c r="AI64" i="36" s="1"/>
  <c r="AH64" i="36" a="1"/>
  <c r="AH64" i="36" s="1"/>
  <c r="AG64" i="36" a="1"/>
  <c r="AG64" i="36" s="1"/>
  <c r="AF64" i="36" a="1"/>
  <c r="AF64" i="36" s="1"/>
  <c r="AE64" i="36" a="1"/>
  <c r="AE64" i="36" s="1"/>
  <c r="AD64" i="36" a="1"/>
  <c r="AD64" i="36" s="1"/>
  <c r="AC64" i="36" a="1"/>
  <c r="AC64" i="36" s="1"/>
  <c r="AB64" i="36" a="1"/>
  <c r="AB64" i="36" s="1"/>
  <c r="AA64" i="36" a="1"/>
  <c r="AA64" i="36" s="1"/>
  <c r="Z64" i="36" a="1"/>
  <c r="Z64" i="36" s="1"/>
  <c r="Y64" i="36" a="1"/>
  <c r="Y64" i="36" s="1"/>
  <c r="X64" i="36" a="1"/>
  <c r="X64" i="36" s="1"/>
  <c r="W64" i="36" a="1"/>
  <c r="W64" i="36" s="1"/>
  <c r="V64" i="36" a="1"/>
  <c r="V64" i="36" s="1"/>
  <c r="U64" i="36" a="1"/>
  <c r="U64" i="36" s="1"/>
  <c r="T64" i="36" a="1"/>
  <c r="T64" i="36" s="1"/>
  <c r="S64" i="36" a="1"/>
  <c r="S64" i="36" s="1"/>
  <c r="R64" i="36" a="1"/>
  <c r="R64" i="36" s="1"/>
  <c r="Q64" i="36" a="1"/>
  <c r="Q64" i="36" s="1"/>
  <c r="P64" i="36" a="1"/>
  <c r="P64" i="36" s="1"/>
  <c r="O64" i="36" a="1"/>
  <c r="O64" i="36" s="1"/>
  <c r="N64" i="36" a="1"/>
  <c r="N64" i="36" s="1"/>
  <c r="M64" i="36" a="1"/>
  <c r="M64" i="36" s="1"/>
  <c r="L64" i="36" a="1"/>
  <c r="L64" i="36" s="1"/>
  <c r="K64" i="36" a="1"/>
  <c r="K64" i="36" s="1"/>
  <c r="J64" i="36" a="1"/>
  <c r="J64" i="36" s="1"/>
  <c r="I64" i="36" a="1"/>
  <c r="I64" i="36" s="1"/>
  <c r="H64" i="36" a="1"/>
  <c r="H64" i="36" s="1"/>
  <c r="G64" i="36" a="1"/>
  <c r="G64" i="36" s="1"/>
  <c r="F64" i="36" a="1"/>
  <c r="F64" i="36" s="1"/>
  <c r="E64" i="36" a="1"/>
  <c r="E64" i="36" s="1"/>
  <c r="D64" i="36" a="1"/>
  <c r="D64" i="36" s="1"/>
  <c r="C64" i="36" a="1"/>
  <c r="C64" i="36" s="1"/>
  <c r="AW63" i="36" a="1"/>
  <c r="AW63" i="36" s="1"/>
  <c r="AV63" i="36" a="1"/>
  <c r="AV63" i="36" s="1"/>
  <c r="AU63" i="36" a="1"/>
  <c r="AU63" i="36" s="1"/>
  <c r="AT63" i="36" a="1"/>
  <c r="AT63" i="36" s="1"/>
  <c r="AS63" i="36" a="1"/>
  <c r="AS63" i="36" s="1"/>
  <c r="AR63" i="36" a="1"/>
  <c r="AR63" i="36" s="1"/>
  <c r="AQ63" i="36" a="1"/>
  <c r="AQ63" i="36" s="1"/>
  <c r="AP63" i="36" a="1"/>
  <c r="AP63" i="36" s="1"/>
  <c r="AO63" i="36" a="1"/>
  <c r="AO63" i="36" s="1"/>
  <c r="AN63" i="36" a="1"/>
  <c r="AN63" i="36" s="1"/>
  <c r="AM63" i="36" a="1"/>
  <c r="AM63" i="36" s="1"/>
  <c r="AL63" i="36" a="1"/>
  <c r="AL63" i="36" s="1"/>
  <c r="AK63" i="36" a="1"/>
  <c r="AK63" i="36" s="1"/>
  <c r="AJ63" i="36" a="1"/>
  <c r="AJ63" i="36" s="1"/>
  <c r="AI63" i="36" a="1"/>
  <c r="AI63" i="36" s="1"/>
  <c r="AH63" i="36" a="1"/>
  <c r="AH63" i="36" s="1"/>
  <c r="AG63" i="36" a="1"/>
  <c r="AG63" i="36" s="1"/>
  <c r="AF63" i="36" a="1"/>
  <c r="AF63" i="36" s="1"/>
  <c r="AE63" i="36" a="1"/>
  <c r="AE63" i="36" s="1"/>
  <c r="AD63" i="36" a="1"/>
  <c r="AD63" i="36" s="1"/>
  <c r="AC63" i="36" a="1"/>
  <c r="AC63" i="36" s="1"/>
  <c r="AB63" i="36" a="1"/>
  <c r="AB63" i="36" s="1"/>
  <c r="AA63" i="36" a="1"/>
  <c r="AA63" i="36" s="1"/>
  <c r="Z63" i="36" a="1"/>
  <c r="Z63" i="36" s="1"/>
  <c r="Y63" i="36" a="1"/>
  <c r="Y63" i="36" s="1"/>
  <c r="X63" i="36" a="1"/>
  <c r="X63" i="36" s="1"/>
  <c r="W63" i="36" a="1"/>
  <c r="W63" i="36" s="1"/>
  <c r="V63" i="36" a="1"/>
  <c r="V63" i="36" s="1"/>
  <c r="U63" i="36" a="1"/>
  <c r="U63" i="36" s="1"/>
  <c r="T63" i="36" a="1"/>
  <c r="T63" i="36" s="1"/>
  <c r="S63" i="36" a="1"/>
  <c r="S63" i="36" s="1"/>
  <c r="R63" i="36" a="1"/>
  <c r="R63" i="36" s="1"/>
  <c r="Q63" i="36" a="1"/>
  <c r="Q63" i="36" s="1"/>
  <c r="P63" i="36" a="1"/>
  <c r="P63" i="36" s="1"/>
  <c r="O63" i="36" a="1"/>
  <c r="O63" i="36" s="1"/>
  <c r="N63" i="36" a="1"/>
  <c r="N63" i="36" s="1"/>
  <c r="M63" i="36" a="1"/>
  <c r="M63" i="36" s="1"/>
  <c r="L63" i="36" a="1"/>
  <c r="L63" i="36" s="1"/>
  <c r="K63" i="36" a="1"/>
  <c r="K63" i="36" s="1"/>
  <c r="J63" i="36" a="1"/>
  <c r="J63" i="36" s="1"/>
  <c r="I63" i="36" a="1"/>
  <c r="I63" i="36" s="1"/>
  <c r="H63" i="36" a="1"/>
  <c r="H63" i="36" s="1"/>
  <c r="G63" i="36" a="1"/>
  <c r="G63" i="36" s="1"/>
  <c r="F63" i="36" a="1"/>
  <c r="F63" i="36" s="1"/>
  <c r="E63" i="36" a="1"/>
  <c r="E63" i="36" s="1"/>
  <c r="D63" i="36" a="1"/>
  <c r="D63" i="36" s="1"/>
  <c r="C63" i="36" a="1"/>
  <c r="C63" i="36" s="1"/>
  <c r="AW62" i="36" a="1"/>
  <c r="AW62" i="36" s="1"/>
  <c r="AV62" i="36" a="1"/>
  <c r="AV62" i="36" s="1"/>
  <c r="AU62" i="36" a="1"/>
  <c r="AU62" i="36" s="1"/>
  <c r="AT62" i="36" a="1"/>
  <c r="AT62" i="36" s="1"/>
  <c r="AS62" i="36" a="1"/>
  <c r="AS62" i="36" s="1"/>
  <c r="AR62" i="36" a="1"/>
  <c r="AR62" i="36" s="1"/>
  <c r="AQ62" i="36" a="1"/>
  <c r="AQ62" i="36" s="1"/>
  <c r="AP62" i="36" a="1"/>
  <c r="AP62" i="36" s="1"/>
  <c r="AO62" i="36" a="1"/>
  <c r="AO62" i="36" s="1"/>
  <c r="AN62" i="36" a="1"/>
  <c r="AN62" i="36" s="1"/>
  <c r="AM62" i="36" a="1"/>
  <c r="AM62" i="36" s="1"/>
  <c r="AL62" i="36" a="1"/>
  <c r="AL62" i="36" s="1"/>
  <c r="AK62" i="36" a="1"/>
  <c r="AK62" i="36" s="1"/>
  <c r="AJ62" i="36" a="1"/>
  <c r="AJ62" i="36" s="1"/>
  <c r="AI62" i="36" a="1"/>
  <c r="AI62" i="36" s="1"/>
  <c r="AH62" i="36" a="1"/>
  <c r="AH62" i="36" s="1"/>
  <c r="AG62" i="36" a="1"/>
  <c r="AG62" i="36" s="1"/>
  <c r="AF62" i="36" a="1"/>
  <c r="AF62" i="36" s="1"/>
  <c r="AE62" i="36" a="1"/>
  <c r="AE62" i="36" s="1"/>
  <c r="AD62" i="36" a="1"/>
  <c r="AD62" i="36" s="1"/>
  <c r="AC62" i="36" a="1"/>
  <c r="AC62" i="36" s="1"/>
  <c r="AB62" i="36" a="1"/>
  <c r="AB62" i="36" s="1"/>
  <c r="AA62" i="36" a="1"/>
  <c r="AA62" i="36" s="1"/>
  <c r="Z62" i="36" a="1"/>
  <c r="Z62" i="36" s="1"/>
  <c r="Y62" i="36" a="1"/>
  <c r="Y62" i="36" s="1"/>
  <c r="X62" i="36" a="1"/>
  <c r="X62" i="36" s="1"/>
  <c r="W62" i="36" a="1"/>
  <c r="W62" i="36" s="1"/>
  <c r="V62" i="36" a="1"/>
  <c r="V62" i="36" s="1"/>
  <c r="U62" i="36" a="1"/>
  <c r="U62" i="36" s="1"/>
  <c r="T62" i="36" a="1"/>
  <c r="T62" i="36" s="1"/>
  <c r="S62" i="36" a="1"/>
  <c r="S62" i="36" s="1"/>
  <c r="R62" i="36" a="1"/>
  <c r="R62" i="36" s="1"/>
  <c r="Q62" i="36" a="1"/>
  <c r="Q62" i="36" s="1"/>
  <c r="P62" i="36" a="1"/>
  <c r="P62" i="36" s="1"/>
  <c r="O62" i="36" a="1"/>
  <c r="O62" i="36" s="1"/>
  <c r="N62" i="36" a="1"/>
  <c r="N62" i="36" s="1"/>
  <c r="M62" i="36" a="1"/>
  <c r="M62" i="36" s="1"/>
  <c r="L62" i="36" a="1"/>
  <c r="L62" i="36" s="1"/>
  <c r="K62" i="36" a="1"/>
  <c r="K62" i="36" s="1"/>
  <c r="J62" i="36" a="1"/>
  <c r="J62" i="36" s="1"/>
  <c r="I62" i="36" a="1"/>
  <c r="I62" i="36" s="1"/>
  <c r="H62" i="36" a="1"/>
  <c r="H62" i="36" s="1"/>
  <c r="G62" i="36" a="1"/>
  <c r="G62" i="36" s="1"/>
  <c r="F62" i="36" a="1"/>
  <c r="F62" i="36" s="1"/>
  <c r="E62" i="36" a="1"/>
  <c r="E62" i="36" s="1"/>
  <c r="D62" i="36" a="1"/>
  <c r="D62" i="36" s="1"/>
  <c r="C62" i="36" a="1"/>
  <c r="C62" i="36" s="1"/>
  <c r="AW61" i="36" a="1"/>
  <c r="AW61" i="36" s="1"/>
  <c r="AV61" i="36" a="1"/>
  <c r="AV61" i="36" s="1"/>
  <c r="AU61" i="36" a="1"/>
  <c r="AU61" i="36" s="1"/>
  <c r="AT61" i="36" a="1"/>
  <c r="AT61" i="36" s="1"/>
  <c r="AS61" i="36" a="1"/>
  <c r="AS61" i="36" s="1"/>
  <c r="AR61" i="36" a="1"/>
  <c r="AR61" i="36" s="1"/>
  <c r="AQ61" i="36" a="1"/>
  <c r="AQ61" i="36" s="1"/>
  <c r="AP61" i="36" a="1"/>
  <c r="AP61" i="36" s="1"/>
  <c r="AO61" i="36" a="1"/>
  <c r="AO61" i="36" s="1"/>
  <c r="AN61" i="36" a="1"/>
  <c r="AN61" i="36" s="1"/>
  <c r="AM61" i="36" a="1"/>
  <c r="AM61" i="36" s="1"/>
  <c r="AL61" i="36" a="1"/>
  <c r="AL61" i="36" s="1"/>
  <c r="AK61" i="36" a="1"/>
  <c r="AK61" i="36" s="1"/>
  <c r="AJ61" i="36" a="1"/>
  <c r="AJ61" i="36" s="1"/>
  <c r="AI61" i="36" a="1"/>
  <c r="AI61" i="36" s="1"/>
  <c r="AH61" i="36" a="1"/>
  <c r="AH61" i="36" s="1"/>
  <c r="AG61" i="36" a="1"/>
  <c r="AG61" i="36" s="1"/>
  <c r="AF61" i="36" a="1"/>
  <c r="AF61" i="36" s="1"/>
  <c r="AE61" i="36" a="1"/>
  <c r="AE61" i="36" s="1"/>
  <c r="AD61" i="36" a="1"/>
  <c r="AD61" i="36" s="1"/>
  <c r="AC61" i="36" a="1"/>
  <c r="AC61" i="36" s="1"/>
  <c r="AB61" i="36" a="1"/>
  <c r="AB61" i="36" s="1"/>
  <c r="AA61" i="36" a="1"/>
  <c r="AA61" i="36" s="1"/>
  <c r="Z61" i="36" a="1"/>
  <c r="Z61" i="36" s="1"/>
  <c r="Y61" i="36" a="1"/>
  <c r="Y61" i="36" s="1"/>
  <c r="X61" i="36" a="1"/>
  <c r="X61" i="36" s="1"/>
  <c r="W61" i="36" a="1"/>
  <c r="W61" i="36" s="1"/>
  <c r="V61" i="36" a="1"/>
  <c r="V61" i="36" s="1"/>
  <c r="U61" i="36" a="1"/>
  <c r="U61" i="36" s="1"/>
  <c r="T61" i="36" a="1"/>
  <c r="T61" i="36" s="1"/>
  <c r="S61" i="36" a="1"/>
  <c r="S61" i="36" s="1"/>
  <c r="R61" i="36" a="1"/>
  <c r="R61" i="36" s="1"/>
  <c r="Q61" i="36" a="1"/>
  <c r="Q61" i="36" s="1"/>
  <c r="P61" i="36" a="1"/>
  <c r="P61" i="36" s="1"/>
  <c r="O61" i="36" a="1"/>
  <c r="O61" i="36" s="1"/>
  <c r="N61" i="36" a="1"/>
  <c r="N61" i="36" s="1"/>
  <c r="M61" i="36" a="1"/>
  <c r="M61" i="36" s="1"/>
  <c r="L61" i="36" a="1"/>
  <c r="L61" i="36" s="1"/>
  <c r="K61" i="36" a="1"/>
  <c r="K61" i="36" s="1"/>
  <c r="J61" i="36" a="1"/>
  <c r="J61" i="36" s="1"/>
  <c r="I61" i="36" a="1"/>
  <c r="I61" i="36" s="1"/>
  <c r="H61" i="36" a="1"/>
  <c r="H61" i="36" s="1"/>
  <c r="G61" i="36" a="1"/>
  <c r="G61" i="36" s="1"/>
  <c r="F61" i="36" a="1"/>
  <c r="F61" i="36" s="1"/>
  <c r="E61" i="36" a="1"/>
  <c r="E61" i="36" s="1"/>
  <c r="D61" i="36" a="1"/>
  <c r="D61" i="36" s="1"/>
  <c r="C61" i="36" a="1"/>
  <c r="C61" i="36" s="1"/>
  <c r="AW60" i="36" a="1"/>
  <c r="AW60" i="36" s="1"/>
  <c r="AV60" i="36" a="1"/>
  <c r="AV60" i="36" s="1"/>
  <c r="AU60" i="36" a="1"/>
  <c r="AU60" i="36" s="1"/>
  <c r="AT60" i="36" a="1"/>
  <c r="AT60" i="36" s="1"/>
  <c r="AS60" i="36" a="1"/>
  <c r="AS60" i="36" s="1"/>
  <c r="AR60" i="36" a="1"/>
  <c r="AR60" i="36" s="1"/>
  <c r="AQ60" i="36" a="1"/>
  <c r="AQ60" i="36" s="1"/>
  <c r="AP60" i="36" a="1"/>
  <c r="AP60" i="36" s="1"/>
  <c r="AO60" i="36" a="1"/>
  <c r="AO60" i="36" s="1"/>
  <c r="AN60" i="36" a="1"/>
  <c r="AN60" i="36" s="1"/>
  <c r="AM60" i="36" a="1"/>
  <c r="AM60" i="36" s="1"/>
  <c r="AL60" i="36" a="1"/>
  <c r="AL60" i="36" s="1"/>
  <c r="AK60" i="36" a="1"/>
  <c r="AK60" i="36" s="1"/>
  <c r="AJ60" i="36" a="1"/>
  <c r="AJ60" i="36" s="1"/>
  <c r="AI60" i="36" a="1"/>
  <c r="AI60" i="36" s="1"/>
  <c r="AH60" i="36" a="1"/>
  <c r="AH60" i="36" s="1"/>
  <c r="AG60" i="36" a="1"/>
  <c r="AG60" i="36" s="1"/>
  <c r="AF60" i="36" a="1"/>
  <c r="AF60" i="36" s="1"/>
  <c r="AE60" i="36" a="1"/>
  <c r="AE60" i="36" s="1"/>
  <c r="AD60" i="36" a="1"/>
  <c r="AD60" i="36" s="1"/>
  <c r="AC60" i="36" a="1"/>
  <c r="AC60" i="36" s="1"/>
  <c r="AB60" i="36" a="1"/>
  <c r="AB60" i="36" s="1"/>
  <c r="AA60" i="36" a="1"/>
  <c r="AA60" i="36" s="1"/>
  <c r="Z60" i="36" a="1"/>
  <c r="Z60" i="36" s="1"/>
  <c r="Y60" i="36" a="1"/>
  <c r="Y60" i="36" s="1"/>
  <c r="X60" i="36" a="1"/>
  <c r="X60" i="36" s="1"/>
  <c r="W60" i="36" a="1"/>
  <c r="W60" i="36" s="1"/>
  <c r="V60" i="36" a="1"/>
  <c r="V60" i="36" s="1"/>
  <c r="U60" i="36" a="1"/>
  <c r="U60" i="36" s="1"/>
  <c r="T60" i="36" a="1"/>
  <c r="T60" i="36" s="1"/>
  <c r="S60" i="36" a="1"/>
  <c r="S60" i="36" s="1"/>
  <c r="R60" i="36" a="1"/>
  <c r="R60" i="36" s="1"/>
  <c r="Q60" i="36" a="1"/>
  <c r="Q60" i="36" s="1"/>
  <c r="P60" i="36" a="1"/>
  <c r="P60" i="36" s="1"/>
  <c r="O60" i="36" a="1"/>
  <c r="O60" i="36" s="1"/>
  <c r="N60" i="36" a="1"/>
  <c r="N60" i="36" s="1"/>
  <c r="M60" i="36" a="1"/>
  <c r="M60" i="36" s="1"/>
  <c r="L60" i="36" a="1"/>
  <c r="L60" i="36" s="1"/>
  <c r="K60" i="36" a="1"/>
  <c r="K60" i="36" s="1"/>
  <c r="J60" i="36" a="1"/>
  <c r="J60" i="36" s="1"/>
  <c r="I60" i="36" a="1"/>
  <c r="I60" i="36" s="1"/>
  <c r="H60" i="36" a="1"/>
  <c r="H60" i="36" s="1"/>
  <c r="G60" i="36" a="1"/>
  <c r="G60" i="36" s="1"/>
  <c r="F60" i="36" a="1"/>
  <c r="F60" i="36" s="1"/>
  <c r="E60" i="36" a="1"/>
  <c r="E60" i="36" s="1"/>
  <c r="D60" i="36" a="1"/>
  <c r="D60" i="36" s="1"/>
  <c r="C60" i="36" a="1"/>
  <c r="C60" i="36" s="1"/>
  <c r="AW59" i="36" a="1"/>
  <c r="AW59" i="36" s="1"/>
  <c r="AV59" i="36" a="1"/>
  <c r="AV59" i="36" s="1"/>
  <c r="AU59" i="36" a="1"/>
  <c r="AU59" i="36" s="1"/>
  <c r="AT59" i="36" a="1"/>
  <c r="AT59" i="36" s="1"/>
  <c r="AS59" i="36" a="1"/>
  <c r="AS59" i="36" s="1"/>
  <c r="AR59" i="36" a="1"/>
  <c r="AR59" i="36" s="1"/>
  <c r="AQ59" i="36" a="1"/>
  <c r="AQ59" i="36" s="1"/>
  <c r="AP59" i="36" a="1"/>
  <c r="AP59" i="36" s="1"/>
  <c r="AO59" i="36" a="1"/>
  <c r="AO59" i="36" s="1"/>
  <c r="AN59" i="36" a="1"/>
  <c r="AN59" i="36" s="1"/>
  <c r="AM59" i="36" a="1"/>
  <c r="AM59" i="36" s="1"/>
  <c r="AL59" i="36" a="1"/>
  <c r="AL59" i="36" s="1"/>
  <c r="AK59" i="36" a="1"/>
  <c r="AK59" i="36" s="1"/>
  <c r="AJ59" i="36" a="1"/>
  <c r="AJ59" i="36" s="1"/>
  <c r="AI59" i="36" a="1"/>
  <c r="AI59" i="36" s="1"/>
  <c r="AH59" i="36" a="1"/>
  <c r="AH59" i="36" s="1"/>
  <c r="AG59" i="36" a="1"/>
  <c r="AG59" i="36" s="1"/>
  <c r="AF59" i="36" a="1"/>
  <c r="AF59" i="36" s="1"/>
  <c r="AE59" i="36" a="1"/>
  <c r="AE59" i="36" s="1"/>
  <c r="AD59" i="36" a="1"/>
  <c r="AD59" i="36" s="1"/>
  <c r="AC59" i="36" a="1"/>
  <c r="AC59" i="36" s="1"/>
  <c r="AB59" i="36" a="1"/>
  <c r="AB59" i="36" s="1"/>
  <c r="AA59" i="36" a="1"/>
  <c r="AA59" i="36" s="1"/>
  <c r="Z59" i="36" a="1"/>
  <c r="Z59" i="36" s="1"/>
  <c r="Y59" i="36" a="1"/>
  <c r="Y59" i="36" s="1"/>
  <c r="X59" i="36" a="1"/>
  <c r="X59" i="36" s="1"/>
  <c r="W59" i="36" a="1"/>
  <c r="W59" i="36" s="1"/>
  <c r="V59" i="36" a="1"/>
  <c r="V59" i="36" s="1"/>
  <c r="U59" i="36" a="1"/>
  <c r="U59" i="36" s="1"/>
  <c r="T59" i="36" a="1"/>
  <c r="T59" i="36" s="1"/>
  <c r="S59" i="36" a="1"/>
  <c r="S59" i="36" s="1"/>
  <c r="R59" i="36" a="1"/>
  <c r="R59" i="36" s="1"/>
  <c r="Q59" i="36" a="1"/>
  <c r="Q59" i="36" s="1"/>
  <c r="P59" i="36" a="1"/>
  <c r="P59" i="36" s="1"/>
  <c r="O59" i="36" a="1"/>
  <c r="O59" i="36" s="1"/>
  <c r="N59" i="36" a="1"/>
  <c r="N59" i="36" s="1"/>
  <c r="M59" i="36" a="1"/>
  <c r="M59" i="36" s="1"/>
  <c r="L59" i="36" a="1"/>
  <c r="L59" i="36" s="1"/>
  <c r="K59" i="36" a="1"/>
  <c r="K59" i="36" s="1"/>
  <c r="J59" i="36" a="1"/>
  <c r="J59" i="36" s="1"/>
  <c r="I59" i="36" a="1"/>
  <c r="I59" i="36" s="1"/>
  <c r="H59" i="36" a="1"/>
  <c r="H59" i="36" s="1"/>
  <c r="G59" i="36" a="1"/>
  <c r="G59" i="36" s="1"/>
  <c r="F59" i="36" a="1"/>
  <c r="F59" i="36" s="1"/>
  <c r="E59" i="36" a="1"/>
  <c r="E59" i="36" s="1"/>
  <c r="D59" i="36" a="1"/>
  <c r="D59" i="36" s="1"/>
  <c r="C59" i="36" a="1"/>
  <c r="C59" i="36" s="1"/>
  <c r="AW58" i="36" a="1"/>
  <c r="AW58" i="36" s="1"/>
  <c r="AV58" i="36" a="1"/>
  <c r="AV58" i="36" s="1"/>
  <c r="AU58" i="36" a="1"/>
  <c r="AU58" i="36" s="1"/>
  <c r="AT58" i="36" a="1"/>
  <c r="AT58" i="36" s="1"/>
  <c r="AS58" i="36" a="1"/>
  <c r="AS58" i="36" s="1"/>
  <c r="AR58" i="36" a="1"/>
  <c r="AR58" i="36" s="1"/>
  <c r="AQ58" i="36" a="1"/>
  <c r="AQ58" i="36" s="1"/>
  <c r="AP58" i="36" a="1"/>
  <c r="AP58" i="36" s="1"/>
  <c r="AO58" i="36" a="1"/>
  <c r="AO58" i="36" s="1"/>
  <c r="AN58" i="36" a="1"/>
  <c r="AN58" i="36" s="1"/>
  <c r="AM58" i="36" a="1"/>
  <c r="AM58" i="36" s="1"/>
  <c r="AL58" i="36" a="1"/>
  <c r="AL58" i="36" s="1"/>
  <c r="AK58" i="36" a="1"/>
  <c r="AK58" i="36" s="1"/>
  <c r="AJ58" i="36" a="1"/>
  <c r="AJ58" i="36" s="1"/>
  <c r="AI58" i="36" a="1"/>
  <c r="AI58" i="36" s="1"/>
  <c r="AH58" i="36" a="1"/>
  <c r="AH58" i="36" s="1"/>
  <c r="AG58" i="36" a="1"/>
  <c r="AG58" i="36" s="1"/>
  <c r="AF58" i="36" a="1"/>
  <c r="AF58" i="36" s="1"/>
  <c r="AE58" i="36" a="1"/>
  <c r="AE58" i="36" s="1"/>
  <c r="AD58" i="36" a="1"/>
  <c r="AD58" i="36" s="1"/>
  <c r="AC58" i="36"/>
  <c r="AC58" i="36" a="1"/>
  <c r="AB58" i="36"/>
  <c r="AB58" i="36" a="1"/>
  <c r="AA58" i="36" a="1"/>
  <c r="AA58" i="36" s="1"/>
  <c r="Z58" i="36" a="1"/>
  <c r="Z58" i="36" s="1"/>
  <c r="Y58" i="36" a="1"/>
  <c r="Y58" i="36" s="1"/>
  <c r="X58" i="36" a="1"/>
  <c r="X58" i="36" s="1"/>
  <c r="W58" i="36" a="1"/>
  <c r="W58" i="36" s="1"/>
  <c r="V58" i="36" a="1"/>
  <c r="V58" i="36" s="1"/>
  <c r="U58" i="36" a="1"/>
  <c r="U58" i="36" s="1"/>
  <c r="T58" i="36" a="1"/>
  <c r="T58" i="36" s="1"/>
  <c r="S58" i="36" a="1"/>
  <c r="S58" i="36" s="1"/>
  <c r="R58" i="36" a="1"/>
  <c r="R58" i="36" s="1"/>
  <c r="Q58" i="36" a="1"/>
  <c r="Q58" i="36" s="1"/>
  <c r="P58" i="36" a="1"/>
  <c r="P58" i="36" s="1"/>
  <c r="O58" i="36" a="1"/>
  <c r="O58" i="36" s="1"/>
  <c r="N58" i="36" a="1"/>
  <c r="N58" i="36" s="1"/>
  <c r="M58" i="36" a="1"/>
  <c r="M58" i="36" s="1"/>
  <c r="L58" i="36"/>
  <c r="L58" i="36" a="1"/>
  <c r="K58" i="36" a="1"/>
  <c r="K58" i="36" s="1"/>
  <c r="J58" i="36" a="1"/>
  <c r="J58" i="36" s="1"/>
  <c r="I58" i="36" a="1"/>
  <c r="I58" i="36" s="1"/>
  <c r="H58" i="36" a="1"/>
  <c r="H58" i="36" s="1"/>
  <c r="G58" i="36" a="1"/>
  <c r="G58" i="36" s="1"/>
  <c r="F58" i="36" a="1"/>
  <c r="F58" i="36" s="1"/>
  <c r="E58" i="36" a="1"/>
  <c r="E58" i="36" s="1"/>
  <c r="D58" i="36" a="1"/>
  <c r="D58" i="36" s="1"/>
  <c r="C58" i="36" a="1"/>
  <c r="C58" i="36" s="1"/>
  <c r="AW57" i="36" a="1"/>
  <c r="AW57" i="36" s="1"/>
  <c r="AV57" i="36" a="1"/>
  <c r="AV57" i="36" s="1"/>
  <c r="AU57" i="36" a="1"/>
  <c r="AU57" i="36" s="1"/>
  <c r="AT57" i="36" a="1"/>
  <c r="AT57" i="36" s="1"/>
  <c r="AS57" i="36" a="1"/>
  <c r="AS57" i="36" s="1"/>
  <c r="AR57" i="36" a="1"/>
  <c r="AR57" i="36" s="1"/>
  <c r="AQ57" i="36" a="1"/>
  <c r="AQ57" i="36" s="1"/>
  <c r="AP57" i="36" a="1"/>
  <c r="AP57" i="36" s="1"/>
  <c r="AO57" i="36" a="1"/>
  <c r="AO57" i="36" s="1"/>
  <c r="AN57" i="36" a="1"/>
  <c r="AN57" i="36" s="1"/>
  <c r="AM57" i="36" a="1"/>
  <c r="AM57" i="36" s="1"/>
  <c r="AL57" i="36" a="1"/>
  <c r="AL57" i="36" s="1"/>
  <c r="AK57" i="36"/>
  <c r="AK57" i="36" a="1"/>
  <c r="AJ57" i="36" a="1"/>
  <c r="AJ57" i="36" s="1"/>
  <c r="AI57" i="36" a="1"/>
  <c r="AI57" i="36" s="1"/>
  <c r="AH57" i="36" a="1"/>
  <c r="AH57" i="36" s="1"/>
  <c r="AG57" i="36" a="1"/>
  <c r="AG57" i="36" s="1"/>
  <c r="AF57" i="36" a="1"/>
  <c r="AF57" i="36" s="1"/>
  <c r="AE57" i="36" a="1"/>
  <c r="AE57" i="36" s="1"/>
  <c r="AD57" i="36" a="1"/>
  <c r="AD57" i="36" s="1"/>
  <c r="AC57" i="36" a="1"/>
  <c r="AC57" i="36" s="1"/>
  <c r="AB57" i="36" a="1"/>
  <c r="AB57" i="36" s="1"/>
  <c r="AA57" i="36" a="1"/>
  <c r="AA57" i="36" s="1"/>
  <c r="Z57" i="36" a="1"/>
  <c r="Z57" i="36" s="1"/>
  <c r="Y57" i="36" a="1"/>
  <c r="Y57" i="36" s="1"/>
  <c r="X57" i="36" a="1"/>
  <c r="X57" i="36" s="1"/>
  <c r="W57" i="36" a="1"/>
  <c r="W57" i="36" s="1"/>
  <c r="V57" i="36" a="1"/>
  <c r="V57" i="36" s="1"/>
  <c r="U57" i="36" a="1"/>
  <c r="U57" i="36" s="1"/>
  <c r="T57" i="36" a="1"/>
  <c r="T57" i="36" s="1"/>
  <c r="S57" i="36" a="1"/>
  <c r="S57" i="36" s="1"/>
  <c r="R57" i="36" a="1"/>
  <c r="R57" i="36" s="1"/>
  <c r="Q57" i="36" a="1"/>
  <c r="Q57" i="36" s="1"/>
  <c r="P57" i="36" a="1"/>
  <c r="P57" i="36" s="1"/>
  <c r="O57" i="36" a="1"/>
  <c r="O57" i="36" s="1"/>
  <c r="N57" i="36" a="1"/>
  <c r="N57" i="36" s="1"/>
  <c r="M57" i="36" a="1"/>
  <c r="M57" i="36" s="1"/>
  <c r="L57" i="36" a="1"/>
  <c r="L57" i="36" s="1"/>
  <c r="K57" i="36" a="1"/>
  <c r="K57" i="36" s="1"/>
  <c r="J57" i="36" a="1"/>
  <c r="J57" i="36" s="1"/>
  <c r="I57" i="36" a="1"/>
  <c r="I57" i="36" s="1"/>
  <c r="H57" i="36" a="1"/>
  <c r="H57" i="36" s="1"/>
  <c r="G57" i="36" a="1"/>
  <c r="G57" i="36" s="1"/>
  <c r="F57" i="36" a="1"/>
  <c r="F57" i="36" s="1"/>
  <c r="E57" i="36" a="1"/>
  <c r="E57" i="36" s="1"/>
  <c r="D57" i="36" a="1"/>
  <c r="D57" i="36" s="1"/>
  <c r="C57" i="36" a="1"/>
  <c r="C57" i="36" s="1"/>
  <c r="AW56" i="36" a="1"/>
  <c r="AW56" i="36" s="1"/>
  <c r="AV56" i="36" a="1"/>
  <c r="AV56" i="36" s="1"/>
  <c r="AU56" i="36" a="1"/>
  <c r="AU56" i="36" s="1"/>
  <c r="AT56" i="36" a="1"/>
  <c r="AT56" i="36" s="1"/>
  <c r="AS56" i="36" a="1"/>
  <c r="AS56" i="36" s="1"/>
  <c r="AR56" i="36"/>
  <c r="AR56" i="36" a="1"/>
  <c r="AQ56" i="36" a="1"/>
  <c r="AQ56" i="36" s="1"/>
  <c r="AP56" i="36" a="1"/>
  <c r="AP56" i="36" s="1"/>
  <c r="AO56" i="36" a="1"/>
  <c r="AO56" i="36" s="1"/>
  <c r="AN56" i="36" a="1"/>
  <c r="AN56" i="36" s="1"/>
  <c r="AM56" i="36" a="1"/>
  <c r="AM56" i="36" s="1"/>
  <c r="AL56" i="36" a="1"/>
  <c r="AL56" i="36" s="1"/>
  <c r="AK56" i="36"/>
  <c r="AK56" i="36" a="1"/>
  <c r="AJ56" i="36"/>
  <c r="AJ56" i="36" a="1"/>
  <c r="AI56" i="36" a="1"/>
  <c r="AI56" i="36" s="1"/>
  <c r="AH56" i="36" a="1"/>
  <c r="AH56" i="36" s="1"/>
  <c r="AG56" i="36" a="1"/>
  <c r="AG56" i="36" s="1"/>
  <c r="AF56" i="36" a="1"/>
  <c r="AF56" i="36" s="1"/>
  <c r="AE56" i="36" a="1"/>
  <c r="AE56" i="36" s="1"/>
  <c r="AD56" i="36" a="1"/>
  <c r="AD56" i="36" s="1"/>
  <c r="AC56" i="36"/>
  <c r="AC56" i="36" a="1"/>
  <c r="AB56" i="36" a="1"/>
  <c r="AB56" i="36" s="1"/>
  <c r="AA56" i="36" a="1"/>
  <c r="AA56" i="36" s="1"/>
  <c r="Z56" i="36" a="1"/>
  <c r="Z56" i="36" s="1"/>
  <c r="Y56" i="36" a="1"/>
  <c r="Y56" i="36" s="1"/>
  <c r="X56" i="36" a="1"/>
  <c r="X56" i="36" s="1"/>
  <c r="W56" i="36" a="1"/>
  <c r="W56" i="36" s="1"/>
  <c r="V56" i="36" a="1"/>
  <c r="V56" i="36" s="1"/>
  <c r="U56" i="36"/>
  <c r="U56" i="36" a="1"/>
  <c r="T56" i="36" a="1"/>
  <c r="T56" i="36" s="1"/>
  <c r="S56" i="36" a="1"/>
  <c r="S56" i="36" s="1"/>
  <c r="R56" i="36" a="1"/>
  <c r="R56" i="36" s="1"/>
  <c r="Q56" i="36" a="1"/>
  <c r="Q56" i="36" s="1"/>
  <c r="P56" i="36" a="1"/>
  <c r="P56" i="36" s="1"/>
  <c r="O56" i="36" a="1"/>
  <c r="O56" i="36" s="1"/>
  <c r="N56" i="36" a="1"/>
  <c r="N56" i="36" s="1"/>
  <c r="M56" i="36" a="1"/>
  <c r="M56" i="36" s="1"/>
  <c r="L56" i="36"/>
  <c r="L56" i="36" a="1"/>
  <c r="K56" i="36" a="1"/>
  <c r="K56" i="36" s="1"/>
  <c r="J56" i="36" a="1"/>
  <c r="J56" i="36" s="1"/>
  <c r="I56" i="36" a="1"/>
  <c r="I56" i="36" s="1"/>
  <c r="H56" i="36" a="1"/>
  <c r="H56" i="36" s="1"/>
  <c r="G56" i="36" a="1"/>
  <c r="G56" i="36" s="1"/>
  <c r="F56" i="36" a="1"/>
  <c r="F56" i="36" s="1"/>
  <c r="E56" i="36"/>
  <c r="E56" i="36" a="1"/>
  <c r="D56" i="36"/>
  <c r="D56" i="36" a="1"/>
  <c r="C56" i="36" a="1"/>
  <c r="C56" i="36" s="1"/>
  <c r="AW55" i="36" a="1"/>
  <c r="AW55" i="36" s="1"/>
  <c r="AV55" i="36" a="1"/>
  <c r="AV55" i="36" s="1"/>
  <c r="AU55" i="36" a="1"/>
  <c r="AU55" i="36" s="1"/>
  <c r="AT55" i="36" a="1"/>
  <c r="AT55" i="36" s="1"/>
  <c r="AS55" i="36" a="1"/>
  <c r="AS55" i="36" s="1"/>
  <c r="AR55" i="36" a="1"/>
  <c r="AR55" i="36" s="1"/>
  <c r="AQ55" i="36" a="1"/>
  <c r="AQ55" i="36" s="1"/>
  <c r="AP55" i="36" a="1"/>
  <c r="AP55" i="36" s="1"/>
  <c r="AO55" i="36" a="1"/>
  <c r="AO55" i="36" s="1"/>
  <c r="AN55" i="36" a="1"/>
  <c r="AN55" i="36" s="1"/>
  <c r="AM55" i="36" a="1"/>
  <c r="AM55" i="36" s="1"/>
  <c r="AL55" i="36" a="1"/>
  <c r="AL55" i="36" s="1"/>
  <c r="AK55" i="36" a="1"/>
  <c r="AK55" i="36" s="1"/>
  <c r="AJ55" i="36" a="1"/>
  <c r="AJ55" i="36" s="1"/>
  <c r="AI55" i="36" a="1"/>
  <c r="AI55" i="36" s="1"/>
  <c r="AH55" i="36" a="1"/>
  <c r="AH55" i="36" s="1"/>
  <c r="AG55" i="36" a="1"/>
  <c r="AG55" i="36" s="1"/>
  <c r="AF55" i="36" a="1"/>
  <c r="AF55" i="36" s="1"/>
  <c r="AE55" i="36" a="1"/>
  <c r="AE55" i="36" s="1"/>
  <c r="AD55" i="36" a="1"/>
  <c r="AD55" i="36" s="1"/>
  <c r="AC55" i="36" a="1"/>
  <c r="AC55" i="36" s="1"/>
  <c r="AB55" i="36" a="1"/>
  <c r="AB55" i="36" s="1"/>
  <c r="AA55" i="36" a="1"/>
  <c r="AA55" i="36" s="1"/>
  <c r="Z55" i="36" a="1"/>
  <c r="Z55" i="36" s="1"/>
  <c r="Y55" i="36" a="1"/>
  <c r="Y55" i="36" s="1"/>
  <c r="X55" i="36" a="1"/>
  <c r="X55" i="36" s="1"/>
  <c r="W55" i="36" a="1"/>
  <c r="W55" i="36" s="1"/>
  <c r="V55" i="36" a="1"/>
  <c r="V55" i="36" s="1"/>
  <c r="U55" i="36" a="1"/>
  <c r="U55" i="36" s="1"/>
  <c r="T55" i="36" a="1"/>
  <c r="T55" i="36" s="1"/>
  <c r="S55" i="36" a="1"/>
  <c r="S55" i="36" s="1"/>
  <c r="R55" i="36" a="1"/>
  <c r="R55" i="36" s="1"/>
  <c r="Q55" i="36" a="1"/>
  <c r="Q55" i="36" s="1"/>
  <c r="P55" i="36" a="1"/>
  <c r="P55" i="36" s="1"/>
  <c r="O55" i="36" a="1"/>
  <c r="O55" i="36" s="1"/>
  <c r="N55" i="36" a="1"/>
  <c r="N55" i="36" s="1"/>
  <c r="M55" i="36" a="1"/>
  <c r="M55" i="36" s="1"/>
  <c r="L55" i="36" a="1"/>
  <c r="L55" i="36" s="1"/>
  <c r="K55" i="36" a="1"/>
  <c r="K55" i="36" s="1"/>
  <c r="J55" i="36" a="1"/>
  <c r="J55" i="36" s="1"/>
  <c r="I55" i="36" a="1"/>
  <c r="I55" i="36" s="1"/>
  <c r="H55" i="36" a="1"/>
  <c r="H55" i="36" s="1"/>
  <c r="G55" i="36" a="1"/>
  <c r="G55" i="36" s="1"/>
  <c r="F55" i="36" a="1"/>
  <c r="F55" i="36" s="1"/>
  <c r="E55" i="36" a="1"/>
  <c r="E55" i="36" s="1"/>
  <c r="D55" i="36" a="1"/>
  <c r="D55" i="36" s="1"/>
  <c r="C55" i="36" a="1"/>
  <c r="C55" i="36" s="1"/>
  <c r="AW54" i="36" a="1"/>
  <c r="AW54" i="36" s="1"/>
  <c r="AV54" i="36" a="1"/>
  <c r="AV54" i="36" s="1"/>
  <c r="AU54" i="36" a="1"/>
  <c r="AU54" i="36" s="1"/>
  <c r="AT54" i="36" a="1"/>
  <c r="AT54" i="36" s="1"/>
  <c r="AS54" i="36" a="1"/>
  <c r="AS54" i="36" s="1"/>
  <c r="AR54" i="36" a="1"/>
  <c r="AR54" i="36" s="1"/>
  <c r="AQ54" i="36" a="1"/>
  <c r="AQ54" i="36" s="1"/>
  <c r="AP54" i="36" a="1"/>
  <c r="AP54" i="36" s="1"/>
  <c r="AO54" i="36" a="1"/>
  <c r="AO54" i="36" s="1"/>
  <c r="AN54" i="36" a="1"/>
  <c r="AN54" i="36" s="1"/>
  <c r="AM54" i="36" a="1"/>
  <c r="AM54" i="36" s="1"/>
  <c r="AL54" i="36" a="1"/>
  <c r="AL54" i="36" s="1"/>
  <c r="AK54" i="36" a="1"/>
  <c r="AK54" i="36" s="1"/>
  <c r="AJ54" i="36"/>
  <c r="AJ54" i="36" a="1"/>
  <c r="AI54" i="36" a="1"/>
  <c r="AI54" i="36" s="1"/>
  <c r="AH54" i="36" a="1"/>
  <c r="AH54" i="36" s="1"/>
  <c r="AG54" i="36" a="1"/>
  <c r="AG54" i="36" s="1"/>
  <c r="AF54" i="36" a="1"/>
  <c r="AF54" i="36" s="1"/>
  <c r="AE54" i="36" a="1"/>
  <c r="AE54" i="36" s="1"/>
  <c r="AD54" i="36" a="1"/>
  <c r="AD54" i="36" s="1"/>
  <c r="AC54" i="36"/>
  <c r="AC54" i="36" a="1"/>
  <c r="AB54" i="36"/>
  <c r="AB54" i="36" a="1"/>
  <c r="AA54" i="36" a="1"/>
  <c r="AA54" i="36" s="1"/>
  <c r="Z54" i="36" a="1"/>
  <c r="Z54" i="36" s="1"/>
  <c r="Y54" i="36" a="1"/>
  <c r="Y54" i="36" s="1"/>
  <c r="X54" i="36" a="1"/>
  <c r="X54" i="36" s="1"/>
  <c r="W54" i="36" a="1"/>
  <c r="W54" i="36" s="1"/>
  <c r="V54" i="36" a="1"/>
  <c r="V54" i="36" s="1"/>
  <c r="U54" i="36"/>
  <c r="U54" i="36" a="1"/>
  <c r="T54" i="36" a="1"/>
  <c r="T54" i="36" s="1"/>
  <c r="S54" i="36" a="1"/>
  <c r="S54" i="36" s="1"/>
  <c r="R54" i="36" a="1"/>
  <c r="R54" i="36" s="1"/>
  <c r="Q54" i="36" a="1"/>
  <c r="Q54" i="36" s="1"/>
  <c r="P54" i="36" a="1"/>
  <c r="P54" i="36" s="1"/>
  <c r="O54" i="36" a="1"/>
  <c r="O54" i="36" s="1"/>
  <c r="N54" i="36" a="1"/>
  <c r="N54" i="36" s="1"/>
  <c r="M54" i="36"/>
  <c r="M54" i="36" a="1"/>
  <c r="L54" i="36" a="1"/>
  <c r="L54" i="36" s="1"/>
  <c r="K54" i="36" a="1"/>
  <c r="K54" i="36" s="1"/>
  <c r="J54" i="36" a="1"/>
  <c r="J54" i="36" s="1"/>
  <c r="I54" i="36" a="1"/>
  <c r="I54" i="36" s="1"/>
  <c r="H54" i="36" a="1"/>
  <c r="H54" i="36" s="1"/>
  <c r="G54" i="36" a="1"/>
  <c r="G54" i="36" s="1"/>
  <c r="F54" i="36" a="1"/>
  <c r="F54" i="36" s="1"/>
  <c r="E54" i="36" a="1"/>
  <c r="E54" i="36" s="1"/>
  <c r="D54" i="36"/>
  <c r="D54" i="36" a="1"/>
  <c r="C54" i="36" a="1"/>
  <c r="C54" i="36" s="1"/>
  <c r="AW53" i="36" a="1"/>
  <c r="AW53" i="36" s="1"/>
  <c r="AV53" i="36" a="1"/>
  <c r="AV53" i="36" s="1"/>
  <c r="AU53" i="36" a="1"/>
  <c r="AU53" i="36" s="1"/>
  <c r="AT53" i="36" a="1"/>
  <c r="AT53" i="36" s="1"/>
  <c r="AS53" i="36" a="1"/>
  <c r="AS53" i="36" s="1"/>
  <c r="AR53" i="36" a="1"/>
  <c r="AR53" i="36" s="1"/>
  <c r="AQ53" i="36" a="1"/>
  <c r="AQ53" i="36" s="1"/>
  <c r="AP53" i="36" a="1"/>
  <c r="AP53" i="36" s="1"/>
  <c r="AO53" i="36" a="1"/>
  <c r="AO53" i="36" s="1"/>
  <c r="AN53" i="36" a="1"/>
  <c r="AN53" i="36" s="1"/>
  <c r="AM53" i="36" a="1"/>
  <c r="AM53" i="36" s="1"/>
  <c r="AL53" i="36" a="1"/>
  <c r="AL53" i="36" s="1"/>
  <c r="AK53" i="36" a="1"/>
  <c r="AK53" i="36" s="1"/>
  <c r="AJ53" i="36" a="1"/>
  <c r="AJ53" i="36" s="1"/>
  <c r="AI53" i="36" a="1"/>
  <c r="AI53" i="36" s="1"/>
  <c r="AH53" i="36" a="1"/>
  <c r="AH53" i="36" s="1"/>
  <c r="AG53" i="36" a="1"/>
  <c r="AG53" i="36" s="1"/>
  <c r="AF53" i="36" a="1"/>
  <c r="AF53" i="36" s="1"/>
  <c r="AE53" i="36" a="1"/>
  <c r="AE53" i="36" s="1"/>
  <c r="AD53" i="36" a="1"/>
  <c r="AD53" i="36" s="1"/>
  <c r="AC53" i="36" a="1"/>
  <c r="AC53" i="36" s="1"/>
  <c r="AB53" i="36" a="1"/>
  <c r="AB53" i="36" s="1"/>
  <c r="AA53" i="36" a="1"/>
  <c r="AA53" i="36" s="1"/>
  <c r="Z53" i="36" a="1"/>
  <c r="Z53" i="36" s="1"/>
  <c r="Y53" i="36" a="1"/>
  <c r="Y53" i="36" s="1"/>
  <c r="X53" i="36" a="1"/>
  <c r="X53" i="36" s="1"/>
  <c r="W53" i="36" a="1"/>
  <c r="W53" i="36" s="1"/>
  <c r="V53" i="36" a="1"/>
  <c r="V53" i="36" s="1"/>
  <c r="U53" i="36" a="1"/>
  <c r="U53" i="36" s="1"/>
  <c r="T53" i="36" a="1"/>
  <c r="T53" i="36" s="1"/>
  <c r="S53" i="36" a="1"/>
  <c r="S53" i="36" s="1"/>
  <c r="R53" i="36" a="1"/>
  <c r="R53" i="36" s="1"/>
  <c r="Q53" i="36" a="1"/>
  <c r="Q53" i="36" s="1"/>
  <c r="P53" i="36" a="1"/>
  <c r="P53" i="36" s="1"/>
  <c r="O53" i="36" a="1"/>
  <c r="O53" i="36" s="1"/>
  <c r="N53" i="36" a="1"/>
  <c r="N53" i="36" s="1"/>
  <c r="M53" i="36" a="1"/>
  <c r="M53" i="36" s="1"/>
  <c r="L53" i="36" a="1"/>
  <c r="L53" i="36" s="1"/>
  <c r="K53" i="36" a="1"/>
  <c r="K53" i="36" s="1"/>
  <c r="J53" i="36" a="1"/>
  <c r="J53" i="36" s="1"/>
  <c r="I53" i="36" a="1"/>
  <c r="I53" i="36" s="1"/>
  <c r="H53" i="36" a="1"/>
  <c r="H53" i="36" s="1"/>
  <c r="G53" i="36" a="1"/>
  <c r="G53" i="36" s="1"/>
  <c r="F53" i="36" a="1"/>
  <c r="F53" i="36" s="1"/>
  <c r="E53" i="36" a="1"/>
  <c r="E53" i="36" s="1"/>
  <c r="D53" i="36" a="1"/>
  <c r="D53" i="36" s="1"/>
  <c r="C53" i="36" a="1"/>
  <c r="C53" i="36" s="1"/>
  <c r="AW52" i="36" a="1"/>
  <c r="AW52" i="36" s="1"/>
  <c r="AV52" i="36" a="1"/>
  <c r="AV52" i="36" s="1"/>
  <c r="AU52" i="36" a="1"/>
  <c r="AU52" i="36" s="1"/>
  <c r="AT52" i="36" a="1"/>
  <c r="AT52" i="36" s="1"/>
  <c r="AS52" i="36"/>
  <c r="AS52" i="36" a="1"/>
  <c r="AR52" i="36"/>
  <c r="AR52" i="36" a="1"/>
  <c r="AQ52" i="36" a="1"/>
  <c r="AQ52" i="36" s="1"/>
  <c r="AP52" i="36" a="1"/>
  <c r="AP52" i="36" s="1"/>
  <c r="AO52" i="36" a="1"/>
  <c r="AO52" i="36" s="1"/>
  <c r="AN52" i="36" a="1"/>
  <c r="AN52" i="36" s="1"/>
  <c r="AM52" i="36" a="1"/>
  <c r="AM52" i="36" s="1"/>
  <c r="AL52" i="36" a="1"/>
  <c r="AL52" i="36" s="1"/>
  <c r="AK52" i="36" a="1"/>
  <c r="AK52" i="36" s="1"/>
  <c r="AJ52" i="36" a="1"/>
  <c r="AJ52" i="36" s="1"/>
  <c r="AI52" i="36" a="1"/>
  <c r="AI52" i="36" s="1"/>
  <c r="AH52" i="36" a="1"/>
  <c r="AH52" i="36" s="1"/>
  <c r="AG52" i="36" a="1"/>
  <c r="AG52" i="36" s="1"/>
  <c r="AF52" i="36" a="1"/>
  <c r="AF52" i="36" s="1"/>
  <c r="AE52" i="36" a="1"/>
  <c r="AE52" i="36" s="1"/>
  <c r="AD52" i="36" a="1"/>
  <c r="AD52" i="36" s="1"/>
  <c r="AC52" i="36"/>
  <c r="AC52" i="36" a="1"/>
  <c r="AB52" i="36"/>
  <c r="AB52" i="36" a="1"/>
  <c r="AA52" i="36" a="1"/>
  <c r="AA52" i="36" s="1"/>
  <c r="Z52" i="36" a="1"/>
  <c r="Z52" i="36" s="1"/>
  <c r="Y52" i="36" a="1"/>
  <c r="Y52" i="36" s="1"/>
  <c r="X52" i="36" a="1"/>
  <c r="X52" i="36" s="1"/>
  <c r="W52" i="36" a="1"/>
  <c r="W52" i="36" s="1"/>
  <c r="V52" i="36" a="1"/>
  <c r="V52" i="36" s="1"/>
  <c r="U52" i="36"/>
  <c r="U52" i="36" a="1"/>
  <c r="T52" i="36"/>
  <c r="T52" i="36" a="1"/>
  <c r="S52" i="36" a="1"/>
  <c r="S52" i="36" s="1"/>
  <c r="R52" i="36" a="1"/>
  <c r="R52" i="36" s="1"/>
  <c r="Q52" i="36" a="1"/>
  <c r="Q52" i="36" s="1"/>
  <c r="P52" i="36" a="1"/>
  <c r="P52" i="36" s="1"/>
  <c r="O52" i="36" a="1"/>
  <c r="O52" i="36" s="1"/>
  <c r="N52" i="36" a="1"/>
  <c r="N52" i="36" s="1"/>
  <c r="M52" i="36"/>
  <c r="M52" i="36" a="1"/>
  <c r="L52" i="36" a="1"/>
  <c r="L52" i="36" s="1"/>
  <c r="K52" i="36" a="1"/>
  <c r="K52" i="36" s="1"/>
  <c r="J52" i="36" a="1"/>
  <c r="J52" i="36" s="1"/>
  <c r="I52" i="36" a="1"/>
  <c r="I52" i="36" s="1"/>
  <c r="H52" i="36" a="1"/>
  <c r="H52" i="36" s="1"/>
  <c r="G52" i="36" a="1"/>
  <c r="G52" i="36" s="1"/>
  <c r="F52" i="36" a="1"/>
  <c r="F52" i="36" s="1"/>
  <c r="E52" i="36"/>
  <c r="E52" i="36" a="1"/>
  <c r="D52" i="36" a="1"/>
  <c r="D52" i="36" s="1"/>
  <c r="C52" i="36" a="1"/>
  <c r="C52" i="36" s="1"/>
  <c r="AW51" i="36" a="1"/>
  <c r="AW51" i="36" s="1"/>
  <c r="AV51" i="36" a="1"/>
  <c r="AV51" i="36" s="1"/>
  <c r="AU51" i="36" a="1"/>
  <c r="AU51" i="36" s="1"/>
  <c r="AT51" i="36" a="1"/>
  <c r="AT51" i="36" s="1"/>
  <c r="AS51" i="36" a="1"/>
  <c r="AS51" i="36" s="1"/>
  <c r="AR51" i="36" a="1"/>
  <c r="AR51" i="36" s="1"/>
  <c r="AQ51" i="36" a="1"/>
  <c r="AQ51" i="36" s="1"/>
  <c r="AP51" i="36" a="1"/>
  <c r="AP51" i="36" s="1"/>
  <c r="AO51" i="36" a="1"/>
  <c r="AO51" i="36" s="1"/>
  <c r="AN51" i="36" a="1"/>
  <c r="AN51" i="36" s="1"/>
  <c r="AM51" i="36" a="1"/>
  <c r="AM51" i="36" s="1"/>
  <c r="AL51" i="36" a="1"/>
  <c r="AL51" i="36" s="1"/>
  <c r="AK51" i="36" a="1"/>
  <c r="AK51" i="36" s="1"/>
  <c r="AJ51" i="36" a="1"/>
  <c r="AJ51" i="36" s="1"/>
  <c r="AI51" i="36" a="1"/>
  <c r="AI51" i="36" s="1"/>
  <c r="AH51" i="36" a="1"/>
  <c r="AH51" i="36" s="1"/>
  <c r="AG51" i="36" a="1"/>
  <c r="AG51" i="36" s="1"/>
  <c r="AF51" i="36" a="1"/>
  <c r="AF51" i="36" s="1"/>
  <c r="AE51" i="36" a="1"/>
  <c r="AE51" i="36" s="1"/>
  <c r="AD51" i="36" a="1"/>
  <c r="AD51" i="36" s="1"/>
  <c r="AC51" i="36" a="1"/>
  <c r="AC51" i="36" s="1"/>
  <c r="AB51" i="36" a="1"/>
  <c r="AB51" i="36" s="1"/>
  <c r="AA51" i="36" a="1"/>
  <c r="AA51" i="36" s="1"/>
  <c r="Z51" i="36" a="1"/>
  <c r="Z51" i="36" s="1"/>
  <c r="Y51" i="36" a="1"/>
  <c r="Y51" i="36" s="1"/>
  <c r="X51" i="36" a="1"/>
  <c r="X51" i="36" s="1"/>
  <c r="W51" i="36" a="1"/>
  <c r="W51" i="36" s="1"/>
  <c r="V51" i="36" a="1"/>
  <c r="V51" i="36" s="1"/>
  <c r="U51" i="36" a="1"/>
  <c r="U51" i="36" s="1"/>
  <c r="T51" i="36" a="1"/>
  <c r="T51" i="36" s="1"/>
  <c r="S51" i="36" a="1"/>
  <c r="S51" i="36" s="1"/>
  <c r="R51" i="36" a="1"/>
  <c r="R51" i="36" s="1"/>
  <c r="Q51" i="36" a="1"/>
  <c r="Q51" i="36" s="1"/>
  <c r="P51" i="36" a="1"/>
  <c r="P51" i="36" s="1"/>
  <c r="O51" i="36" a="1"/>
  <c r="O51" i="36" s="1"/>
  <c r="N51" i="36" a="1"/>
  <c r="N51" i="36" s="1"/>
  <c r="M51" i="36" a="1"/>
  <c r="M51" i="36" s="1"/>
  <c r="L51" i="36" a="1"/>
  <c r="L51" i="36" s="1"/>
  <c r="K51" i="36" a="1"/>
  <c r="K51" i="36" s="1"/>
  <c r="J51" i="36" a="1"/>
  <c r="J51" i="36" s="1"/>
  <c r="I51" i="36" a="1"/>
  <c r="I51" i="36" s="1"/>
  <c r="H51" i="36" a="1"/>
  <c r="H51" i="36" s="1"/>
  <c r="G51" i="36" a="1"/>
  <c r="G51" i="36" s="1"/>
  <c r="F51" i="36" a="1"/>
  <c r="F51" i="36" s="1"/>
  <c r="E51" i="36" a="1"/>
  <c r="E51" i="36" s="1"/>
  <c r="D51" i="36" a="1"/>
  <c r="D51" i="36" s="1"/>
  <c r="C51" i="36" a="1"/>
  <c r="C51" i="36" s="1"/>
  <c r="AW50" i="36" a="1"/>
  <c r="AW50" i="36" s="1"/>
  <c r="AV50" i="36" a="1"/>
  <c r="AV50" i="36" s="1"/>
  <c r="AU50" i="36" a="1"/>
  <c r="AU50" i="36" s="1"/>
  <c r="AT50" i="36" a="1"/>
  <c r="AT50" i="36" s="1"/>
  <c r="AS50" i="36"/>
  <c r="AS50" i="36" a="1"/>
  <c r="AR50" i="36"/>
  <c r="AR50" i="36" a="1"/>
  <c r="AQ50" i="36" a="1"/>
  <c r="AQ50" i="36" s="1"/>
  <c r="AP50" i="36" a="1"/>
  <c r="AP50" i="36" s="1"/>
  <c r="AO50" i="36" a="1"/>
  <c r="AO50" i="36" s="1"/>
  <c r="AN50" i="36" a="1"/>
  <c r="AN50" i="36" s="1"/>
  <c r="AM50" i="36" a="1"/>
  <c r="AM50" i="36" s="1"/>
  <c r="AL50" i="36" a="1"/>
  <c r="AL50" i="36" s="1"/>
  <c r="AK50" i="36"/>
  <c r="AK50" i="36" a="1"/>
  <c r="AJ50" i="36"/>
  <c r="AJ50" i="36" a="1"/>
  <c r="AI50" i="36" a="1"/>
  <c r="AI50" i="36" s="1"/>
  <c r="AH50" i="36" a="1"/>
  <c r="AH50" i="36" s="1"/>
  <c r="AG50" i="36" a="1"/>
  <c r="AG50" i="36" s="1"/>
  <c r="AF50" i="36" a="1"/>
  <c r="AF50" i="36" s="1"/>
  <c r="AE50" i="36" a="1"/>
  <c r="AE50" i="36" s="1"/>
  <c r="AD50" i="36" a="1"/>
  <c r="AD50" i="36" s="1"/>
  <c r="AC50" i="36" a="1"/>
  <c r="AC50" i="36" s="1"/>
  <c r="AB50" i="36" a="1"/>
  <c r="AB50" i="36" s="1"/>
  <c r="AA50" i="36" a="1"/>
  <c r="AA50" i="36" s="1"/>
  <c r="Z50" i="36" a="1"/>
  <c r="Z50" i="36" s="1"/>
  <c r="Y50" i="36" a="1"/>
  <c r="Y50" i="36" s="1"/>
  <c r="X50" i="36" a="1"/>
  <c r="X50" i="36" s="1"/>
  <c r="W50" i="36" a="1"/>
  <c r="W50" i="36" s="1"/>
  <c r="V50" i="36" a="1"/>
  <c r="V50" i="36" s="1"/>
  <c r="U50" i="36" a="1"/>
  <c r="U50" i="36" s="1"/>
  <c r="T50" i="36"/>
  <c r="T50" i="36" a="1"/>
  <c r="S50" i="36" a="1"/>
  <c r="S50" i="36" s="1"/>
  <c r="R50" i="36" a="1"/>
  <c r="R50" i="36" s="1"/>
  <c r="Q50" i="36" a="1"/>
  <c r="Q50" i="36" s="1"/>
  <c r="P50" i="36" a="1"/>
  <c r="P50" i="36" s="1"/>
  <c r="O50" i="36" a="1"/>
  <c r="O50" i="36" s="1"/>
  <c r="N50" i="36" a="1"/>
  <c r="N50" i="36" s="1"/>
  <c r="M50" i="36"/>
  <c r="M50" i="36" a="1"/>
  <c r="L50" i="36"/>
  <c r="L50" i="36" a="1"/>
  <c r="K50" i="36" a="1"/>
  <c r="K50" i="36" s="1"/>
  <c r="J50" i="36" a="1"/>
  <c r="J50" i="36" s="1"/>
  <c r="I50" i="36" a="1"/>
  <c r="I50" i="36" s="1"/>
  <c r="H50" i="36" a="1"/>
  <c r="H50" i="36" s="1"/>
  <c r="G50" i="36" a="1"/>
  <c r="G50" i="36" s="1"/>
  <c r="F50" i="36" a="1"/>
  <c r="F50" i="36" s="1"/>
  <c r="E50" i="36"/>
  <c r="E50" i="36" a="1"/>
  <c r="D50" i="36" a="1"/>
  <c r="D50" i="36" s="1"/>
  <c r="C50" i="36" a="1"/>
  <c r="C50" i="36" s="1"/>
  <c r="AW49" i="36" a="1"/>
  <c r="AW49" i="36" s="1"/>
  <c r="AV49" i="36" a="1"/>
  <c r="AV49" i="36" s="1"/>
  <c r="AU49" i="36" a="1"/>
  <c r="AU49" i="36" s="1"/>
  <c r="AT49" i="36" a="1"/>
  <c r="AT49" i="36" s="1"/>
  <c r="AS49" i="36" a="1"/>
  <c r="AS49" i="36" s="1"/>
  <c r="AR49" i="36" a="1"/>
  <c r="AR49" i="36" s="1"/>
  <c r="AQ49" i="36" a="1"/>
  <c r="AQ49" i="36" s="1"/>
  <c r="AP49" i="36" a="1"/>
  <c r="AP49" i="36" s="1"/>
  <c r="AO49" i="36" a="1"/>
  <c r="AO49" i="36" s="1"/>
  <c r="AN49" i="36" a="1"/>
  <c r="AN49" i="36" s="1"/>
  <c r="AM49" i="36" a="1"/>
  <c r="AM49" i="36" s="1"/>
  <c r="AL49" i="36" a="1"/>
  <c r="AL49" i="36" s="1"/>
  <c r="AK49" i="36" a="1"/>
  <c r="AK49" i="36" s="1"/>
  <c r="AJ49" i="36" a="1"/>
  <c r="AJ49" i="36" s="1"/>
  <c r="AI49" i="36" a="1"/>
  <c r="AI49" i="36" s="1"/>
  <c r="AH49" i="36" a="1"/>
  <c r="AH49" i="36" s="1"/>
  <c r="AG49" i="36" a="1"/>
  <c r="AG49" i="36" s="1"/>
  <c r="AF49" i="36" a="1"/>
  <c r="AF49" i="36" s="1"/>
  <c r="AE49" i="36" a="1"/>
  <c r="AE49" i="36" s="1"/>
  <c r="AD49" i="36" a="1"/>
  <c r="AD49" i="36" s="1"/>
  <c r="AC49" i="36" a="1"/>
  <c r="AC49" i="36" s="1"/>
  <c r="AB49" i="36" a="1"/>
  <c r="AB49" i="36" s="1"/>
  <c r="AA49" i="36" a="1"/>
  <c r="AA49" i="36" s="1"/>
  <c r="Z49" i="36" a="1"/>
  <c r="Z49" i="36" s="1"/>
  <c r="Y49" i="36" a="1"/>
  <c r="Y49" i="36" s="1"/>
  <c r="X49" i="36" a="1"/>
  <c r="X49" i="36" s="1"/>
  <c r="W49" i="36" a="1"/>
  <c r="W49" i="36" s="1"/>
  <c r="V49" i="36" a="1"/>
  <c r="V49" i="36" s="1"/>
  <c r="U49" i="36" a="1"/>
  <c r="U49" i="36" s="1"/>
  <c r="T49" i="36" a="1"/>
  <c r="T49" i="36" s="1"/>
  <c r="S49" i="36" a="1"/>
  <c r="S49" i="36" s="1"/>
  <c r="R49" i="36" a="1"/>
  <c r="R49" i="36" s="1"/>
  <c r="Q49" i="36" a="1"/>
  <c r="Q49" i="36" s="1"/>
  <c r="P49" i="36" a="1"/>
  <c r="P49" i="36" s="1"/>
  <c r="O49" i="36" a="1"/>
  <c r="O49" i="36" s="1"/>
  <c r="N49" i="36" a="1"/>
  <c r="N49" i="36" s="1"/>
  <c r="M49" i="36"/>
  <c r="M49" i="36" a="1"/>
  <c r="L49" i="36" a="1"/>
  <c r="L49" i="36" s="1"/>
  <c r="K49" i="36" a="1"/>
  <c r="K49" i="36" s="1"/>
  <c r="J49" i="36" a="1"/>
  <c r="J49" i="36" s="1"/>
  <c r="I49" i="36" a="1"/>
  <c r="I49" i="36" s="1"/>
  <c r="H49" i="36" a="1"/>
  <c r="H49" i="36" s="1"/>
  <c r="G49" i="36" a="1"/>
  <c r="G49" i="36" s="1"/>
  <c r="F49" i="36" a="1"/>
  <c r="F49" i="36" s="1"/>
  <c r="E49" i="36" a="1"/>
  <c r="E49" i="36" s="1"/>
  <c r="D49" i="36" a="1"/>
  <c r="D49" i="36" s="1"/>
  <c r="C49" i="36" a="1"/>
  <c r="C49" i="36" s="1"/>
  <c r="AW48" i="36" a="1"/>
  <c r="AW48" i="36" s="1"/>
  <c r="AV48" i="36" a="1"/>
  <c r="AV48" i="36" s="1"/>
  <c r="AU48" i="36" a="1"/>
  <c r="AU48" i="36" s="1"/>
  <c r="AT48" i="36" a="1"/>
  <c r="AT48" i="36" s="1"/>
  <c r="AS48" i="36" a="1"/>
  <c r="AS48" i="36" s="1"/>
  <c r="AR48" i="36" a="1"/>
  <c r="AR48" i="36" s="1"/>
  <c r="AQ48" i="36" a="1"/>
  <c r="AQ48" i="36" s="1"/>
  <c r="AP48" i="36" a="1"/>
  <c r="AP48" i="36" s="1"/>
  <c r="AO48" i="36" a="1"/>
  <c r="AO48" i="36" s="1"/>
  <c r="AN48" i="36" a="1"/>
  <c r="AN48" i="36" s="1"/>
  <c r="AM48" i="36" a="1"/>
  <c r="AM48" i="36" s="1"/>
  <c r="AL48" i="36" a="1"/>
  <c r="AL48" i="36" s="1"/>
  <c r="AK48" i="36"/>
  <c r="AK48" i="36" a="1"/>
  <c r="AJ48" i="36" a="1"/>
  <c r="AJ48" i="36" s="1"/>
  <c r="AI48" i="36" a="1"/>
  <c r="AI48" i="36" s="1"/>
  <c r="AH48" i="36" a="1"/>
  <c r="AH48" i="36" s="1"/>
  <c r="AG48" i="36" a="1"/>
  <c r="AG48" i="36" s="1"/>
  <c r="AF48" i="36" a="1"/>
  <c r="AF48" i="36" s="1"/>
  <c r="AE48" i="36" a="1"/>
  <c r="AE48" i="36" s="1"/>
  <c r="AD48" i="36" a="1"/>
  <c r="AD48" i="36" s="1"/>
  <c r="AC48" i="36" a="1"/>
  <c r="AC48" i="36" s="1"/>
  <c r="AB48" i="36" a="1"/>
  <c r="AB48" i="36" s="1"/>
  <c r="AA48" i="36" a="1"/>
  <c r="AA48" i="36" s="1"/>
  <c r="Z48" i="36" a="1"/>
  <c r="Z48" i="36" s="1"/>
  <c r="Y48" i="36" a="1"/>
  <c r="Y48" i="36" s="1"/>
  <c r="X48" i="36" a="1"/>
  <c r="X48" i="36" s="1"/>
  <c r="W48" i="36" a="1"/>
  <c r="W48" i="36" s="1"/>
  <c r="V48" i="36" a="1"/>
  <c r="V48" i="36" s="1"/>
  <c r="U48" i="36" a="1"/>
  <c r="U48" i="36" s="1"/>
  <c r="T48" i="36" a="1"/>
  <c r="T48" i="36" s="1"/>
  <c r="S48" i="36" a="1"/>
  <c r="S48" i="36" s="1"/>
  <c r="R48" i="36" a="1"/>
  <c r="R48" i="36" s="1"/>
  <c r="Q48" i="36" a="1"/>
  <c r="Q48" i="36" s="1"/>
  <c r="P48" i="36" a="1"/>
  <c r="P48" i="36" s="1"/>
  <c r="O48" i="36" a="1"/>
  <c r="O48" i="36" s="1"/>
  <c r="N48" i="36" a="1"/>
  <c r="N48" i="36" s="1"/>
  <c r="M48" i="36" a="1"/>
  <c r="M48" i="36" s="1"/>
  <c r="L48" i="36" a="1"/>
  <c r="L48" i="36" s="1"/>
  <c r="K48" i="36" a="1"/>
  <c r="K48" i="36" s="1"/>
  <c r="J48" i="36" a="1"/>
  <c r="J48" i="36" s="1"/>
  <c r="I48" i="36" a="1"/>
  <c r="I48" i="36" s="1"/>
  <c r="H48" i="36" a="1"/>
  <c r="H48" i="36" s="1"/>
  <c r="G48" i="36" a="1"/>
  <c r="G48" i="36" s="1"/>
  <c r="F48" i="36" a="1"/>
  <c r="F48" i="36" s="1"/>
  <c r="E48" i="36"/>
  <c r="E48" i="36" a="1"/>
  <c r="D48" i="36" a="1"/>
  <c r="D48" i="36" s="1"/>
  <c r="C48" i="36" a="1"/>
  <c r="C48" i="36" s="1"/>
  <c r="AW47" i="36" a="1"/>
  <c r="AW47" i="36" s="1"/>
  <c r="AV47" i="36" a="1"/>
  <c r="AV47" i="36" s="1"/>
  <c r="AU47" i="36" a="1"/>
  <c r="AU47" i="36" s="1"/>
  <c r="AT47" i="36" a="1"/>
  <c r="AT47" i="36" s="1"/>
  <c r="AS47" i="36"/>
  <c r="AS47" i="36" a="1"/>
  <c r="AR47" i="36" a="1"/>
  <c r="AR47" i="36" s="1"/>
  <c r="AQ47" i="36" a="1"/>
  <c r="AQ47" i="36" s="1"/>
  <c r="AP47" i="36" a="1"/>
  <c r="AP47" i="36" s="1"/>
  <c r="AO47" i="36" a="1"/>
  <c r="AO47" i="36" s="1"/>
  <c r="AN47" i="36" a="1"/>
  <c r="AN47" i="36" s="1"/>
  <c r="AM47" i="36" a="1"/>
  <c r="AM47" i="36" s="1"/>
  <c r="AL47" i="36" a="1"/>
  <c r="AL47" i="36" s="1"/>
  <c r="AK47" i="36" a="1"/>
  <c r="AK47" i="36" s="1"/>
  <c r="AJ47" i="36" a="1"/>
  <c r="AJ47" i="36" s="1"/>
  <c r="AI47" i="36" a="1"/>
  <c r="AI47" i="36" s="1"/>
  <c r="AH47" i="36" a="1"/>
  <c r="AH47" i="36" s="1"/>
  <c r="AG47" i="36" a="1"/>
  <c r="AG47" i="36" s="1"/>
  <c r="AF47" i="36" a="1"/>
  <c r="AF47" i="36" s="1"/>
  <c r="AE47" i="36" a="1"/>
  <c r="AE47" i="36" s="1"/>
  <c r="AD47" i="36" a="1"/>
  <c r="AD47" i="36" s="1"/>
  <c r="AC47" i="36" a="1"/>
  <c r="AC47" i="36" s="1"/>
  <c r="AB47" i="36" a="1"/>
  <c r="AB47" i="36" s="1"/>
  <c r="AA47" i="36" a="1"/>
  <c r="AA47" i="36" s="1"/>
  <c r="Z47" i="36" a="1"/>
  <c r="Z47" i="36" s="1"/>
  <c r="Y47" i="36" a="1"/>
  <c r="Y47" i="36" s="1"/>
  <c r="X47" i="36" a="1"/>
  <c r="X47" i="36" s="1"/>
  <c r="W47" i="36" a="1"/>
  <c r="W47" i="36" s="1"/>
  <c r="V47" i="36" a="1"/>
  <c r="V47" i="36" s="1"/>
  <c r="U47" i="36" a="1"/>
  <c r="U47" i="36" s="1"/>
  <c r="T47" i="36" a="1"/>
  <c r="T47" i="36" s="1"/>
  <c r="S47" i="36" a="1"/>
  <c r="S47" i="36" s="1"/>
  <c r="R47" i="36" a="1"/>
  <c r="R47" i="36" s="1"/>
  <c r="Q47" i="36" a="1"/>
  <c r="Q47" i="36" s="1"/>
  <c r="P47" i="36" a="1"/>
  <c r="P47" i="36" s="1"/>
  <c r="O47" i="36" a="1"/>
  <c r="O47" i="36" s="1"/>
  <c r="N47" i="36" a="1"/>
  <c r="N47" i="36" s="1"/>
  <c r="M47" i="36"/>
  <c r="M47" i="36" a="1"/>
  <c r="L47" i="36" a="1"/>
  <c r="L47" i="36" s="1"/>
  <c r="K47" i="36" a="1"/>
  <c r="K47" i="36" s="1"/>
  <c r="J47" i="36" a="1"/>
  <c r="J47" i="36" s="1"/>
  <c r="I47" i="36" a="1"/>
  <c r="I47" i="36" s="1"/>
  <c r="H47" i="36" a="1"/>
  <c r="H47" i="36" s="1"/>
  <c r="G47" i="36" a="1"/>
  <c r="G47" i="36" s="1"/>
  <c r="F47" i="36" a="1"/>
  <c r="F47" i="36" s="1"/>
  <c r="E47" i="36" a="1"/>
  <c r="E47" i="36" s="1"/>
  <c r="D47" i="36" a="1"/>
  <c r="D47" i="36" s="1"/>
  <c r="C47" i="36" a="1"/>
  <c r="C47" i="36" s="1"/>
  <c r="AW46" i="36" a="1"/>
  <c r="AW46" i="36" s="1"/>
  <c r="AV46" i="36" a="1"/>
  <c r="AV46" i="36" s="1"/>
  <c r="AU46" i="36" a="1"/>
  <c r="AU46" i="36" s="1"/>
  <c r="AT46" i="36" a="1"/>
  <c r="AT46" i="36" s="1"/>
  <c r="AS46" i="36"/>
  <c r="AS46" i="36" a="1"/>
  <c r="AR46" i="36" a="1"/>
  <c r="AR46" i="36" s="1"/>
  <c r="AQ46" i="36" a="1"/>
  <c r="AQ46" i="36" s="1"/>
  <c r="AP46" i="36" a="1"/>
  <c r="AP46" i="36" s="1"/>
  <c r="AO46" i="36" a="1"/>
  <c r="AO46" i="36" s="1"/>
  <c r="AN46" i="36" a="1"/>
  <c r="AN46" i="36" s="1"/>
  <c r="AM46" i="36" a="1"/>
  <c r="AM46" i="36" s="1"/>
  <c r="AL46" i="36" a="1"/>
  <c r="AL46" i="36" s="1"/>
  <c r="AK46" i="36" a="1"/>
  <c r="AK46" i="36" s="1"/>
  <c r="AJ46" i="36" a="1"/>
  <c r="AJ46" i="36" s="1"/>
  <c r="AI46" i="36" a="1"/>
  <c r="AI46" i="36" s="1"/>
  <c r="AH46" i="36" a="1"/>
  <c r="AH46" i="36" s="1"/>
  <c r="AG46" i="36" a="1"/>
  <c r="AG46" i="36" s="1"/>
  <c r="AF46" i="36" a="1"/>
  <c r="AF46" i="36" s="1"/>
  <c r="AE46" i="36" a="1"/>
  <c r="AE46" i="36" s="1"/>
  <c r="AD46" i="36" a="1"/>
  <c r="AD46" i="36" s="1"/>
  <c r="AC46" i="36" a="1"/>
  <c r="AC46" i="36" s="1"/>
  <c r="AB46" i="36" a="1"/>
  <c r="AB46" i="36" s="1"/>
  <c r="AA46" i="36" a="1"/>
  <c r="AA46" i="36" s="1"/>
  <c r="Z46" i="36" a="1"/>
  <c r="Z46" i="36" s="1"/>
  <c r="Y46" i="36" a="1"/>
  <c r="Y46" i="36" s="1"/>
  <c r="X46" i="36" a="1"/>
  <c r="X46" i="36" s="1"/>
  <c r="W46" i="36" a="1"/>
  <c r="W46" i="36" s="1"/>
  <c r="V46" i="36" a="1"/>
  <c r="V46" i="36" s="1"/>
  <c r="U46" i="36" a="1"/>
  <c r="U46" i="36" s="1"/>
  <c r="T46" i="36" a="1"/>
  <c r="T46" i="36" s="1"/>
  <c r="S46" i="36" a="1"/>
  <c r="S46" i="36" s="1"/>
  <c r="R46" i="36" a="1"/>
  <c r="R46" i="36" s="1"/>
  <c r="Q46" i="36" a="1"/>
  <c r="Q46" i="36" s="1"/>
  <c r="P46" i="36" a="1"/>
  <c r="P46" i="36" s="1"/>
  <c r="O46" i="36" a="1"/>
  <c r="O46" i="36" s="1"/>
  <c r="N46" i="36" a="1"/>
  <c r="N46" i="36" s="1"/>
  <c r="M46" i="36" a="1"/>
  <c r="M46" i="36" s="1"/>
  <c r="L46" i="36" a="1"/>
  <c r="L46" i="36" s="1"/>
  <c r="K46" i="36" a="1"/>
  <c r="K46" i="36" s="1"/>
  <c r="J46" i="36" a="1"/>
  <c r="J46" i="36" s="1"/>
  <c r="I46" i="36" a="1"/>
  <c r="I46" i="36" s="1"/>
  <c r="H46" i="36" a="1"/>
  <c r="H46" i="36" s="1"/>
  <c r="G46" i="36" a="1"/>
  <c r="G46" i="36" s="1"/>
  <c r="F46" i="36" a="1"/>
  <c r="F46" i="36" s="1"/>
  <c r="E46" i="36" a="1"/>
  <c r="E46" i="36" s="1"/>
  <c r="D46" i="36" a="1"/>
  <c r="D46" i="36" s="1"/>
  <c r="C46" i="36" a="1"/>
  <c r="C46" i="36" s="1"/>
  <c r="AW45" i="36" a="1"/>
  <c r="AW45" i="36" s="1"/>
  <c r="AV45" i="36" a="1"/>
  <c r="AV45" i="36" s="1"/>
  <c r="AU45" i="36" a="1"/>
  <c r="AU45" i="36" s="1"/>
  <c r="AT45" i="36" a="1"/>
  <c r="AT45" i="36" s="1"/>
  <c r="AS45" i="36" a="1"/>
  <c r="AS45" i="36" s="1"/>
  <c r="AR45" i="36" a="1"/>
  <c r="AR45" i="36" s="1"/>
  <c r="AQ45" i="36" a="1"/>
  <c r="AQ45" i="36" s="1"/>
  <c r="AP45" i="36" a="1"/>
  <c r="AP45" i="36" s="1"/>
  <c r="AO45" i="36" a="1"/>
  <c r="AO45" i="36" s="1"/>
  <c r="AN45" i="36" a="1"/>
  <c r="AN45" i="36" s="1"/>
  <c r="AM45" i="36" a="1"/>
  <c r="AM45" i="36" s="1"/>
  <c r="AL45" i="36" a="1"/>
  <c r="AL45" i="36" s="1"/>
  <c r="AK45" i="36" a="1"/>
  <c r="AK45" i="36" s="1"/>
  <c r="AJ45" i="36" a="1"/>
  <c r="AJ45" i="36" s="1"/>
  <c r="AI45" i="36" a="1"/>
  <c r="AI45" i="36" s="1"/>
  <c r="AH45" i="36" a="1"/>
  <c r="AH45" i="36" s="1"/>
  <c r="AG45" i="36" a="1"/>
  <c r="AG45" i="36" s="1"/>
  <c r="AF45" i="36" a="1"/>
  <c r="AF45" i="36" s="1"/>
  <c r="AE45" i="36" a="1"/>
  <c r="AE45" i="36" s="1"/>
  <c r="AD45" i="36" a="1"/>
  <c r="AD45" i="36" s="1"/>
  <c r="AC45" i="36" a="1"/>
  <c r="AC45" i="36" s="1"/>
  <c r="AB45" i="36" a="1"/>
  <c r="AB45" i="36" s="1"/>
  <c r="AA45" i="36" a="1"/>
  <c r="AA45" i="36" s="1"/>
  <c r="Z45" i="36" a="1"/>
  <c r="Z45" i="36" s="1"/>
  <c r="Y45" i="36" a="1"/>
  <c r="Y45" i="36" s="1"/>
  <c r="X45" i="36" a="1"/>
  <c r="X45" i="36" s="1"/>
  <c r="W45" i="36" a="1"/>
  <c r="W45" i="36" s="1"/>
  <c r="V45" i="36" a="1"/>
  <c r="V45" i="36" s="1"/>
  <c r="U45" i="36" a="1"/>
  <c r="U45" i="36" s="1"/>
  <c r="T45" i="36" a="1"/>
  <c r="T45" i="36" s="1"/>
  <c r="S45" i="36" a="1"/>
  <c r="S45" i="36" s="1"/>
  <c r="R45" i="36" a="1"/>
  <c r="R45" i="36" s="1"/>
  <c r="Q45" i="36" a="1"/>
  <c r="Q45" i="36" s="1"/>
  <c r="P45" i="36" a="1"/>
  <c r="P45" i="36" s="1"/>
  <c r="O45" i="36" a="1"/>
  <c r="O45" i="36" s="1"/>
  <c r="N45" i="36" a="1"/>
  <c r="N45" i="36" s="1"/>
  <c r="M45" i="36"/>
  <c r="M45" i="36" a="1"/>
  <c r="L45" i="36" a="1"/>
  <c r="L45" i="36" s="1"/>
  <c r="K45" i="36" a="1"/>
  <c r="K45" i="36" s="1"/>
  <c r="J45" i="36" a="1"/>
  <c r="J45" i="36" s="1"/>
  <c r="I45" i="36" a="1"/>
  <c r="I45" i="36" s="1"/>
  <c r="H45" i="36" a="1"/>
  <c r="H45" i="36" s="1"/>
  <c r="G45" i="36" a="1"/>
  <c r="G45" i="36" s="1"/>
  <c r="F45" i="36" a="1"/>
  <c r="F45" i="36" s="1"/>
  <c r="E45" i="36" a="1"/>
  <c r="E45" i="36" s="1"/>
  <c r="D45" i="36" a="1"/>
  <c r="D45" i="36" s="1"/>
  <c r="C45" i="36" a="1"/>
  <c r="C45" i="36" s="1"/>
  <c r="AW44" i="36" a="1"/>
  <c r="AW44" i="36" s="1"/>
  <c r="AV44" i="36" a="1"/>
  <c r="AV44" i="36" s="1"/>
  <c r="AU44" i="36" a="1"/>
  <c r="AU44" i="36" s="1"/>
  <c r="AT44" i="36" a="1"/>
  <c r="AT44" i="36" s="1"/>
  <c r="AS44" i="36"/>
  <c r="AS44" i="36" a="1"/>
  <c r="AR44" i="36" a="1"/>
  <c r="AR44" i="36" s="1"/>
  <c r="AQ44" i="36" a="1"/>
  <c r="AQ44" i="36" s="1"/>
  <c r="AP44" i="36" a="1"/>
  <c r="AP44" i="36" s="1"/>
  <c r="AO44" i="36" a="1"/>
  <c r="AO44" i="36" s="1"/>
  <c r="AN44" i="36" a="1"/>
  <c r="AN44" i="36" s="1"/>
  <c r="AM44" i="36" a="1"/>
  <c r="AM44" i="36" s="1"/>
  <c r="AL44" i="36" a="1"/>
  <c r="AL44" i="36" s="1"/>
  <c r="AK44" i="36" a="1"/>
  <c r="AK44" i="36" s="1"/>
  <c r="AJ44" i="36" a="1"/>
  <c r="AJ44" i="36" s="1"/>
  <c r="AI44" i="36" a="1"/>
  <c r="AI44" i="36" s="1"/>
  <c r="AH44" i="36" a="1"/>
  <c r="AH44" i="36" s="1"/>
  <c r="AG44" i="36" a="1"/>
  <c r="AG44" i="36" s="1"/>
  <c r="AF44" i="36" a="1"/>
  <c r="AF44" i="36" s="1"/>
  <c r="AE44" i="36" a="1"/>
  <c r="AE44" i="36" s="1"/>
  <c r="AD44" i="36" a="1"/>
  <c r="AD44" i="36" s="1"/>
  <c r="AC44" i="36" a="1"/>
  <c r="AC44" i="36" s="1"/>
  <c r="AB44" i="36" a="1"/>
  <c r="AB44" i="36" s="1"/>
  <c r="AA44" i="36" a="1"/>
  <c r="AA44" i="36" s="1"/>
  <c r="Z44" i="36" a="1"/>
  <c r="Z44" i="36" s="1"/>
  <c r="Y44" i="36" a="1"/>
  <c r="Y44" i="36" s="1"/>
  <c r="X44" i="36" a="1"/>
  <c r="X44" i="36" s="1"/>
  <c r="W44" i="36" a="1"/>
  <c r="W44" i="36" s="1"/>
  <c r="V44" i="36" a="1"/>
  <c r="V44" i="36" s="1"/>
  <c r="U44" i="36" a="1"/>
  <c r="U44" i="36" s="1"/>
  <c r="T44" i="36" a="1"/>
  <c r="T44" i="36" s="1"/>
  <c r="S44" i="36" a="1"/>
  <c r="S44" i="36" s="1"/>
  <c r="R44" i="36" a="1"/>
  <c r="R44" i="36" s="1"/>
  <c r="Q44" i="36" a="1"/>
  <c r="Q44" i="36" s="1"/>
  <c r="P44" i="36" a="1"/>
  <c r="P44" i="36" s="1"/>
  <c r="O44" i="36" a="1"/>
  <c r="O44" i="36" s="1"/>
  <c r="N44" i="36" a="1"/>
  <c r="N44" i="36" s="1"/>
  <c r="M44" i="36" a="1"/>
  <c r="M44" i="36" s="1"/>
  <c r="L44" i="36" a="1"/>
  <c r="L44" i="36" s="1"/>
  <c r="K44" i="36" a="1"/>
  <c r="K44" i="36" s="1"/>
  <c r="J44" i="36" a="1"/>
  <c r="J44" i="36" s="1"/>
  <c r="I44" i="36" a="1"/>
  <c r="I44" i="36" s="1"/>
  <c r="H44" i="36" a="1"/>
  <c r="H44" i="36" s="1"/>
  <c r="G44" i="36" a="1"/>
  <c r="G44" i="36" s="1"/>
  <c r="F44" i="36" a="1"/>
  <c r="F44" i="36" s="1"/>
  <c r="E44" i="36"/>
  <c r="E44" i="36" a="1"/>
  <c r="D44" i="36"/>
  <c r="D44" i="36" a="1"/>
  <c r="C44" i="36"/>
  <c r="C44" i="36" a="1"/>
  <c r="AW43" i="36"/>
  <c r="AW43" i="36" a="1"/>
  <c r="AV43" i="36"/>
  <c r="AV43" i="36" a="1"/>
  <c r="AU43" i="36" a="1"/>
  <c r="AU43" i="36" s="1"/>
  <c r="AT43" i="36" a="1"/>
  <c r="AT43" i="36" s="1"/>
  <c r="AS43" i="36" a="1"/>
  <c r="AS43" i="36" s="1"/>
  <c r="AR43" i="36" a="1"/>
  <c r="AR43" i="36" s="1"/>
  <c r="AQ43" i="36" a="1"/>
  <c r="AQ43" i="36" s="1"/>
  <c r="AP43" i="36" a="1"/>
  <c r="AP43" i="36" s="1"/>
  <c r="AO43" i="36" a="1"/>
  <c r="AO43" i="36" s="1"/>
  <c r="AN43" i="36" a="1"/>
  <c r="AN43" i="36" s="1"/>
  <c r="AM43" i="36" a="1"/>
  <c r="AM43" i="36" s="1"/>
  <c r="AL43" i="36" a="1"/>
  <c r="AL43" i="36" s="1"/>
  <c r="AK43" i="36" a="1"/>
  <c r="AK43" i="36" s="1"/>
  <c r="AJ43" i="36"/>
  <c r="AJ43" i="36" a="1"/>
  <c r="AI43" i="36"/>
  <c r="AI43" i="36" a="1"/>
  <c r="AH43" i="36" a="1"/>
  <c r="AH43" i="36" s="1"/>
  <c r="AG43" i="36"/>
  <c r="AG43" i="36" a="1"/>
  <c r="AF43" i="36"/>
  <c r="AF43" i="36" a="1"/>
  <c r="AE43" i="36"/>
  <c r="AE43" i="36" a="1"/>
  <c r="AD43" i="36" a="1"/>
  <c r="AD43" i="36" s="1"/>
  <c r="AC43" i="36" a="1"/>
  <c r="AC43" i="36" s="1"/>
  <c r="AB43" i="36" a="1"/>
  <c r="AB43" i="36" s="1"/>
  <c r="AA43" i="36" a="1"/>
  <c r="AA43" i="36" s="1"/>
  <c r="Z43" i="36" a="1"/>
  <c r="Z43" i="36" s="1"/>
  <c r="Y43" i="36" a="1"/>
  <c r="Y43" i="36" s="1"/>
  <c r="X43" i="36" a="1"/>
  <c r="X43" i="36" s="1"/>
  <c r="W43" i="36" a="1"/>
  <c r="W43" i="36" s="1"/>
  <c r="V43" i="36" a="1"/>
  <c r="V43" i="36" s="1"/>
  <c r="U43" i="36" a="1"/>
  <c r="U43" i="36" s="1"/>
  <c r="T43" i="36" a="1"/>
  <c r="T43" i="36" s="1"/>
  <c r="S43" i="36"/>
  <c r="S43" i="36" a="1"/>
  <c r="R43" i="36"/>
  <c r="R43" i="36" a="1"/>
  <c r="Q43" i="36" a="1"/>
  <c r="Q43" i="36" s="1"/>
  <c r="P43" i="36"/>
  <c r="P43" i="36" a="1"/>
  <c r="O43" i="36"/>
  <c r="O43" i="36" a="1"/>
  <c r="N43" i="36" a="1"/>
  <c r="N43" i="36" s="1"/>
  <c r="M43" i="36" a="1"/>
  <c r="M43" i="36" s="1"/>
  <c r="L43" i="36" a="1"/>
  <c r="L43" i="36" s="1"/>
  <c r="K43" i="36" a="1"/>
  <c r="K43" i="36" s="1"/>
  <c r="J43" i="36" a="1"/>
  <c r="J43" i="36" s="1"/>
  <c r="I43" i="36" a="1"/>
  <c r="I43" i="36" s="1"/>
  <c r="H43" i="36" a="1"/>
  <c r="H43" i="36" s="1"/>
  <c r="G43" i="36" a="1"/>
  <c r="G43" i="36" s="1"/>
  <c r="F43" i="36" a="1"/>
  <c r="F43" i="36" s="1"/>
  <c r="E43" i="36"/>
  <c r="E43" i="36" a="1"/>
  <c r="D43" i="36" a="1"/>
  <c r="D43" i="36" s="1"/>
  <c r="C43" i="36" a="1"/>
  <c r="C43" i="36" s="1"/>
  <c r="AW42" i="36"/>
  <c r="AW42" i="36" a="1"/>
  <c r="AV42" i="36"/>
  <c r="AV42" i="36" a="1"/>
  <c r="AU42" i="36" a="1"/>
  <c r="AU42" i="36" s="1"/>
  <c r="AT42" i="36" a="1"/>
  <c r="AT42" i="36" s="1"/>
  <c r="AS42" i="36" a="1"/>
  <c r="AS42" i="36" s="1"/>
  <c r="AR42" i="36"/>
  <c r="AR42" i="36" a="1"/>
  <c r="AQ42" i="36"/>
  <c r="AQ42" i="36" a="1"/>
  <c r="AP42" i="36" a="1"/>
  <c r="AP42" i="36" s="1"/>
  <c r="AO42" i="36" a="1"/>
  <c r="AO42" i="36" s="1"/>
  <c r="AN42" i="36"/>
  <c r="AN42" i="36" a="1"/>
  <c r="AM42" i="36"/>
  <c r="AM42" i="36" a="1"/>
  <c r="AL42" i="36" a="1"/>
  <c r="AL42" i="36" s="1"/>
  <c r="AK42" i="36" a="1"/>
  <c r="AK42" i="36" s="1"/>
  <c r="AJ42" i="36"/>
  <c r="AJ42" i="36" a="1"/>
  <c r="AI42" i="36"/>
  <c r="AI42" i="36" a="1"/>
  <c r="AH42" i="36"/>
  <c r="AH42" i="36" a="1"/>
  <c r="AG42" i="36" a="1"/>
  <c r="AG42" i="36" s="1"/>
  <c r="AF42" i="36" a="1"/>
  <c r="AF42" i="36" s="1"/>
  <c r="AE42" i="36"/>
  <c r="AE42" i="36" a="1"/>
  <c r="AD42" i="36" a="1"/>
  <c r="AD42" i="36" s="1"/>
  <c r="AC42" i="36" a="1"/>
  <c r="AC42" i="36" s="1"/>
  <c r="AB42" i="36" a="1"/>
  <c r="AB42" i="36" s="1"/>
  <c r="AA42" i="36" a="1"/>
  <c r="AA42" i="36" s="1"/>
  <c r="Z42" i="36" a="1"/>
  <c r="Z42" i="36" s="1"/>
  <c r="Y42" i="36" a="1"/>
  <c r="Y42" i="36" s="1"/>
  <c r="X42" i="36" a="1"/>
  <c r="X42" i="36" s="1"/>
  <c r="W42" i="36" a="1"/>
  <c r="W42" i="36" s="1"/>
  <c r="V42" i="36" a="1"/>
  <c r="V42" i="36" s="1"/>
  <c r="U42" i="36" a="1"/>
  <c r="U42" i="36" s="1"/>
  <c r="T42" i="36" a="1"/>
  <c r="T42" i="36" s="1"/>
  <c r="S42" i="36"/>
  <c r="S42" i="36" a="1"/>
  <c r="R42" i="36" a="1"/>
  <c r="R42" i="36" s="1"/>
  <c r="Q42" i="36"/>
  <c r="Q42" i="36" a="1"/>
  <c r="P42" i="36"/>
  <c r="P42" i="36" a="1"/>
  <c r="O42" i="36"/>
  <c r="O42" i="36" a="1"/>
  <c r="N42" i="36" a="1"/>
  <c r="N42" i="36" s="1"/>
  <c r="M42" i="36" a="1"/>
  <c r="M42" i="36" s="1"/>
  <c r="L42" i="36" a="1"/>
  <c r="L42" i="36" s="1"/>
  <c r="K42" i="36" a="1"/>
  <c r="K42" i="36" s="1"/>
  <c r="J42" i="36" a="1"/>
  <c r="J42" i="36" s="1"/>
  <c r="I42" i="36" a="1"/>
  <c r="I42" i="36" s="1"/>
  <c r="H42" i="36" a="1"/>
  <c r="H42" i="36" s="1"/>
  <c r="G42" i="36" a="1"/>
  <c r="G42" i="36" s="1"/>
  <c r="F42" i="36" a="1"/>
  <c r="F42" i="36" s="1"/>
  <c r="E42" i="36" a="1"/>
  <c r="E42" i="36" s="1"/>
  <c r="D42" i="36" a="1"/>
  <c r="D42" i="36" s="1"/>
  <c r="C42" i="36" a="1"/>
  <c r="C42" i="36" s="1"/>
  <c r="AW41" i="36" a="1"/>
  <c r="AW41" i="36" s="1"/>
  <c r="AV41" i="36"/>
  <c r="AV41" i="36" a="1"/>
  <c r="AU41" i="36"/>
  <c r="AU41" i="36" a="1"/>
  <c r="AT41" i="36" a="1"/>
  <c r="AT41" i="36" s="1"/>
  <c r="AS41" i="36" a="1"/>
  <c r="AS41" i="36" s="1"/>
  <c r="AR41" i="36" a="1"/>
  <c r="AR41" i="36" s="1"/>
  <c r="AQ41" i="36" a="1"/>
  <c r="AQ41" i="36" s="1"/>
  <c r="AP41" i="36" a="1"/>
  <c r="AP41" i="36" s="1"/>
  <c r="AO41" i="36" a="1"/>
  <c r="AO41" i="36" s="1"/>
  <c r="AN41" i="36" a="1"/>
  <c r="AN41" i="36" s="1"/>
  <c r="AM41" i="36" a="1"/>
  <c r="AM41" i="36" s="1"/>
  <c r="AL41" i="36" a="1"/>
  <c r="AL41" i="36" s="1"/>
  <c r="AK41" i="36" a="1"/>
  <c r="AK41" i="36" s="1"/>
  <c r="AJ41" i="36" a="1"/>
  <c r="AJ41" i="36" s="1"/>
  <c r="AI41" i="36" a="1"/>
  <c r="AI41" i="36" s="1"/>
  <c r="AH41" i="36"/>
  <c r="AH41" i="36" a="1"/>
  <c r="AG41" i="36"/>
  <c r="AG41" i="36" a="1"/>
  <c r="AF41" i="36"/>
  <c r="AF41" i="36" a="1"/>
  <c r="AE41" i="36" a="1"/>
  <c r="AE41" i="36" s="1"/>
  <c r="AD41" i="36" a="1"/>
  <c r="AD41" i="36" s="1"/>
  <c r="AC41" i="36" a="1"/>
  <c r="AC41" i="36" s="1"/>
  <c r="AB41" i="36" a="1"/>
  <c r="AB41" i="36" s="1"/>
  <c r="AA41" i="36" a="1"/>
  <c r="AA41" i="36" s="1"/>
  <c r="Z41" i="36" a="1"/>
  <c r="Z41" i="36" s="1"/>
  <c r="Y41" i="36" a="1"/>
  <c r="Y41" i="36" s="1"/>
  <c r="X41" i="36" a="1"/>
  <c r="X41" i="36" s="1"/>
  <c r="W41" i="36" a="1"/>
  <c r="W41" i="36" s="1"/>
  <c r="V41" i="36" a="1"/>
  <c r="V41" i="36" s="1"/>
  <c r="U41" i="36" a="1"/>
  <c r="U41" i="36" s="1"/>
  <c r="T41" i="36" a="1"/>
  <c r="T41" i="36" s="1"/>
  <c r="S41" i="36" a="1"/>
  <c r="S41" i="36" s="1"/>
  <c r="R41" i="36"/>
  <c r="R41" i="36" a="1"/>
  <c r="Q41" i="36"/>
  <c r="Q41" i="36" a="1"/>
  <c r="P41" i="36" a="1"/>
  <c r="P41" i="36" s="1"/>
  <c r="O41" i="36" a="1"/>
  <c r="O41" i="36" s="1"/>
  <c r="N41" i="36" a="1"/>
  <c r="N41" i="36" s="1"/>
  <c r="M41" i="36" a="1"/>
  <c r="M41" i="36" s="1"/>
  <c r="L41" i="36" a="1"/>
  <c r="L41" i="36" s="1"/>
  <c r="K41" i="36" a="1"/>
  <c r="K41" i="36" s="1"/>
  <c r="J41" i="36" a="1"/>
  <c r="J41" i="36" s="1"/>
  <c r="I41" i="36" a="1"/>
  <c r="I41" i="36" s="1"/>
  <c r="H41" i="36" a="1"/>
  <c r="H41" i="36" s="1"/>
  <c r="G41" i="36" a="1"/>
  <c r="G41" i="36" s="1"/>
  <c r="F41" i="36" a="1"/>
  <c r="F41" i="36" s="1"/>
  <c r="E41" i="36" a="1"/>
  <c r="E41" i="36" s="1"/>
  <c r="D41" i="36" a="1"/>
  <c r="D41" i="36" s="1"/>
  <c r="C41" i="36"/>
  <c r="C41" i="36" a="1"/>
  <c r="AW40" i="36"/>
  <c r="AW40" i="36" a="1"/>
  <c r="AV40" i="36" a="1"/>
  <c r="AV40" i="36" s="1"/>
  <c r="AU40" i="36" a="1"/>
  <c r="AU40" i="36" s="1"/>
  <c r="AT40" i="36" a="1"/>
  <c r="AT40" i="36" s="1"/>
  <c r="AS40" i="36" a="1"/>
  <c r="AS40" i="36" s="1"/>
  <c r="AR40" i="36" a="1"/>
  <c r="AR40" i="36" s="1"/>
  <c r="AQ40" i="36" a="1"/>
  <c r="AQ40" i="36" s="1"/>
  <c r="AP40" i="36" a="1"/>
  <c r="AP40" i="36" s="1"/>
  <c r="AO40" i="36" a="1"/>
  <c r="AO40" i="36" s="1"/>
  <c r="AN40" i="36" a="1"/>
  <c r="AN40" i="36" s="1"/>
  <c r="AM40" i="36" a="1"/>
  <c r="AM40" i="36" s="1"/>
  <c r="AL40" i="36" a="1"/>
  <c r="AL40" i="36" s="1"/>
  <c r="AK40" i="36" a="1"/>
  <c r="AK40" i="36" s="1"/>
  <c r="AJ40" i="36" a="1"/>
  <c r="AJ40" i="36" s="1"/>
  <c r="AI40" i="36"/>
  <c r="AI40" i="36" a="1"/>
  <c r="AH40" i="36"/>
  <c r="AH40" i="36" a="1"/>
  <c r="AG40" i="36" a="1"/>
  <c r="AG40" i="36" s="1"/>
  <c r="AF40" i="36" a="1"/>
  <c r="AF40" i="36" s="1"/>
  <c r="AE40" i="36"/>
  <c r="AE40" i="36" a="1"/>
  <c r="AD40" i="36" a="1"/>
  <c r="AD40" i="36" s="1"/>
  <c r="AC40" i="36" a="1"/>
  <c r="AC40" i="36" s="1"/>
  <c r="AB40" i="36" a="1"/>
  <c r="AB40" i="36" s="1"/>
  <c r="AA40" i="36" a="1"/>
  <c r="AA40" i="36" s="1"/>
  <c r="Z40" i="36" a="1"/>
  <c r="Z40" i="36" s="1"/>
  <c r="Y40" i="36" a="1"/>
  <c r="Y40" i="36" s="1"/>
  <c r="X40" i="36" a="1"/>
  <c r="X40" i="36" s="1"/>
  <c r="W40" i="36" a="1"/>
  <c r="W40" i="36" s="1"/>
  <c r="V40" i="36" a="1"/>
  <c r="V40" i="36" s="1"/>
  <c r="U40" i="36" a="1"/>
  <c r="U40" i="36" s="1"/>
  <c r="T40" i="36" a="1"/>
  <c r="T40" i="36" s="1"/>
  <c r="S40" i="36"/>
  <c r="S40" i="36" a="1"/>
  <c r="R40" i="36" a="1"/>
  <c r="R40" i="36" s="1"/>
  <c r="Q40" i="36" a="1"/>
  <c r="Q40" i="36" s="1"/>
  <c r="P40" i="36"/>
  <c r="P40" i="36" a="1"/>
  <c r="O40" i="36"/>
  <c r="O40" i="36" a="1"/>
  <c r="N40" i="36" a="1"/>
  <c r="N40" i="36" s="1"/>
  <c r="M40" i="36" a="1"/>
  <c r="M40" i="36" s="1"/>
  <c r="L40" i="36" a="1"/>
  <c r="L40" i="36" s="1"/>
  <c r="K40" i="36" a="1"/>
  <c r="K40" i="36" s="1"/>
  <c r="J40" i="36" a="1"/>
  <c r="J40" i="36" s="1"/>
  <c r="I40" i="36" a="1"/>
  <c r="I40" i="36" s="1"/>
  <c r="H40" i="36" a="1"/>
  <c r="H40" i="36" s="1"/>
  <c r="G40" i="36" a="1"/>
  <c r="G40" i="36" s="1"/>
  <c r="F40" i="36" a="1"/>
  <c r="F40" i="36" s="1"/>
  <c r="E40" i="36" a="1"/>
  <c r="E40" i="36" s="1"/>
  <c r="D40" i="36" a="1"/>
  <c r="D40" i="36" s="1"/>
  <c r="C40" i="36" a="1"/>
  <c r="C40" i="36" s="1"/>
  <c r="AW39" i="36" a="1"/>
  <c r="AW39" i="36" s="1"/>
  <c r="AV39" i="36"/>
  <c r="AV39" i="36" a="1"/>
  <c r="AU39" i="36"/>
  <c r="AU39" i="36" a="1"/>
  <c r="AT39" i="36" a="1"/>
  <c r="AT39" i="36" s="1"/>
  <c r="AS39" i="36" a="1"/>
  <c r="AS39" i="36" s="1"/>
  <c r="AR39" i="36" a="1"/>
  <c r="AR39" i="36" s="1"/>
  <c r="AQ39" i="36" a="1"/>
  <c r="AQ39" i="36" s="1"/>
  <c r="AP39" i="36" a="1"/>
  <c r="AP39" i="36" s="1"/>
  <c r="AO39" i="36" a="1"/>
  <c r="AO39" i="36" s="1"/>
  <c r="AN39" i="36" a="1"/>
  <c r="AN39" i="36" s="1"/>
  <c r="AM39" i="36" a="1"/>
  <c r="AM39" i="36" s="1"/>
  <c r="AL39" i="36" a="1"/>
  <c r="AL39" i="36" s="1"/>
  <c r="AK39" i="36" a="1"/>
  <c r="AK39" i="36" s="1"/>
  <c r="AJ39" i="36" a="1"/>
  <c r="AJ39" i="36" s="1"/>
  <c r="AI39" i="36" a="1"/>
  <c r="AI39" i="36" s="1"/>
  <c r="AH39" i="36" a="1"/>
  <c r="AH39" i="36" s="1"/>
  <c r="AG39" i="36"/>
  <c r="AG39" i="36" a="1"/>
  <c r="AF39" i="36"/>
  <c r="AF39" i="36" a="1"/>
  <c r="AE39" i="36" a="1"/>
  <c r="AE39" i="36" s="1"/>
  <c r="AD39" i="36" a="1"/>
  <c r="AD39" i="36" s="1"/>
  <c r="AC39" i="36" a="1"/>
  <c r="AC39" i="36" s="1"/>
  <c r="AB39" i="36" a="1"/>
  <c r="AB39" i="36" s="1"/>
  <c r="AA39" i="36" a="1"/>
  <c r="AA39" i="36" s="1"/>
  <c r="Z39" i="36" a="1"/>
  <c r="Z39" i="36" s="1"/>
  <c r="Y39" i="36" a="1"/>
  <c r="Y39" i="36" s="1"/>
  <c r="X39" i="36" a="1"/>
  <c r="X39" i="36" s="1"/>
  <c r="W39" i="36" a="1"/>
  <c r="W39" i="36" s="1"/>
  <c r="V39" i="36" a="1"/>
  <c r="V39" i="36" s="1"/>
  <c r="U39" i="36" a="1"/>
  <c r="U39" i="36" s="1"/>
  <c r="T39" i="36" a="1"/>
  <c r="T39" i="36" s="1"/>
  <c r="S39" i="36" a="1"/>
  <c r="S39" i="36" s="1"/>
  <c r="R39" i="36"/>
  <c r="R39" i="36" a="1"/>
  <c r="Q39" i="36"/>
  <c r="Q39" i="36" a="1"/>
  <c r="P39" i="36" a="1"/>
  <c r="P39" i="36" s="1"/>
  <c r="O39" i="36" a="1"/>
  <c r="O39" i="36" s="1"/>
  <c r="N39" i="36" a="1"/>
  <c r="N39" i="36" s="1"/>
  <c r="M39" i="36" a="1"/>
  <c r="M39" i="36" s="1"/>
  <c r="L39" i="36" a="1"/>
  <c r="L39" i="36" s="1"/>
  <c r="K39" i="36" a="1"/>
  <c r="K39" i="36" s="1"/>
  <c r="J39" i="36" a="1"/>
  <c r="J39" i="36" s="1"/>
  <c r="I39" i="36" a="1"/>
  <c r="I39" i="36" s="1"/>
  <c r="H39" i="36" a="1"/>
  <c r="H39" i="36" s="1"/>
  <c r="G39" i="36" a="1"/>
  <c r="G39" i="36" s="1"/>
  <c r="F39" i="36" a="1"/>
  <c r="F39" i="36" s="1"/>
  <c r="E39" i="36" a="1"/>
  <c r="E39" i="36" s="1"/>
  <c r="D39" i="36" a="1"/>
  <c r="D39" i="36" s="1"/>
  <c r="C39" i="36" a="1"/>
  <c r="C39" i="36" s="1"/>
  <c r="AW38" i="36" a="1"/>
  <c r="AW38" i="36" s="1"/>
  <c r="AV38" i="36"/>
  <c r="AV38" i="36" a="1"/>
  <c r="AU38" i="36"/>
  <c r="AU38" i="36" a="1"/>
  <c r="AT38" i="36" a="1"/>
  <c r="AT38" i="36" s="1"/>
  <c r="AS38" i="36" a="1"/>
  <c r="AS38" i="36" s="1"/>
  <c r="AR38" i="36" a="1"/>
  <c r="AR38" i="36" s="1"/>
  <c r="AQ38" i="36" a="1"/>
  <c r="AQ38" i="36" s="1"/>
  <c r="AP38" i="36"/>
  <c r="AP38" i="36" a="1"/>
  <c r="AO38" i="36"/>
  <c r="AO38" i="36" a="1"/>
  <c r="AN38" i="36" a="1"/>
  <c r="AN38" i="36" s="1"/>
  <c r="AM38" i="36" a="1"/>
  <c r="AM38" i="36" s="1"/>
  <c r="AL38" i="36" a="1"/>
  <c r="AL38" i="36" s="1"/>
  <c r="AK38" i="36" a="1"/>
  <c r="AK38" i="36" s="1"/>
  <c r="AJ38" i="36" a="1"/>
  <c r="AJ38" i="36" s="1"/>
  <c r="AI38" i="36" a="1"/>
  <c r="AI38" i="36" s="1"/>
  <c r="AH38" i="36" a="1"/>
  <c r="AH38" i="36" s="1"/>
  <c r="AG38" i="36" a="1"/>
  <c r="AG38" i="36" s="1"/>
  <c r="AF38" i="36"/>
  <c r="AF38" i="36" a="1"/>
  <c r="AE38" i="36"/>
  <c r="AE38" i="36" a="1"/>
  <c r="AD38" i="36" a="1"/>
  <c r="AD38" i="36" s="1"/>
  <c r="AC38" i="36" a="1"/>
  <c r="AC38" i="36" s="1"/>
  <c r="AB38" i="36" a="1"/>
  <c r="AB38" i="36" s="1"/>
  <c r="AA38" i="36" a="1"/>
  <c r="AA38" i="36" s="1"/>
  <c r="Z38" i="36"/>
  <c r="Z38" i="36" a="1"/>
  <c r="Y38" i="36"/>
  <c r="Y38" i="36" a="1"/>
  <c r="X38" i="36" a="1"/>
  <c r="X38" i="36" s="1"/>
  <c r="W38" i="36" a="1"/>
  <c r="W38" i="36" s="1"/>
  <c r="V38" i="36" a="1"/>
  <c r="V38" i="36" s="1"/>
  <c r="U38" i="36" a="1"/>
  <c r="U38" i="36" s="1"/>
  <c r="T38" i="36" a="1"/>
  <c r="T38" i="36" s="1"/>
  <c r="S38" i="36" a="1"/>
  <c r="S38" i="36" s="1"/>
  <c r="R38" i="36" a="1"/>
  <c r="R38" i="36" s="1"/>
  <c r="Q38" i="36" a="1"/>
  <c r="Q38" i="36" s="1"/>
  <c r="P38" i="36"/>
  <c r="P38" i="36" a="1"/>
  <c r="O38" i="36" a="1"/>
  <c r="O38" i="36" s="1"/>
  <c r="N38" i="36" a="1"/>
  <c r="N38" i="36" s="1"/>
  <c r="M38" i="36" a="1"/>
  <c r="M38" i="36" s="1"/>
  <c r="L38" i="36" a="1"/>
  <c r="L38" i="36" s="1"/>
  <c r="K38" i="36" a="1"/>
  <c r="K38" i="36" s="1"/>
  <c r="J38" i="36" a="1"/>
  <c r="J38" i="36" s="1"/>
  <c r="I38" i="36" a="1"/>
  <c r="I38" i="36" s="1"/>
  <c r="H38" i="36" a="1"/>
  <c r="H38" i="36" s="1"/>
  <c r="G38" i="36" a="1"/>
  <c r="G38" i="36" s="1"/>
  <c r="F38" i="36" a="1"/>
  <c r="F38" i="36" s="1"/>
  <c r="E38" i="36" a="1"/>
  <c r="E38" i="36" s="1"/>
  <c r="D38" i="36" a="1"/>
  <c r="D38" i="36" s="1"/>
  <c r="C38" i="36" a="1"/>
  <c r="C38" i="36" s="1"/>
  <c r="AW37" i="36"/>
  <c r="AW37" i="36" a="1"/>
  <c r="AV37" i="36" a="1"/>
  <c r="AV37" i="36" s="1"/>
  <c r="AU37" i="36" a="1"/>
  <c r="AU37" i="36" s="1"/>
  <c r="AT37" i="36" a="1"/>
  <c r="AT37" i="36" s="1"/>
  <c r="AS37" i="36" a="1"/>
  <c r="AS37" i="36" s="1"/>
  <c r="AR37" i="36" a="1"/>
  <c r="AR37" i="36" s="1"/>
  <c r="AQ37" i="36" a="1"/>
  <c r="AQ37" i="36" s="1"/>
  <c r="AP37" i="36" a="1"/>
  <c r="AP37" i="36" s="1"/>
  <c r="AO37" i="36" a="1"/>
  <c r="AO37" i="36" s="1"/>
  <c r="AN37" i="36" a="1"/>
  <c r="AN37" i="36" s="1"/>
  <c r="AM37" i="36" a="1"/>
  <c r="AM37" i="36" s="1"/>
  <c r="AL37" i="36" a="1"/>
  <c r="AL37" i="36" s="1"/>
  <c r="AK37" i="36" a="1"/>
  <c r="AK37" i="36" s="1"/>
  <c r="AJ37" i="36" a="1"/>
  <c r="AJ37" i="36" s="1"/>
  <c r="AI37" i="36" a="1"/>
  <c r="AI37" i="36" s="1"/>
  <c r="AH37" i="36" a="1"/>
  <c r="AH37" i="36" s="1"/>
  <c r="AG37" i="36" a="1"/>
  <c r="AG37" i="36" s="1"/>
  <c r="AF37" i="36"/>
  <c r="AF37" i="36" a="1"/>
  <c r="AE37" i="36" a="1"/>
  <c r="AE37" i="36" s="1"/>
  <c r="AD37" i="36" a="1"/>
  <c r="AD37" i="36" s="1"/>
  <c r="AC37" i="36" a="1"/>
  <c r="AC37" i="36" s="1"/>
  <c r="AB37" i="36" a="1"/>
  <c r="AB37" i="36" s="1"/>
  <c r="AA37" i="36" a="1"/>
  <c r="AA37" i="36" s="1"/>
  <c r="Z37" i="36" a="1"/>
  <c r="Z37" i="36" s="1"/>
  <c r="Y37" i="36"/>
  <c r="Y37" i="36" a="1"/>
  <c r="X37" i="36"/>
  <c r="X37" i="36" a="1"/>
  <c r="W37" i="36" a="1"/>
  <c r="W37" i="36" s="1"/>
  <c r="V37" i="36" a="1"/>
  <c r="V37" i="36" s="1"/>
  <c r="U37" i="36" a="1"/>
  <c r="U37" i="36" s="1"/>
  <c r="T37" i="36" a="1"/>
  <c r="T37" i="36" s="1"/>
  <c r="S37" i="36" a="1"/>
  <c r="S37" i="36" s="1"/>
  <c r="R37" i="36" a="1"/>
  <c r="R37" i="36" s="1"/>
  <c r="Q37" i="36"/>
  <c r="Q37" i="36" a="1"/>
  <c r="P37" i="36" a="1"/>
  <c r="P37" i="36" s="1"/>
  <c r="O37" i="36" a="1"/>
  <c r="O37" i="36" s="1"/>
  <c r="N37" i="36" a="1"/>
  <c r="N37" i="36" s="1"/>
  <c r="M37" i="36" a="1"/>
  <c r="M37" i="36" s="1"/>
  <c r="L37" i="36" a="1"/>
  <c r="L37" i="36" s="1"/>
  <c r="K37" i="36" a="1"/>
  <c r="K37" i="36" s="1"/>
  <c r="J37" i="36" a="1"/>
  <c r="J37" i="36" s="1"/>
  <c r="I37" i="36" a="1"/>
  <c r="I37" i="36" s="1"/>
  <c r="H37" i="36" a="1"/>
  <c r="H37" i="36" s="1"/>
  <c r="G37" i="36" a="1"/>
  <c r="G37" i="36" s="1"/>
  <c r="F37" i="36" a="1"/>
  <c r="F37" i="36" s="1"/>
  <c r="E37" i="36" a="1"/>
  <c r="E37" i="36" s="1"/>
  <c r="D37" i="36" a="1"/>
  <c r="D37" i="36" s="1"/>
  <c r="C37" i="36" a="1"/>
  <c r="C37" i="36" s="1"/>
  <c r="AW36" i="36" a="1"/>
  <c r="AW36" i="36" s="1"/>
  <c r="AV36" i="36" a="1"/>
  <c r="AV36" i="36" s="1"/>
  <c r="AU36" i="36" a="1"/>
  <c r="AU36" i="36" s="1"/>
  <c r="AT36" i="36" a="1"/>
  <c r="AT36" i="36" s="1"/>
  <c r="AS36" i="36" a="1"/>
  <c r="AS36" i="36" s="1"/>
  <c r="AR36" i="36" a="1"/>
  <c r="AR36" i="36" s="1"/>
  <c r="AQ36" i="36" a="1"/>
  <c r="AQ36" i="36" s="1"/>
  <c r="AP36" i="36" a="1"/>
  <c r="AP36" i="36" s="1"/>
  <c r="AO36" i="36" a="1"/>
  <c r="AO36" i="36" s="1"/>
  <c r="AN36" i="36" a="1"/>
  <c r="AN36" i="36" s="1"/>
  <c r="AM36" i="36" a="1"/>
  <c r="AM36" i="36" s="1"/>
  <c r="AL36" i="36" a="1"/>
  <c r="AL36" i="36" s="1"/>
  <c r="AK36" i="36" a="1"/>
  <c r="AK36" i="36" s="1"/>
  <c r="AJ36" i="36" a="1"/>
  <c r="AJ36" i="36" s="1"/>
  <c r="AI36" i="36" a="1"/>
  <c r="AI36" i="36" s="1"/>
  <c r="AH36" i="36" a="1"/>
  <c r="AH36" i="36" s="1"/>
  <c r="AG36" i="36" a="1"/>
  <c r="AG36" i="36" s="1"/>
  <c r="AF36" i="36"/>
  <c r="AF36" i="36" a="1"/>
  <c r="AE36" i="36" a="1"/>
  <c r="AE36" i="36" s="1"/>
  <c r="AD36" i="36" a="1"/>
  <c r="AD36" i="36" s="1"/>
  <c r="AC36" i="36" a="1"/>
  <c r="AC36" i="36" s="1"/>
  <c r="AB36" i="36" a="1"/>
  <c r="AB36" i="36" s="1"/>
  <c r="AA36" i="36" a="1"/>
  <c r="AA36" i="36" s="1"/>
  <c r="Z36" i="36" a="1"/>
  <c r="Z36" i="36" s="1"/>
  <c r="Y36" i="36" a="1"/>
  <c r="Y36" i="36" s="1"/>
  <c r="X36" i="36" a="1"/>
  <c r="X36" i="36" s="1"/>
  <c r="W36" i="36" a="1"/>
  <c r="W36" i="36" s="1"/>
  <c r="V36" i="36" a="1"/>
  <c r="V36" i="36" s="1"/>
  <c r="U36" i="36" a="1"/>
  <c r="U36" i="36" s="1"/>
  <c r="T36" i="36" a="1"/>
  <c r="T36" i="36" s="1"/>
  <c r="S36" i="36" a="1"/>
  <c r="S36" i="36" s="1"/>
  <c r="R36" i="36" a="1"/>
  <c r="R36" i="36" s="1"/>
  <c r="Q36" i="36"/>
  <c r="Q36" i="36" a="1"/>
  <c r="P36" i="36" a="1"/>
  <c r="P36" i="36" s="1"/>
  <c r="O36" i="36" a="1"/>
  <c r="O36" i="36" s="1"/>
  <c r="N36" i="36" a="1"/>
  <c r="N36" i="36" s="1"/>
  <c r="M36" i="36" a="1"/>
  <c r="M36" i="36" s="1"/>
  <c r="L36" i="36" a="1"/>
  <c r="L36" i="36" s="1"/>
  <c r="K36" i="36" a="1"/>
  <c r="K36" i="36" s="1"/>
  <c r="J36" i="36" a="1"/>
  <c r="J36" i="36" s="1"/>
  <c r="I36" i="36" a="1"/>
  <c r="I36" i="36" s="1"/>
  <c r="H36" i="36" a="1"/>
  <c r="H36" i="36" s="1"/>
  <c r="G36" i="36" a="1"/>
  <c r="G36" i="36" s="1"/>
  <c r="F36" i="36" a="1"/>
  <c r="F36" i="36" s="1"/>
  <c r="E36" i="36" a="1"/>
  <c r="E36" i="36" s="1"/>
  <c r="D36" i="36" a="1"/>
  <c r="D36" i="36" s="1"/>
  <c r="C36" i="36" a="1"/>
  <c r="C36" i="36" s="1"/>
  <c r="AW35" i="36"/>
  <c r="AW35" i="36" a="1"/>
  <c r="AV35" i="36"/>
  <c r="AV35" i="36" a="1"/>
  <c r="AU35" i="36" a="1"/>
  <c r="AU35" i="36" s="1"/>
  <c r="AT35" i="36" a="1"/>
  <c r="AT35" i="36" s="1"/>
  <c r="AS35" i="36" a="1"/>
  <c r="AS35" i="36" s="1"/>
  <c r="AR35" i="36" a="1"/>
  <c r="AR35" i="36" s="1"/>
  <c r="AQ35" i="36" a="1"/>
  <c r="AQ35" i="36" s="1"/>
  <c r="AP35" i="36" a="1"/>
  <c r="AP35" i="36" s="1"/>
  <c r="AO35" i="36"/>
  <c r="AO35" i="36" a="1"/>
  <c r="AN35" i="36" a="1"/>
  <c r="AN35" i="36" s="1"/>
  <c r="AM35" i="36" a="1"/>
  <c r="AM35" i="36" s="1"/>
  <c r="AL35" i="36" a="1"/>
  <c r="AL35" i="36" s="1"/>
  <c r="AK35" i="36" a="1"/>
  <c r="AK35" i="36" s="1"/>
  <c r="AJ35" i="36" a="1"/>
  <c r="AJ35" i="36" s="1"/>
  <c r="AI35" i="36" a="1"/>
  <c r="AI35" i="36" s="1"/>
  <c r="AH35" i="36" a="1"/>
  <c r="AH35" i="36" s="1"/>
  <c r="AG35" i="36" a="1"/>
  <c r="AG35" i="36" s="1"/>
  <c r="AF35" i="36" a="1"/>
  <c r="AF35" i="36" s="1"/>
  <c r="AE35" i="36" a="1"/>
  <c r="AE35" i="36" s="1"/>
  <c r="AD35" i="36" a="1"/>
  <c r="AD35" i="36" s="1"/>
  <c r="AC35" i="36" a="1"/>
  <c r="AC35" i="36" s="1"/>
  <c r="AB35" i="36" a="1"/>
  <c r="AB35" i="36" s="1"/>
  <c r="AA35" i="36" a="1"/>
  <c r="AA35" i="36" s="1"/>
  <c r="Z35" i="36" a="1"/>
  <c r="Z35" i="36" s="1"/>
  <c r="Y35" i="36" a="1"/>
  <c r="Y35" i="36" s="1"/>
  <c r="X35" i="36"/>
  <c r="X35" i="36" a="1"/>
  <c r="W35" i="36" a="1"/>
  <c r="W35" i="36" s="1"/>
  <c r="V35" i="36" a="1"/>
  <c r="V35" i="36" s="1"/>
  <c r="U35" i="36" a="1"/>
  <c r="U35" i="36" s="1"/>
  <c r="T35" i="36" a="1"/>
  <c r="T35" i="36" s="1"/>
  <c r="S35" i="36" a="1"/>
  <c r="S35" i="36" s="1"/>
  <c r="R35" i="36" a="1"/>
  <c r="R35" i="36" s="1"/>
  <c r="Q35" i="36"/>
  <c r="Q35" i="36" a="1"/>
  <c r="P35" i="36"/>
  <c r="P35" i="36" a="1"/>
  <c r="O35" i="36" a="1"/>
  <c r="O35" i="36" s="1"/>
  <c r="N35" i="36" a="1"/>
  <c r="N35" i="36" s="1"/>
  <c r="M35" i="36" a="1"/>
  <c r="M35" i="36" s="1"/>
  <c r="L35" i="36" a="1"/>
  <c r="L35" i="36" s="1"/>
  <c r="K35" i="36" a="1"/>
  <c r="K35" i="36" s="1"/>
  <c r="J35" i="36" a="1"/>
  <c r="J35" i="36" s="1"/>
  <c r="I35" i="36"/>
  <c r="I35" i="36" a="1"/>
  <c r="H35" i="36" a="1"/>
  <c r="H35" i="36" s="1"/>
  <c r="G35" i="36" a="1"/>
  <c r="G35" i="36" s="1"/>
  <c r="F35" i="36" a="1"/>
  <c r="F35" i="36" s="1"/>
  <c r="E35" i="36" a="1"/>
  <c r="E35" i="36" s="1"/>
  <c r="D35" i="36" a="1"/>
  <c r="D35" i="36" s="1"/>
  <c r="C35" i="36" a="1"/>
  <c r="C35" i="36" s="1"/>
  <c r="AW34" i="36" a="1"/>
  <c r="AW34" i="36" s="1"/>
  <c r="AV34" i="36" a="1"/>
  <c r="AV34" i="36" s="1"/>
  <c r="AU34" i="36" a="1"/>
  <c r="AU34" i="36" s="1"/>
  <c r="AT34" i="36" a="1"/>
  <c r="AT34" i="36" s="1"/>
  <c r="AS34" i="36" a="1"/>
  <c r="AS34" i="36" s="1"/>
  <c r="AR34" i="36" a="1"/>
  <c r="AR34" i="36" s="1"/>
  <c r="AQ34" i="36" a="1"/>
  <c r="AQ34" i="36" s="1"/>
  <c r="AP34" i="36" a="1"/>
  <c r="AP34" i="36" s="1"/>
  <c r="AO34" i="36" a="1"/>
  <c r="AO34" i="36" s="1"/>
  <c r="AN34" i="36" a="1"/>
  <c r="AN34" i="36" s="1"/>
  <c r="AM34" i="36" a="1"/>
  <c r="AM34" i="36" s="1"/>
  <c r="AL34" i="36" a="1"/>
  <c r="AL34" i="36" s="1"/>
  <c r="AK34" i="36" a="1"/>
  <c r="AK34" i="36" s="1"/>
  <c r="AJ34" i="36" a="1"/>
  <c r="AJ34" i="36" s="1"/>
  <c r="AI34" i="36" a="1"/>
  <c r="AI34" i="36" s="1"/>
  <c r="AH34" i="36" a="1"/>
  <c r="AH34" i="36" s="1"/>
  <c r="AG34" i="36" a="1"/>
  <c r="AG34" i="36" s="1"/>
  <c r="AF34" i="36" a="1"/>
  <c r="AF34" i="36" s="1"/>
  <c r="AE34" i="36" a="1"/>
  <c r="AE34" i="36" s="1"/>
  <c r="AD34" i="36" a="1"/>
  <c r="AD34" i="36" s="1"/>
  <c r="AC34" i="36" a="1"/>
  <c r="AC34" i="36" s="1"/>
  <c r="AB34" i="36" a="1"/>
  <c r="AB34" i="36" s="1"/>
  <c r="AA34" i="36" a="1"/>
  <c r="AA34" i="36" s="1"/>
  <c r="Z34" i="36" a="1"/>
  <c r="Z34" i="36" s="1"/>
  <c r="Y34" i="36" a="1"/>
  <c r="Y34" i="36" s="1"/>
  <c r="X34" i="36" a="1"/>
  <c r="X34" i="36" s="1"/>
  <c r="W34" i="36" a="1"/>
  <c r="W34" i="36" s="1"/>
  <c r="V34" i="36" a="1"/>
  <c r="V34" i="36" s="1"/>
  <c r="U34" i="36" a="1"/>
  <c r="U34" i="36" s="1"/>
  <c r="T34" i="36" a="1"/>
  <c r="T34" i="36" s="1"/>
  <c r="S34" i="36" a="1"/>
  <c r="S34" i="36" s="1"/>
  <c r="R34" i="36" a="1"/>
  <c r="R34" i="36" s="1"/>
  <c r="Q34" i="36" a="1"/>
  <c r="Q34" i="36" s="1"/>
  <c r="P34" i="36" a="1"/>
  <c r="P34" i="36" s="1"/>
  <c r="O34" i="36" a="1"/>
  <c r="O34" i="36" s="1"/>
  <c r="N34" i="36" a="1"/>
  <c r="N34" i="36" s="1"/>
  <c r="M34" i="36" a="1"/>
  <c r="M34" i="36" s="1"/>
  <c r="L34" i="36" a="1"/>
  <c r="L34" i="36" s="1"/>
  <c r="K34" i="36" a="1"/>
  <c r="K34" i="36" s="1"/>
  <c r="J34" i="36" a="1"/>
  <c r="J34" i="36" s="1"/>
  <c r="I34" i="36" a="1"/>
  <c r="I34" i="36" s="1"/>
  <c r="H34" i="36" a="1"/>
  <c r="H34" i="36" s="1"/>
  <c r="G34" i="36" a="1"/>
  <c r="G34" i="36" s="1"/>
  <c r="F34" i="36" a="1"/>
  <c r="F34" i="36" s="1"/>
  <c r="E34" i="36" a="1"/>
  <c r="E34" i="36" s="1"/>
  <c r="D34" i="36" a="1"/>
  <c r="D34" i="36" s="1"/>
  <c r="C34" i="36" a="1"/>
  <c r="C34" i="36" s="1"/>
  <c r="AW33" i="36" a="1"/>
  <c r="AW33" i="36" s="1"/>
  <c r="AV33" i="36"/>
  <c r="AV33" i="36" a="1"/>
  <c r="AU33" i="36" a="1"/>
  <c r="AU33" i="36" s="1"/>
  <c r="AT33" i="36" a="1"/>
  <c r="AT33" i="36" s="1"/>
  <c r="AS33" i="36" a="1"/>
  <c r="AS33" i="36" s="1"/>
  <c r="AR33" i="36" a="1"/>
  <c r="AR33" i="36" s="1"/>
  <c r="AQ33" i="36" a="1"/>
  <c r="AQ33" i="36" s="1"/>
  <c r="AP33" i="36" a="1"/>
  <c r="AP33" i="36" s="1"/>
  <c r="AO33" i="36"/>
  <c r="AO33" i="36" a="1"/>
  <c r="AN33" i="36"/>
  <c r="AN33" i="36" a="1"/>
  <c r="AM33" i="36" a="1"/>
  <c r="AM33" i="36" s="1"/>
  <c r="AL33" i="36" a="1"/>
  <c r="AL33" i="36" s="1"/>
  <c r="AK33" i="36" a="1"/>
  <c r="AK33" i="36" s="1"/>
  <c r="AJ33" i="36" a="1"/>
  <c r="AJ33" i="36" s="1"/>
  <c r="AI33" i="36" a="1"/>
  <c r="AI33" i="36" s="1"/>
  <c r="AH33" i="36" a="1"/>
  <c r="AH33" i="36" s="1"/>
  <c r="AG33" i="36"/>
  <c r="AG33" i="36" a="1"/>
  <c r="AF33" i="36"/>
  <c r="AF33" i="36" a="1"/>
  <c r="AE33" i="36" a="1"/>
  <c r="AE33" i="36" s="1"/>
  <c r="AD33" i="36" a="1"/>
  <c r="AD33" i="36" s="1"/>
  <c r="AC33" i="36" a="1"/>
  <c r="AC33" i="36" s="1"/>
  <c r="AB33" i="36" a="1"/>
  <c r="AB33" i="36" s="1"/>
  <c r="AA33" i="36" a="1"/>
  <c r="AA33" i="36" s="1"/>
  <c r="Z33" i="36" a="1"/>
  <c r="Z33" i="36" s="1"/>
  <c r="Y33" i="36" a="1"/>
  <c r="Y33" i="36" s="1"/>
  <c r="X33" i="36" a="1"/>
  <c r="X33" i="36" s="1"/>
  <c r="W33" i="36" a="1"/>
  <c r="W33" i="36" s="1"/>
  <c r="V33" i="36" a="1"/>
  <c r="V33" i="36" s="1"/>
  <c r="U33" i="36" a="1"/>
  <c r="U33" i="36" s="1"/>
  <c r="T33" i="36" a="1"/>
  <c r="T33" i="36" s="1"/>
  <c r="S33" i="36" a="1"/>
  <c r="S33" i="36" s="1"/>
  <c r="R33" i="36" a="1"/>
  <c r="R33" i="36" s="1"/>
  <c r="Q33" i="36"/>
  <c r="Q33" i="36" a="1"/>
  <c r="P33" i="36"/>
  <c r="P33" i="36" a="1"/>
  <c r="O33" i="36" a="1"/>
  <c r="O33" i="36" s="1"/>
  <c r="N33" i="36" a="1"/>
  <c r="N33" i="36" s="1"/>
  <c r="M33" i="36" a="1"/>
  <c r="M33" i="36" s="1"/>
  <c r="L33" i="36" a="1"/>
  <c r="L33" i="36" s="1"/>
  <c r="K33" i="36" a="1"/>
  <c r="K33" i="36" s="1"/>
  <c r="J33" i="36" a="1"/>
  <c r="J33" i="36" s="1"/>
  <c r="I33" i="36"/>
  <c r="I33" i="36" a="1"/>
  <c r="H33" i="36"/>
  <c r="H33" i="36" a="1"/>
  <c r="G33" i="36" a="1"/>
  <c r="G33" i="36" s="1"/>
  <c r="F33" i="36" a="1"/>
  <c r="F33" i="36" s="1"/>
  <c r="E33" i="36" a="1"/>
  <c r="E33" i="36" s="1"/>
  <c r="D33" i="36" a="1"/>
  <c r="D33" i="36" s="1"/>
  <c r="C33" i="36" a="1"/>
  <c r="C33" i="36" s="1"/>
  <c r="AW32" i="36" a="1"/>
  <c r="AW32" i="36" s="1"/>
  <c r="AV32" i="36" a="1"/>
  <c r="AV32" i="36" s="1"/>
  <c r="AU32" i="36" a="1"/>
  <c r="AU32" i="36" s="1"/>
  <c r="AT32" i="36" a="1"/>
  <c r="AT32" i="36" s="1"/>
  <c r="AS32" i="36" a="1"/>
  <c r="AS32" i="36" s="1"/>
  <c r="AR32" i="36" a="1"/>
  <c r="AR32" i="36" s="1"/>
  <c r="AQ32" i="36" a="1"/>
  <c r="AQ32" i="36" s="1"/>
  <c r="AP32" i="36" a="1"/>
  <c r="AP32" i="36" s="1"/>
  <c r="AO32" i="36" a="1"/>
  <c r="AO32" i="36" s="1"/>
  <c r="AN32" i="36" a="1"/>
  <c r="AN32" i="36" s="1"/>
  <c r="AM32" i="36" a="1"/>
  <c r="AM32" i="36" s="1"/>
  <c r="AL32" i="36" a="1"/>
  <c r="AL32" i="36" s="1"/>
  <c r="AK32" i="36" a="1"/>
  <c r="AK32" i="36" s="1"/>
  <c r="AJ32" i="36" a="1"/>
  <c r="AJ32" i="36" s="1"/>
  <c r="AI32" i="36" a="1"/>
  <c r="AI32" i="36" s="1"/>
  <c r="AH32" i="36" a="1"/>
  <c r="AH32" i="36" s="1"/>
  <c r="AG32" i="36" a="1"/>
  <c r="AG32" i="36" s="1"/>
  <c r="AF32" i="36" a="1"/>
  <c r="AF32" i="36" s="1"/>
  <c r="AE32" i="36" a="1"/>
  <c r="AE32" i="36" s="1"/>
  <c r="AD32" i="36" a="1"/>
  <c r="AD32" i="36" s="1"/>
  <c r="AC32" i="36" a="1"/>
  <c r="AC32" i="36" s="1"/>
  <c r="AB32" i="36" a="1"/>
  <c r="AB32" i="36" s="1"/>
  <c r="AA32" i="36" a="1"/>
  <c r="AA32" i="36" s="1"/>
  <c r="Z32" i="36" a="1"/>
  <c r="Z32" i="36" s="1"/>
  <c r="Y32" i="36" a="1"/>
  <c r="Y32" i="36" s="1"/>
  <c r="X32" i="36" a="1"/>
  <c r="X32" i="36" s="1"/>
  <c r="W32" i="36" a="1"/>
  <c r="W32" i="36" s="1"/>
  <c r="V32" i="36" a="1"/>
  <c r="V32" i="36" s="1"/>
  <c r="U32" i="36" a="1"/>
  <c r="U32" i="36" s="1"/>
  <c r="T32" i="36" a="1"/>
  <c r="T32" i="36" s="1"/>
  <c r="S32" i="36" a="1"/>
  <c r="S32" i="36" s="1"/>
  <c r="R32" i="36" a="1"/>
  <c r="R32" i="36" s="1"/>
  <c r="Q32" i="36" a="1"/>
  <c r="Q32" i="36" s="1"/>
  <c r="P32" i="36" a="1"/>
  <c r="P32" i="36" s="1"/>
  <c r="O32" i="36" a="1"/>
  <c r="O32" i="36" s="1"/>
  <c r="N32" i="36" a="1"/>
  <c r="N32" i="36" s="1"/>
  <c r="M32" i="36" a="1"/>
  <c r="M32" i="36" s="1"/>
  <c r="L32" i="36" a="1"/>
  <c r="L32" i="36" s="1"/>
  <c r="K32" i="36" a="1"/>
  <c r="K32" i="36" s="1"/>
  <c r="J32" i="36" a="1"/>
  <c r="J32" i="36" s="1"/>
  <c r="I32" i="36" a="1"/>
  <c r="I32" i="36" s="1"/>
  <c r="H32" i="36" a="1"/>
  <c r="H32" i="36" s="1"/>
  <c r="G32" i="36" a="1"/>
  <c r="G32" i="36" s="1"/>
  <c r="F32" i="36" a="1"/>
  <c r="F32" i="36" s="1"/>
  <c r="E32" i="36" a="1"/>
  <c r="E32" i="36" s="1"/>
  <c r="D32" i="36" a="1"/>
  <c r="D32" i="36" s="1"/>
  <c r="C32" i="36" a="1"/>
  <c r="C32" i="36" s="1"/>
  <c r="AW31" i="36"/>
  <c r="AW31" i="36" a="1"/>
  <c r="AV31" i="36"/>
  <c r="AV31" i="36" a="1"/>
  <c r="AU31" i="36" a="1"/>
  <c r="AU31" i="36" s="1"/>
  <c r="AT31" i="36" a="1"/>
  <c r="AT31" i="36" s="1"/>
  <c r="AS31" i="36" a="1"/>
  <c r="AS31" i="36" s="1"/>
  <c r="AR31" i="36" a="1"/>
  <c r="AR31" i="36" s="1"/>
  <c r="AQ31" i="36" a="1"/>
  <c r="AQ31" i="36" s="1"/>
  <c r="AP31" i="36" a="1"/>
  <c r="AP31" i="36" s="1"/>
  <c r="AO31" i="36" a="1"/>
  <c r="AO31" i="36" s="1"/>
  <c r="AN31" i="36"/>
  <c r="AN31" i="36" a="1"/>
  <c r="AM31" i="36" a="1"/>
  <c r="AM31" i="36" s="1"/>
  <c r="AL31" i="36" a="1"/>
  <c r="AL31" i="36" s="1"/>
  <c r="AK31" i="36" a="1"/>
  <c r="AK31" i="36" s="1"/>
  <c r="AJ31" i="36" a="1"/>
  <c r="AJ31" i="36" s="1"/>
  <c r="AI31" i="36" a="1"/>
  <c r="AI31" i="36" s="1"/>
  <c r="AH31" i="36" a="1"/>
  <c r="AH31" i="36" s="1"/>
  <c r="AG31" i="36"/>
  <c r="AG31" i="36" a="1"/>
  <c r="AF31" i="36"/>
  <c r="AF31" i="36" a="1"/>
  <c r="AE31" i="36" a="1"/>
  <c r="AE31" i="36" s="1"/>
  <c r="AD31" i="36" a="1"/>
  <c r="AD31" i="36" s="1"/>
  <c r="AC31" i="36" a="1"/>
  <c r="AC31" i="36" s="1"/>
  <c r="AB31" i="36" a="1"/>
  <c r="AB31" i="36" s="1"/>
  <c r="AA31" i="36" a="1"/>
  <c r="AA31" i="36" s="1"/>
  <c r="Z31" i="36" a="1"/>
  <c r="Z31" i="36" s="1"/>
  <c r="Y31" i="36"/>
  <c r="Y31" i="36" a="1"/>
  <c r="X31" i="36"/>
  <c r="X31" i="36" a="1"/>
  <c r="W31" i="36" a="1"/>
  <c r="W31" i="36" s="1"/>
  <c r="V31" i="36" a="1"/>
  <c r="V31" i="36" s="1"/>
  <c r="U31" i="36" a="1"/>
  <c r="U31" i="36" s="1"/>
  <c r="T31" i="36" a="1"/>
  <c r="T31" i="36" s="1"/>
  <c r="S31" i="36" a="1"/>
  <c r="S31" i="36" s="1"/>
  <c r="R31" i="36" a="1"/>
  <c r="R31" i="36" s="1"/>
  <c r="Q31" i="36" a="1"/>
  <c r="Q31" i="36" s="1"/>
  <c r="P31" i="36" a="1"/>
  <c r="P31" i="36" s="1"/>
  <c r="O31" i="36" a="1"/>
  <c r="O31" i="36" s="1"/>
  <c r="N31" i="36" a="1"/>
  <c r="N31" i="36" s="1"/>
  <c r="M31" i="36" a="1"/>
  <c r="M31" i="36" s="1"/>
  <c r="L31" i="36" a="1"/>
  <c r="L31" i="36" s="1"/>
  <c r="K31" i="36" a="1"/>
  <c r="K31" i="36" s="1"/>
  <c r="J31" i="36" a="1"/>
  <c r="J31" i="36" s="1"/>
  <c r="I31" i="36" a="1"/>
  <c r="I31" i="36" s="1"/>
  <c r="H31" i="36"/>
  <c r="H31" i="36" a="1"/>
  <c r="G31" i="36" a="1"/>
  <c r="G31" i="36" s="1"/>
  <c r="F31" i="36" a="1"/>
  <c r="F31" i="36" s="1"/>
  <c r="E31" i="36" a="1"/>
  <c r="E31" i="36" s="1"/>
  <c r="D31" i="36" a="1"/>
  <c r="D31" i="36" s="1"/>
  <c r="C31" i="36" a="1"/>
  <c r="C31" i="36" s="1"/>
  <c r="AW30" i="36" a="1"/>
  <c r="AW30" i="36" s="1"/>
  <c r="AV30" i="36" a="1"/>
  <c r="AV30" i="36" s="1"/>
  <c r="AU30" i="36" a="1"/>
  <c r="AU30" i="36" s="1"/>
  <c r="AT30" i="36" a="1"/>
  <c r="AT30" i="36" s="1"/>
  <c r="AS30" i="36" a="1"/>
  <c r="AS30" i="36" s="1"/>
  <c r="AR30" i="36" a="1"/>
  <c r="AR30" i="36" s="1"/>
  <c r="AQ30" i="36" a="1"/>
  <c r="AQ30" i="36" s="1"/>
  <c r="AP30" i="36" a="1"/>
  <c r="AP30" i="36" s="1"/>
  <c r="AO30" i="36" a="1"/>
  <c r="AO30" i="36" s="1"/>
  <c r="AN30" i="36" a="1"/>
  <c r="AN30" i="36" s="1"/>
  <c r="AM30" i="36" a="1"/>
  <c r="AM30" i="36" s="1"/>
  <c r="AL30" i="36" a="1"/>
  <c r="AL30" i="36" s="1"/>
  <c r="AK30" i="36" a="1"/>
  <c r="AK30" i="36" s="1"/>
  <c r="AJ30" i="36" a="1"/>
  <c r="AJ30" i="36" s="1"/>
  <c r="AI30" i="36" a="1"/>
  <c r="AI30" i="36" s="1"/>
  <c r="AH30" i="36" a="1"/>
  <c r="AH30" i="36" s="1"/>
  <c r="AG30" i="36" a="1"/>
  <c r="AG30" i="36" s="1"/>
  <c r="AF30" i="36" a="1"/>
  <c r="AF30" i="36" s="1"/>
  <c r="AE30" i="36" a="1"/>
  <c r="AE30" i="36" s="1"/>
  <c r="AD30" i="36" a="1"/>
  <c r="AD30" i="36" s="1"/>
  <c r="AC30" i="36" a="1"/>
  <c r="AC30" i="36" s="1"/>
  <c r="AB30" i="36" a="1"/>
  <c r="AB30" i="36" s="1"/>
  <c r="AA30" i="36" a="1"/>
  <c r="AA30" i="36" s="1"/>
  <c r="Z30" i="36" a="1"/>
  <c r="Z30" i="36" s="1"/>
  <c r="Y30" i="36" a="1"/>
  <c r="Y30" i="36" s="1"/>
  <c r="X30" i="36" a="1"/>
  <c r="X30" i="36" s="1"/>
  <c r="W30" i="36" a="1"/>
  <c r="W30" i="36" s="1"/>
  <c r="V30" i="36" a="1"/>
  <c r="V30" i="36" s="1"/>
  <c r="U30" i="36" a="1"/>
  <c r="U30" i="36" s="1"/>
  <c r="T30" i="36" a="1"/>
  <c r="T30" i="36" s="1"/>
  <c r="S30" i="36" a="1"/>
  <c r="S30" i="36" s="1"/>
  <c r="R30" i="36" a="1"/>
  <c r="R30" i="36" s="1"/>
  <c r="Q30" i="36" a="1"/>
  <c r="Q30" i="36" s="1"/>
  <c r="P30" i="36" a="1"/>
  <c r="P30" i="36" s="1"/>
  <c r="O30" i="36" a="1"/>
  <c r="O30" i="36" s="1"/>
  <c r="N30" i="36" a="1"/>
  <c r="N30" i="36" s="1"/>
  <c r="M30" i="36" a="1"/>
  <c r="M30" i="36" s="1"/>
  <c r="L30" i="36" a="1"/>
  <c r="L30" i="36" s="1"/>
  <c r="K30" i="36" a="1"/>
  <c r="K30" i="36" s="1"/>
  <c r="J30" i="36" a="1"/>
  <c r="J30" i="36" s="1"/>
  <c r="I30" i="36" a="1"/>
  <c r="I30" i="36" s="1"/>
  <c r="H30" i="36"/>
  <c r="H30" i="36" a="1"/>
  <c r="G30" i="36" a="1"/>
  <c r="G30" i="36" s="1"/>
  <c r="F30" i="36" a="1"/>
  <c r="F30" i="36" s="1"/>
  <c r="E30" i="36" a="1"/>
  <c r="E30" i="36" s="1"/>
  <c r="D30" i="36" a="1"/>
  <c r="D30" i="36" s="1"/>
  <c r="C30" i="36" a="1"/>
  <c r="C30" i="36" s="1"/>
  <c r="AW29" i="36" a="1"/>
  <c r="AW29" i="36" s="1"/>
  <c r="AV29" i="36" a="1"/>
  <c r="AV29" i="36" s="1"/>
  <c r="AU29" i="36" a="1"/>
  <c r="AU29" i="36" s="1"/>
  <c r="AT29" i="36" a="1"/>
  <c r="AT29" i="36" s="1"/>
  <c r="AS29" i="36" a="1"/>
  <c r="AS29" i="36" s="1"/>
  <c r="AR29" i="36" a="1"/>
  <c r="AR29" i="36" s="1"/>
  <c r="AQ29" i="36" a="1"/>
  <c r="AQ29" i="36" s="1"/>
  <c r="AP29" i="36" a="1"/>
  <c r="AP29" i="36" s="1"/>
  <c r="AO29" i="36" a="1"/>
  <c r="AO29" i="36" s="1"/>
  <c r="AN29" i="36" a="1"/>
  <c r="AN29" i="36" s="1"/>
  <c r="AM29" i="36" a="1"/>
  <c r="AM29" i="36" s="1"/>
  <c r="AL29" i="36"/>
  <c r="AL29" i="36" a="1"/>
  <c r="AK29" i="36" a="1"/>
  <c r="AK29" i="36" s="1"/>
  <c r="AJ29" i="36" a="1"/>
  <c r="AJ29" i="36" s="1"/>
  <c r="AI29" i="36" a="1"/>
  <c r="AI29" i="36" s="1"/>
  <c r="AH29" i="36" a="1"/>
  <c r="AH29" i="36" s="1"/>
  <c r="AG29" i="36" a="1"/>
  <c r="AG29" i="36" s="1"/>
  <c r="AF29" i="36" a="1"/>
  <c r="AF29" i="36" s="1"/>
  <c r="AE29" i="36" a="1"/>
  <c r="AE29" i="36" s="1"/>
  <c r="AD29" i="36" a="1"/>
  <c r="AD29" i="36" s="1"/>
  <c r="AC29" i="36" a="1"/>
  <c r="AC29" i="36" s="1"/>
  <c r="AB29" i="36" a="1"/>
  <c r="AB29" i="36" s="1"/>
  <c r="AA29" i="36" a="1"/>
  <c r="AA29" i="36" s="1"/>
  <c r="Z29" i="36" a="1"/>
  <c r="Z29" i="36" s="1"/>
  <c r="Y29" i="36" a="1"/>
  <c r="Y29" i="36" s="1"/>
  <c r="X29" i="36" a="1"/>
  <c r="X29" i="36" s="1"/>
  <c r="W29" i="36" a="1"/>
  <c r="W29" i="36" s="1"/>
  <c r="V29" i="36" a="1"/>
  <c r="V29" i="36" s="1"/>
  <c r="U29" i="36" a="1"/>
  <c r="U29" i="36" s="1"/>
  <c r="T29" i="36" a="1"/>
  <c r="T29" i="36" s="1"/>
  <c r="S29" i="36" a="1"/>
  <c r="S29" i="36" s="1"/>
  <c r="R29" i="36" a="1"/>
  <c r="R29" i="36" s="1"/>
  <c r="Q29" i="36" a="1"/>
  <c r="Q29" i="36" s="1"/>
  <c r="P29" i="36" a="1"/>
  <c r="P29" i="36" s="1"/>
  <c r="O29" i="36" a="1"/>
  <c r="O29" i="36" s="1"/>
  <c r="N29" i="36" a="1"/>
  <c r="N29" i="36" s="1"/>
  <c r="M29" i="36" a="1"/>
  <c r="M29" i="36" s="1"/>
  <c r="L29" i="36" a="1"/>
  <c r="L29" i="36" s="1"/>
  <c r="K29" i="36" a="1"/>
  <c r="K29" i="36" s="1"/>
  <c r="J29" i="36" a="1"/>
  <c r="J29" i="36" s="1"/>
  <c r="I29" i="36" a="1"/>
  <c r="I29" i="36" s="1"/>
  <c r="H29" i="36" a="1"/>
  <c r="H29" i="36" s="1"/>
  <c r="G29" i="36" a="1"/>
  <c r="G29" i="36" s="1"/>
  <c r="F29" i="36" a="1"/>
  <c r="F29" i="36" s="1"/>
  <c r="E29" i="36" a="1"/>
  <c r="E29" i="36" s="1"/>
  <c r="D29" i="36" a="1"/>
  <c r="D29" i="36" s="1"/>
  <c r="C29" i="36" a="1"/>
  <c r="C29" i="36" s="1"/>
  <c r="AW28" i="36" a="1"/>
  <c r="AW28" i="36" s="1"/>
  <c r="AV28" i="36" a="1"/>
  <c r="AV28" i="36" s="1"/>
  <c r="AU28" i="36" a="1"/>
  <c r="AU28" i="36" s="1"/>
  <c r="AT28" i="36" a="1"/>
  <c r="AT28" i="36" s="1"/>
  <c r="AS28" i="36" a="1"/>
  <c r="AS28" i="36" s="1"/>
  <c r="AR28" i="36" a="1"/>
  <c r="AR28" i="36" s="1"/>
  <c r="AQ28" i="36" a="1"/>
  <c r="AQ28" i="36" s="1"/>
  <c r="AP28" i="36" a="1"/>
  <c r="AP28" i="36" s="1"/>
  <c r="AO28" i="36" a="1"/>
  <c r="AO28" i="36" s="1"/>
  <c r="AN28" i="36" a="1"/>
  <c r="AN28" i="36" s="1"/>
  <c r="AM28" i="36" a="1"/>
  <c r="AM28" i="36" s="1"/>
  <c r="AL28" i="36"/>
  <c r="AL28" i="36" a="1"/>
  <c r="AK28" i="36" a="1"/>
  <c r="AK28" i="36" s="1"/>
  <c r="AJ28" i="36" a="1"/>
  <c r="AJ28" i="36" s="1"/>
  <c r="AI28" i="36" a="1"/>
  <c r="AI28" i="36" s="1"/>
  <c r="AH28" i="36" a="1"/>
  <c r="AH28" i="36" s="1"/>
  <c r="AG28" i="36" a="1"/>
  <c r="AG28" i="36" s="1"/>
  <c r="AF28" i="36" a="1"/>
  <c r="AF28" i="36" s="1"/>
  <c r="AE28" i="36" a="1"/>
  <c r="AE28" i="36" s="1"/>
  <c r="AD28" i="36" a="1"/>
  <c r="AD28" i="36" s="1"/>
  <c r="AC28" i="36" a="1"/>
  <c r="AC28" i="36" s="1"/>
  <c r="AB28" i="36" a="1"/>
  <c r="AB28" i="36" s="1"/>
  <c r="AA28" i="36" a="1"/>
  <c r="AA28" i="36" s="1"/>
  <c r="Z28" i="36" a="1"/>
  <c r="Z28" i="36" s="1"/>
  <c r="Y28" i="36" a="1"/>
  <c r="Y28" i="36" s="1"/>
  <c r="X28" i="36" a="1"/>
  <c r="X28" i="36" s="1"/>
  <c r="W28" i="36" a="1"/>
  <c r="W28" i="36" s="1"/>
  <c r="V28" i="36" a="1"/>
  <c r="V28" i="36" s="1"/>
  <c r="U28" i="36" a="1"/>
  <c r="U28" i="36" s="1"/>
  <c r="T28" i="36" a="1"/>
  <c r="T28" i="36" s="1"/>
  <c r="S28" i="36" a="1"/>
  <c r="S28" i="36" s="1"/>
  <c r="R28" i="36" a="1"/>
  <c r="R28" i="36" s="1"/>
  <c r="Q28" i="36" a="1"/>
  <c r="Q28" i="36" s="1"/>
  <c r="P28" i="36" a="1"/>
  <c r="P28" i="36" s="1"/>
  <c r="O28" i="36" a="1"/>
  <c r="O28" i="36" s="1"/>
  <c r="N28" i="36" a="1"/>
  <c r="N28" i="36" s="1"/>
  <c r="M28" i="36" a="1"/>
  <c r="M28" i="36" s="1"/>
  <c r="L28" i="36" a="1"/>
  <c r="L28" i="36" s="1"/>
  <c r="K28" i="36" a="1"/>
  <c r="K28" i="36" s="1"/>
  <c r="J28" i="36" a="1"/>
  <c r="J28" i="36" s="1"/>
  <c r="I28" i="36" a="1"/>
  <c r="I28" i="36" s="1"/>
  <c r="H28" i="36" a="1"/>
  <c r="H28" i="36" s="1"/>
  <c r="G28" i="36" a="1"/>
  <c r="G28" i="36" s="1"/>
  <c r="F28" i="36" a="1"/>
  <c r="F28" i="36" s="1"/>
  <c r="E28" i="36" a="1"/>
  <c r="E28" i="36" s="1"/>
  <c r="D28" i="36" a="1"/>
  <c r="D28" i="36" s="1"/>
  <c r="C28" i="36" a="1"/>
  <c r="C28" i="36" s="1"/>
  <c r="AW27" i="36" a="1"/>
  <c r="AW27" i="36" s="1"/>
  <c r="AV27" i="36" a="1"/>
  <c r="AV27" i="36" s="1"/>
  <c r="AU27" i="36" a="1"/>
  <c r="AU27" i="36" s="1"/>
  <c r="AT27" i="36" a="1"/>
  <c r="AT27" i="36" s="1"/>
  <c r="AS27" i="36" a="1"/>
  <c r="AS27" i="36" s="1"/>
  <c r="AR27" i="36" a="1"/>
  <c r="AR27" i="36" s="1"/>
  <c r="AQ27" i="36" a="1"/>
  <c r="AQ27" i="36" s="1"/>
  <c r="AP27" i="36" a="1"/>
  <c r="AP27" i="36" s="1"/>
  <c r="AO27" i="36" a="1"/>
  <c r="AO27" i="36" s="1"/>
  <c r="AN27" i="36" a="1"/>
  <c r="AN27" i="36" s="1"/>
  <c r="AM27" i="36" a="1"/>
  <c r="AM27" i="36" s="1"/>
  <c r="AL27" i="36" a="1"/>
  <c r="AL27" i="36" s="1"/>
  <c r="AK27" i="36" a="1"/>
  <c r="AK27" i="36" s="1"/>
  <c r="AJ27" i="36" a="1"/>
  <c r="AJ27" i="36" s="1"/>
  <c r="AI27" i="36" a="1"/>
  <c r="AI27" i="36" s="1"/>
  <c r="AH27" i="36" a="1"/>
  <c r="AH27" i="36" s="1"/>
  <c r="AG27" i="36" a="1"/>
  <c r="AG27" i="36" s="1"/>
  <c r="AF27" i="36" a="1"/>
  <c r="AF27" i="36" s="1"/>
  <c r="AE27" i="36" a="1"/>
  <c r="AE27" i="36" s="1"/>
  <c r="AD27" i="36" a="1"/>
  <c r="AD27" i="36" s="1"/>
  <c r="AC27" i="36" a="1"/>
  <c r="AC27" i="36" s="1"/>
  <c r="AB27" i="36" a="1"/>
  <c r="AB27" i="36" s="1"/>
  <c r="AA27" i="36" a="1"/>
  <c r="AA27" i="36" s="1"/>
  <c r="Z27" i="36" a="1"/>
  <c r="Z27" i="36" s="1"/>
  <c r="Y27" i="36" a="1"/>
  <c r="Y27" i="36" s="1"/>
  <c r="X27" i="36" a="1"/>
  <c r="X27" i="36" s="1"/>
  <c r="W27" i="36" a="1"/>
  <c r="W27" i="36" s="1"/>
  <c r="V27" i="36" a="1"/>
  <c r="V27" i="36" s="1"/>
  <c r="U27" i="36" a="1"/>
  <c r="U27" i="36" s="1"/>
  <c r="T27" i="36" a="1"/>
  <c r="T27" i="36" s="1"/>
  <c r="S27" i="36" a="1"/>
  <c r="S27" i="36" s="1"/>
  <c r="R27" i="36" a="1"/>
  <c r="R27" i="36" s="1"/>
  <c r="Q27" i="36" a="1"/>
  <c r="Q27" i="36" s="1"/>
  <c r="P27" i="36" a="1"/>
  <c r="P27" i="36" s="1"/>
  <c r="O27" i="36" a="1"/>
  <c r="O27" i="36" s="1"/>
  <c r="N27" i="36" a="1"/>
  <c r="N27" i="36" s="1"/>
  <c r="M27" i="36" a="1"/>
  <c r="M27" i="36" s="1"/>
  <c r="L27" i="36" a="1"/>
  <c r="L27" i="36" s="1"/>
  <c r="K27" i="36" a="1"/>
  <c r="K27" i="36" s="1"/>
  <c r="J27" i="36" a="1"/>
  <c r="J27" i="36" s="1"/>
  <c r="I27" i="36" a="1"/>
  <c r="I27" i="36" s="1"/>
  <c r="H27" i="36" a="1"/>
  <c r="H27" i="36" s="1"/>
  <c r="G27" i="36" a="1"/>
  <c r="G27" i="36" s="1"/>
  <c r="F27" i="36" a="1"/>
  <c r="F27" i="36" s="1"/>
  <c r="E27" i="36" a="1"/>
  <c r="E27" i="36" s="1"/>
  <c r="D27" i="36" a="1"/>
  <c r="D27" i="36" s="1"/>
  <c r="C27" i="36" a="1"/>
  <c r="C27" i="36" s="1"/>
  <c r="AW26" i="36" a="1"/>
  <c r="AW26" i="36" s="1"/>
  <c r="AV26" i="36" a="1"/>
  <c r="AV26" i="36" s="1"/>
  <c r="AU26" i="36" a="1"/>
  <c r="AU26" i="36" s="1"/>
  <c r="AT26" i="36" a="1"/>
  <c r="AT26" i="36" s="1"/>
  <c r="AS26" i="36" a="1"/>
  <c r="AS26" i="36" s="1"/>
  <c r="AR26" i="36" a="1"/>
  <c r="AR26" i="36" s="1"/>
  <c r="AQ26" i="36" a="1"/>
  <c r="AQ26" i="36" s="1"/>
  <c r="AP26" i="36" a="1"/>
  <c r="AP26" i="36" s="1"/>
  <c r="AO26" i="36" a="1"/>
  <c r="AO26" i="36" s="1"/>
  <c r="AN26" i="36" a="1"/>
  <c r="AN26" i="36" s="1"/>
  <c r="AM26" i="36" a="1"/>
  <c r="AM26" i="36" s="1"/>
  <c r="AL26" i="36" a="1"/>
  <c r="AL26" i="36" s="1"/>
  <c r="AK26" i="36" a="1"/>
  <c r="AK26" i="36" s="1"/>
  <c r="AJ26" i="36" a="1"/>
  <c r="AJ26" i="36" s="1"/>
  <c r="AI26" i="36" a="1"/>
  <c r="AI26" i="36" s="1"/>
  <c r="AH26" i="36" a="1"/>
  <c r="AH26" i="36" s="1"/>
  <c r="AG26" i="36" a="1"/>
  <c r="AG26" i="36" s="1"/>
  <c r="AF26" i="36" a="1"/>
  <c r="AF26" i="36" s="1"/>
  <c r="AE26" i="36" a="1"/>
  <c r="AE26" i="36" s="1"/>
  <c r="AD26" i="36" a="1"/>
  <c r="AD26" i="36" s="1"/>
  <c r="AC26" i="36" a="1"/>
  <c r="AC26" i="36" s="1"/>
  <c r="AB26" i="36" a="1"/>
  <c r="AB26" i="36" s="1"/>
  <c r="AA26" i="36" a="1"/>
  <c r="AA26" i="36" s="1"/>
  <c r="Z26" i="36" a="1"/>
  <c r="Z26" i="36" s="1"/>
  <c r="Y26" i="36" a="1"/>
  <c r="Y26" i="36" s="1"/>
  <c r="X26" i="36" a="1"/>
  <c r="X26" i="36" s="1"/>
  <c r="W26" i="36" a="1"/>
  <c r="W26" i="36" s="1"/>
  <c r="V26" i="36"/>
  <c r="V26" i="36" a="1"/>
  <c r="U26" i="36" a="1"/>
  <c r="U26" i="36" s="1"/>
  <c r="T26" i="36" a="1"/>
  <c r="T26" i="36" s="1"/>
  <c r="S26" i="36" a="1"/>
  <c r="S26" i="36" s="1"/>
  <c r="R26" i="36" a="1"/>
  <c r="R26" i="36" s="1"/>
  <c r="Q26" i="36" a="1"/>
  <c r="Q26" i="36" s="1"/>
  <c r="P26" i="36" a="1"/>
  <c r="P26" i="36" s="1"/>
  <c r="O26" i="36" a="1"/>
  <c r="O26" i="36" s="1"/>
  <c r="N26" i="36" a="1"/>
  <c r="N26" i="36" s="1"/>
  <c r="M26" i="36" a="1"/>
  <c r="M26" i="36" s="1"/>
  <c r="L26" i="36" a="1"/>
  <c r="L26" i="36" s="1"/>
  <c r="K26" i="36" a="1"/>
  <c r="K26" i="36" s="1"/>
  <c r="J26" i="36" a="1"/>
  <c r="J26" i="36" s="1"/>
  <c r="I26" i="36" a="1"/>
  <c r="I26" i="36" s="1"/>
  <c r="H26" i="36" a="1"/>
  <c r="H26" i="36" s="1"/>
  <c r="G26" i="36" a="1"/>
  <c r="G26" i="36" s="1"/>
  <c r="F26" i="36" a="1"/>
  <c r="F26" i="36" s="1"/>
  <c r="E26" i="36" a="1"/>
  <c r="E26" i="36" s="1"/>
  <c r="D26" i="36" a="1"/>
  <c r="D26" i="36" s="1"/>
  <c r="C26" i="36" a="1"/>
  <c r="C26" i="36" s="1"/>
  <c r="AW25" i="36" a="1"/>
  <c r="AW25" i="36" s="1"/>
  <c r="AV25" i="36" a="1"/>
  <c r="AV25" i="36" s="1"/>
  <c r="AU25" i="36" a="1"/>
  <c r="AU25" i="36" s="1"/>
  <c r="AT25" i="36" a="1"/>
  <c r="AT25" i="36" s="1"/>
  <c r="AS25" i="36" a="1"/>
  <c r="AS25" i="36" s="1"/>
  <c r="AR25" i="36" a="1"/>
  <c r="AR25" i="36" s="1"/>
  <c r="AQ25" i="36" a="1"/>
  <c r="AQ25" i="36" s="1"/>
  <c r="AP25" i="36" a="1"/>
  <c r="AP25" i="36" s="1"/>
  <c r="AO25" i="36" a="1"/>
  <c r="AO25" i="36" s="1"/>
  <c r="AN25" i="36" a="1"/>
  <c r="AN25" i="36" s="1"/>
  <c r="AM25" i="36" a="1"/>
  <c r="AM25" i="36" s="1"/>
  <c r="AL25" i="36" a="1"/>
  <c r="AL25" i="36" s="1"/>
  <c r="AK25" i="36" a="1"/>
  <c r="AK25" i="36" s="1"/>
  <c r="AJ25" i="36" a="1"/>
  <c r="AJ25" i="36" s="1"/>
  <c r="AI25" i="36" a="1"/>
  <c r="AI25" i="36" s="1"/>
  <c r="AH25" i="36" a="1"/>
  <c r="AH25" i="36" s="1"/>
  <c r="AG25" i="36" a="1"/>
  <c r="AG25" i="36" s="1"/>
  <c r="AF25" i="36" a="1"/>
  <c r="AF25" i="36" s="1"/>
  <c r="AE25" i="36" a="1"/>
  <c r="AE25" i="36" s="1"/>
  <c r="AD25" i="36" a="1"/>
  <c r="AD25" i="36" s="1"/>
  <c r="AC25" i="36" a="1"/>
  <c r="AC25" i="36" s="1"/>
  <c r="AB25" i="36" a="1"/>
  <c r="AB25" i="36" s="1"/>
  <c r="AA25" i="36" a="1"/>
  <c r="AA25" i="36" s="1"/>
  <c r="Z25" i="36" a="1"/>
  <c r="Z25" i="36" s="1"/>
  <c r="Y25" i="36" a="1"/>
  <c r="Y25" i="36" s="1"/>
  <c r="X25" i="36" a="1"/>
  <c r="X25" i="36" s="1"/>
  <c r="W25" i="36" a="1"/>
  <c r="W25" i="36" s="1"/>
  <c r="V25" i="36" a="1"/>
  <c r="V25" i="36" s="1"/>
  <c r="U25" i="36" a="1"/>
  <c r="U25" i="36" s="1"/>
  <c r="T25" i="36" a="1"/>
  <c r="T25" i="36" s="1"/>
  <c r="S25" i="36" a="1"/>
  <c r="S25" i="36" s="1"/>
  <c r="R25" i="36" a="1"/>
  <c r="R25" i="36" s="1"/>
  <c r="Q25" i="36" a="1"/>
  <c r="Q25" i="36" s="1"/>
  <c r="P25" i="36" a="1"/>
  <c r="P25" i="36" s="1"/>
  <c r="O25" i="36" a="1"/>
  <c r="O25" i="36" s="1"/>
  <c r="N25" i="36" a="1"/>
  <c r="N25" i="36" s="1"/>
  <c r="M25" i="36" a="1"/>
  <c r="M25" i="36" s="1"/>
  <c r="L25" i="36" a="1"/>
  <c r="L25" i="36" s="1"/>
  <c r="K25" i="36" a="1"/>
  <c r="K25" i="36" s="1"/>
  <c r="J25" i="36" a="1"/>
  <c r="J25" i="36" s="1"/>
  <c r="I25" i="36" a="1"/>
  <c r="I25" i="36" s="1"/>
  <c r="H25" i="36" a="1"/>
  <c r="H25" i="36" s="1"/>
  <c r="G25" i="36" a="1"/>
  <c r="G25" i="36" s="1"/>
  <c r="F25" i="36" a="1"/>
  <c r="F25" i="36" s="1"/>
  <c r="E25" i="36" a="1"/>
  <c r="E25" i="36" s="1"/>
  <c r="D25" i="36" a="1"/>
  <c r="D25" i="36" s="1"/>
  <c r="C25" i="36" a="1"/>
  <c r="C25" i="36" s="1"/>
  <c r="AW24" i="36" a="1"/>
  <c r="AW24" i="36" s="1"/>
  <c r="AV24" i="36" a="1"/>
  <c r="AV24" i="36" s="1"/>
  <c r="AU24" i="36" a="1"/>
  <c r="AU24" i="36" s="1"/>
  <c r="AT24" i="36" a="1"/>
  <c r="AT24" i="36" s="1"/>
  <c r="AS24" i="36" a="1"/>
  <c r="AS24" i="36" s="1"/>
  <c r="AR24" i="36" a="1"/>
  <c r="AR24" i="36" s="1"/>
  <c r="AQ24" i="36" a="1"/>
  <c r="AQ24" i="36" s="1"/>
  <c r="AP24" i="36" a="1"/>
  <c r="AP24" i="36" s="1"/>
  <c r="AO24" i="36" a="1"/>
  <c r="AO24" i="36" s="1"/>
  <c r="AN24" i="36" a="1"/>
  <c r="AN24" i="36" s="1"/>
  <c r="AM24" i="36" a="1"/>
  <c r="AM24" i="36" s="1"/>
  <c r="AL24" i="36" a="1"/>
  <c r="AL24" i="36" s="1"/>
  <c r="AK24" i="36" a="1"/>
  <c r="AK24" i="36" s="1"/>
  <c r="AJ24" i="36" a="1"/>
  <c r="AJ24" i="36" s="1"/>
  <c r="AI24" i="36" a="1"/>
  <c r="AI24" i="36" s="1"/>
  <c r="AH24" i="36" a="1"/>
  <c r="AH24" i="36" s="1"/>
  <c r="AG24" i="36" a="1"/>
  <c r="AG24" i="36" s="1"/>
  <c r="AF24" i="36" a="1"/>
  <c r="AF24" i="36" s="1"/>
  <c r="AE24" i="36" a="1"/>
  <c r="AE24" i="36" s="1"/>
  <c r="AD24" i="36" a="1"/>
  <c r="AD24" i="36" s="1"/>
  <c r="AC24" i="36" a="1"/>
  <c r="AC24" i="36" s="1"/>
  <c r="AB24" i="36" a="1"/>
  <c r="AB24" i="36" s="1"/>
  <c r="AA24" i="36" a="1"/>
  <c r="AA24" i="36" s="1"/>
  <c r="Z24" i="36" a="1"/>
  <c r="Z24" i="36" s="1"/>
  <c r="Y24" i="36" a="1"/>
  <c r="Y24" i="36" s="1"/>
  <c r="X24" i="36" a="1"/>
  <c r="X24" i="36" s="1"/>
  <c r="W24" i="36" a="1"/>
  <c r="W24" i="36" s="1"/>
  <c r="V24" i="36" a="1"/>
  <c r="V24" i="36" s="1"/>
  <c r="U24" i="36" a="1"/>
  <c r="U24" i="36" s="1"/>
  <c r="T24" i="36" a="1"/>
  <c r="T24" i="36" s="1"/>
  <c r="S24" i="36" a="1"/>
  <c r="S24" i="36" s="1"/>
  <c r="R24" i="36" a="1"/>
  <c r="R24" i="36" s="1"/>
  <c r="Q24" i="36" a="1"/>
  <c r="Q24" i="36" s="1"/>
  <c r="P24" i="36" a="1"/>
  <c r="P24" i="36" s="1"/>
  <c r="O24" i="36" a="1"/>
  <c r="O24" i="36" s="1"/>
  <c r="N24" i="36" a="1"/>
  <c r="N24" i="36" s="1"/>
  <c r="M24" i="36" a="1"/>
  <c r="M24" i="36" s="1"/>
  <c r="L24" i="36" a="1"/>
  <c r="L24" i="36" s="1"/>
  <c r="K24" i="36" a="1"/>
  <c r="K24" i="36" s="1"/>
  <c r="J24" i="36" a="1"/>
  <c r="J24" i="36" s="1"/>
  <c r="I24" i="36" a="1"/>
  <c r="I24" i="36" s="1"/>
  <c r="H24" i="36" a="1"/>
  <c r="H24" i="36" s="1"/>
  <c r="G24" i="36" a="1"/>
  <c r="G24" i="36" s="1"/>
  <c r="F24" i="36" a="1"/>
  <c r="F24" i="36" s="1"/>
  <c r="E24" i="36" a="1"/>
  <c r="E24" i="36" s="1"/>
  <c r="D24" i="36" a="1"/>
  <c r="D24" i="36" s="1"/>
  <c r="C24" i="36" a="1"/>
  <c r="C24" i="36" s="1"/>
  <c r="AW23" i="36" a="1"/>
  <c r="AW23" i="36" s="1"/>
  <c r="AV23" i="36" a="1"/>
  <c r="AV23" i="36" s="1"/>
  <c r="AU23" i="36" a="1"/>
  <c r="AU23" i="36" s="1"/>
  <c r="AT23" i="36" a="1"/>
  <c r="AT23" i="36" s="1"/>
  <c r="AS23" i="36" a="1"/>
  <c r="AS23" i="36" s="1"/>
  <c r="AR23" i="36" a="1"/>
  <c r="AR23" i="36" s="1"/>
  <c r="AQ23" i="36" a="1"/>
  <c r="AQ23" i="36" s="1"/>
  <c r="AP23" i="36" a="1"/>
  <c r="AP23" i="36" s="1"/>
  <c r="AO23" i="36" a="1"/>
  <c r="AO23" i="36" s="1"/>
  <c r="AN23" i="36" a="1"/>
  <c r="AN23" i="36" s="1"/>
  <c r="AM23" i="36" a="1"/>
  <c r="AM23" i="36" s="1"/>
  <c r="AL23" i="36" a="1"/>
  <c r="AL23" i="36" s="1"/>
  <c r="AK23" i="36" a="1"/>
  <c r="AK23" i="36" s="1"/>
  <c r="AJ23" i="36" a="1"/>
  <c r="AJ23" i="36" s="1"/>
  <c r="AI23" i="36" a="1"/>
  <c r="AI23" i="36" s="1"/>
  <c r="AH23" i="36" a="1"/>
  <c r="AH23" i="36" s="1"/>
  <c r="AG23" i="36" a="1"/>
  <c r="AG23" i="36" s="1"/>
  <c r="AF23" i="36" a="1"/>
  <c r="AF23" i="36" s="1"/>
  <c r="AE23" i="36" a="1"/>
  <c r="AE23" i="36" s="1"/>
  <c r="AD23" i="36"/>
  <c r="AD23" i="36" a="1"/>
  <c r="AC23" i="36" a="1"/>
  <c r="AC23" i="36" s="1"/>
  <c r="AB23" i="36" a="1"/>
  <c r="AB23" i="36" s="1"/>
  <c r="AA23" i="36" a="1"/>
  <c r="AA23" i="36" s="1"/>
  <c r="Z23" i="36" a="1"/>
  <c r="Z23" i="36" s="1"/>
  <c r="Y23" i="36" a="1"/>
  <c r="Y23" i="36" s="1"/>
  <c r="X23" i="36" a="1"/>
  <c r="X23" i="36" s="1"/>
  <c r="W23" i="36" a="1"/>
  <c r="W23" i="36" s="1"/>
  <c r="V23" i="36" a="1"/>
  <c r="V23" i="36" s="1"/>
  <c r="U23" i="36" a="1"/>
  <c r="U23" i="36" s="1"/>
  <c r="T23" i="36" a="1"/>
  <c r="T23" i="36" s="1"/>
  <c r="S23" i="36" a="1"/>
  <c r="S23" i="36" s="1"/>
  <c r="R23" i="36" a="1"/>
  <c r="R23" i="36" s="1"/>
  <c r="Q23" i="36" a="1"/>
  <c r="Q23" i="36" s="1"/>
  <c r="P23" i="36" a="1"/>
  <c r="P23" i="36" s="1"/>
  <c r="O23" i="36" a="1"/>
  <c r="O23" i="36" s="1"/>
  <c r="N23" i="36" a="1"/>
  <c r="N23" i="36" s="1"/>
  <c r="M23" i="36" a="1"/>
  <c r="M23" i="36" s="1"/>
  <c r="L23" i="36" a="1"/>
  <c r="L23" i="36" s="1"/>
  <c r="K23" i="36" a="1"/>
  <c r="K23" i="36" s="1"/>
  <c r="J23" i="36" a="1"/>
  <c r="J23" i="36" s="1"/>
  <c r="I23" i="36" a="1"/>
  <c r="I23" i="36" s="1"/>
  <c r="H23" i="36" a="1"/>
  <c r="H23" i="36" s="1"/>
  <c r="G23" i="36" a="1"/>
  <c r="G23" i="36" s="1"/>
  <c r="F23" i="36"/>
  <c r="F23" i="36" a="1"/>
  <c r="E23" i="36" a="1"/>
  <c r="E23" i="36" s="1"/>
  <c r="D23" i="36" a="1"/>
  <c r="D23" i="36" s="1"/>
  <c r="C23" i="36" a="1"/>
  <c r="C23" i="36" s="1"/>
  <c r="AW22" i="36" a="1"/>
  <c r="AW22" i="36" s="1"/>
  <c r="AV22" i="36" a="1"/>
  <c r="AV22" i="36" s="1"/>
  <c r="AU22" i="36" a="1"/>
  <c r="AU22" i="36" s="1"/>
  <c r="AT22" i="36" a="1"/>
  <c r="AT22" i="36" s="1"/>
  <c r="AS22" i="36" a="1"/>
  <c r="AS22" i="36" s="1"/>
  <c r="AR22" i="36" a="1"/>
  <c r="AR22" i="36" s="1"/>
  <c r="AQ22" i="36" a="1"/>
  <c r="AQ22" i="36" s="1"/>
  <c r="AP22" i="36" a="1"/>
  <c r="AP22" i="36" s="1"/>
  <c r="AO22" i="36" a="1"/>
  <c r="AO22" i="36" s="1"/>
  <c r="AN22" i="36" a="1"/>
  <c r="AN22" i="36" s="1"/>
  <c r="AM22" i="36" a="1"/>
  <c r="AM22" i="36" s="1"/>
  <c r="AL22" i="36" a="1"/>
  <c r="AL22" i="36" s="1"/>
  <c r="AK22" i="36" a="1"/>
  <c r="AK22" i="36" s="1"/>
  <c r="AJ22" i="36" a="1"/>
  <c r="AJ22" i="36" s="1"/>
  <c r="AI22" i="36" a="1"/>
  <c r="AI22" i="36" s="1"/>
  <c r="AH22" i="36" a="1"/>
  <c r="AH22" i="36" s="1"/>
  <c r="AG22" i="36" a="1"/>
  <c r="AG22" i="36" s="1"/>
  <c r="AF22" i="36" a="1"/>
  <c r="AF22" i="36" s="1"/>
  <c r="AE22" i="36" a="1"/>
  <c r="AE22" i="36" s="1"/>
  <c r="AD22" i="36" a="1"/>
  <c r="AD22" i="36" s="1"/>
  <c r="AC22" i="36" a="1"/>
  <c r="AC22" i="36" s="1"/>
  <c r="AB22" i="36" a="1"/>
  <c r="AB22" i="36" s="1"/>
  <c r="AA22" i="36" a="1"/>
  <c r="AA22" i="36" s="1"/>
  <c r="Z22" i="36" a="1"/>
  <c r="Z22" i="36" s="1"/>
  <c r="Y22" i="36" a="1"/>
  <c r="Y22" i="36" s="1"/>
  <c r="X22" i="36" a="1"/>
  <c r="X22" i="36" s="1"/>
  <c r="W22" i="36" a="1"/>
  <c r="W22" i="36" s="1"/>
  <c r="V22" i="36" a="1"/>
  <c r="V22" i="36" s="1"/>
  <c r="U22" i="36" a="1"/>
  <c r="U22" i="36" s="1"/>
  <c r="T22" i="36" a="1"/>
  <c r="T22" i="36" s="1"/>
  <c r="S22" i="36" a="1"/>
  <c r="S22" i="36" s="1"/>
  <c r="R22" i="36" a="1"/>
  <c r="R22" i="36" s="1"/>
  <c r="Q22" i="36" a="1"/>
  <c r="Q22" i="36" s="1"/>
  <c r="P22" i="36" a="1"/>
  <c r="P22" i="36" s="1"/>
  <c r="O22" i="36" a="1"/>
  <c r="O22" i="36" s="1"/>
  <c r="N22" i="36" a="1"/>
  <c r="N22" i="36" s="1"/>
  <c r="M22" i="36" a="1"/>
  <c r="M22" i="36" s="1"/>
  <c r="L22" i="36" a="1"/>
  <c r="L22" i="36" s="1"/>
  <c r="K22" i="36" a="1"/>
  <c r="K22" i="36" s="1"/>
  <c r="J22" i="36" a="1"/>
  <c r="J22" i="36" s="1"/>
  <c r="I22" i="36" a="1"/>
  <c r="I22" i="36" s="1"/>
  <c r="H22" i="36" a="1"/>
  <c r="H22" i="36" s="1"/>
  <c r="G22" i="36" a="1"/>
  <c r="G22" i="36" s="1"/>
  <c r="F22" i="36" a="1"/>
  <c r="F22" i="36" s="1"/>
  <c r="E22" i="36" a="1"/>
  <c r="E22" i="36" s="1"/>
  <c r="D22" i="36" a="1"/>
  <c r="D22" i="36" s="1"/>
  <c r="C22" i="36" a="1"/>
  <c r="C22" i="36" s="1"/>
  <c r="AW21" i="36" a="1"/>
  <c r="AW21" i="36" s="1"/>
  <c r="AV21" i="36" a="1"/>
  <c r="AV21" i="36" s="1"/>
  <c r="AU21" i="36" a="1"/>
  <c r="AU21" i="36" s="1"/>
  <c r="AT21" i="36" a="1"/>
  <c r="AT21" i="36" s="1"/>
  <c r="AS21" i="36" a="1"/>
  <c r="AS21" i="36" s="1"/>
  <c r="AR21" i="36" a="1"/>
  <c r="AR21" i="36" s="1"/>
  <c r="AQ21" i="36" a="1"/>
  <c r="AQ21" i="36" s="1"/>
  <c r="AP21" i="36" a="1"/>
  <c r="AP21" i="36" s="1"/>
  <c r="AO21" i="36" a="1"/>
  <c r="AO21" i="36" s="1"/>
  <c r="AN21" i="36" a="1"/>
  <c r="AN21" i="36" s="1"/>
  <c r="AM21" i="36" a="1"/>
  <c r="AM21" i="36" s="1"/>
  <c r="AL21" i="36" a="1"/>
  <c r="AL21" i="36" s="1"/>
  <c r="AK21" i="36" a="1"/>
  <c r="AK21" i="36" s="1"/>
  <c r="AJ21" i="36" a="1"/>
  <c r="AJ21" i="36" s="1"/>
  <c r="AI21" i="36" a="1"/>
  <c r="AI21" i="36" s="1"/>
  <c r="AH21" i="36" a="1"/>
  <c r="AH21" i="36" s="1"/>
  <c r="AG21" i="36" a="1"/>
  <c r="AG21" i="36" s="1"/>
  <c r="AF21" i="36" a="1"/>
  <c r="AF21" i="36" s="1"/>
  <c r="AE21" i="36" a="1"/>
  <c r="AE21" i="36" s="1"/>
  <c r="AD21" i="36" a="1"/>
  <c r="AD21" i="36" s="1"/>
  <c r="AC21" i="36" a="1"/>
  <c r="AC21" i="36" s="1"/>
  <c r="AB21" i="36" a="1"/>
  <c r="AB21" i="36" s="1"/>
  <c r="AA21" i="36" a="1"/>
  <c r="AA21" i="36" s="1"/>
  <c r="Z21" i="36" a="1"/>
  <c r="Z21" i="36" s="1"/>
  <c r="Y21" i="36" a="1"/>
  <c r="Y21" i="36" s="1"/>
  <c r="X21" i="36" a="1"/>
  <c r="X21" i="36" s="1"/>
  <c r="W21" i="36" a="1"/>
  <c r="W21" i="36" s="1"/>
  <c r="V21" i="36" a="1"/>
  <c r="V21" i="36" s="1"/>
  <c r="U21" i="36" a="1"/>
  <c r="U21" i="36" s="1"/>
  <c r="T21" i="36" a="1"/>
  <c r="T21" i="36" s="1"/>
  <c r="S21" i="36" a="1"/>
  <c r="S21" i="36" s="1"/>
  <c r="R21" i="36" a="1"/>
  <c r="R21" i="36" s="1"/>
  <c r="Q21" i="36" a="1"/>
  <c r="Q21" i="36" s="1"/>
  <c r="P21" i="36" a="1"/>
  <c r="P21" i="36" s="1"/>
  <c r="O21" i="36" a="1"/>
  <c r="O21" i="36" s="1"/>
  <c r="N21" i="36"/>
  <c r="N21" i="36" a="1"/>
  <c r="M21" i="36" a="1"/>
  <c r="M21" i="36" s="1"/>
  <c r="L21" i="36" a="1"/>
  <c r="L21" i="36" s="1"/>
  <c r="K21" i="36" a="1"/>
  <c r="K21" i="36" s="1"/>
  <c r="J21" i="36" a="1"/>
  <c r="J21" i="36" s="1"/>
  <c r="I21" i="36" a="1"/>
  <c r="I21" i="36" s="1"/>
  <c r="H21" i="36" a="1"/>
  <c r="H21" i="36" s="1"/>
  <c r="G21" i="36" a="1"/>
  <c r="G21" i="36" s="1"/>
  <c r="F21" i="36" a="1"/>
  <c r="F21" i="36" s="1"/>
  <c r="E21" i="36" a="1"/>
  <c r="E21" i="36" s="1"/>
  <c r="D21" i="36" a="1"/>
  <c r="D21" i="36" s="1"/>
  <c r="C21" i="36" a="1"/>
  <c r="C21" i="36" s="1"/>
  <c r="AW20" i="36" a="1"/>
  <c r="AW20" i="36" s="1"/>
  <c r="AV20" i="36" a="1"/>
  <c r="AV20" i="36" s="1"/>
  <c r="AU20" i="36" a="1"/>
  <c r="AU20" i="36" s="1"/>
  <c r="AT20" i="36" a="1"/>
  <c r="AT20" i="36" s="1"/>
  <c r="AS20" i="36" a="1"/>
  <c r="AS20" i="36" s="1"/>
  <c r="AR20" i="36" a="1"/>
  <c r="AR20" i="36" s="1"/>
  <c r="AQ20" i="36" a="1"/>
  <c r="AQ20" i="36" s="1"/>
  <c r="AP20" i="36" a="1"/>
  <c r="AP20" i="36" s="1"/>
  <c r="AO20" i="36" a="1"/>
  <c r="AO20" i="36" s="1"/>
  <c r="AN20" i="36" a="1"/>
  <c r="AN20" i="36" s="1"/>
  <c r="AM20" i="36" a="1"/>
  <c r="AM20" i="36" s="1"/>
  <c r="AL20" i="36"/>
  <c r="AL20" i="36" a="1"/>
  <c r="AK20" i="36" a="1"/>
  <c r="AK20" i="36" s="1"/>
  <c r="AJ20" i="36" a="1"/>
  <c r="AJ20" i="36" s="1"/>
  <c r="AI20" i="36" a="1"/>
  <c r="AI20" i="36" s="1"/>
  <c r="AH20" i="36" a="1"/>
  <c r="AH20" i="36" s="1"/>
  <c r="AG20" i="36" a="1"/>
  <c r="AG20" i="36" s="1"/>
  <c r="AF20" i="36" a="1"/>
  <c r="AF20" i="36" s="1"/>
  <c r="AE20" i="36" a="1"/>
  <c r="AE20" i="36" s="1"/>
  <c r="AD20" i="36" a="1"/>
  <c r="AD20" i="36" s="1"/>
  <c r="AC20" i="36" a="1"/>
  <c r="AC20" i="36" s="1"/>
  <c r="AB20" i="36" a="1"/>
  <c r="AB20" i="36" s="1"/>
  <c r="AA20" i="36" a="1"/>
  <c r="AA20" i="36" s="1"/>
  <c r="Z20" i="36" a="1"/>
  <c r="Z20" i="36" s="1"/>
  <c r="Y20" i="36" a="1"/>
  <c r="Y20" i="36" s="1"/>
  <c r="X20" i="36" a="1"/>
  <c r="X20" i="36" s="1"/>
  <c r="W20" i="36" a="1"/>
  <c r="W20" i="36" s="1"/>
  <c r="V20" i="36" a="1"/>
  <c r="V20" i="36" s="1"/>
  <c r="U20" i="36" a="1"/>
  <c r="U20" i="36" s="1"/>
  <c r="T20" i="36" a="1"/>
  <c r="T20" i="36" s="1"/>
  <c r="S20" i="36" a="1"/>
  <c r="S20" i="36" s="1"/>
  <c r="R20" i="36" a="1"/>
  <c r="R20" i="36" s="1"/>
  <c r="Q20" i="36" a="1"/>
  <c r="Q20" i="36" s="1"/>
  <c r="P20" i="36" a="1"/>
  <c r="P20" i="36" s="1"/>
  <c r="O20" i="36" a="1"/>
  <c r="O20" i="36" s="1"/>
  <c r="N20" i="36" a="1"/>
  <c r="N20" i="36" s="1"/>
  <c r="M20" i="36" a="1"/>
  <c r="M20" i="36" s="1"/>
  <c r="L20" i="36" a="1"/>
  <c r="L20" i="36" s="1"/>
  <c r="K20" i="36" a="1"/>
  <c r="K20" i="36" s="1"/>
  <c r="J20" i="36" a="1"/>
  <c r="J20" i="36" s="1"/>
  <c r="I20" i="36" a="1"/>
  <c r="I20" i="36" s="1"/>
  <c r="H20" i="36" a="1"/>
  <c r="H20" i="36" s="1"/>
  <c r="G20" i="36" a="1"/>
  <c r="G20" i="36" s="1"/>
  <c r="F20" i="36" a="1"/>
  <c r="F20" i="36" s="1"/>
  <c r="E20" i="36" a="1"/>
  <c r="E20" i="36" s="1"/>
  <c r="D20" i="36" a="1"/>
  <c r="D20" i="36" s="1"/>
  <c r="C20" i="36" a="1"/>
  <c r="C20" i="36" s="1"/>
  <c r="AW19" i="36" a="1"/>
  <c r="AW19" i="36" s="1"/>
  <c r="AV19" i="36" a="1"/>
  <c r="AV19" i="36" s="1"/>
  <c r="AU19" i="36" a="1"/>
  <c r="AU19" i="36" s="1"/>
  <c r="AT19" i="36" a="1"/>
  <c r="AT19" i="36" s="1"/>
  <c r="AS19" i="36" a="1"/>
  <c r="AS19" i="36" s="1"/>
  <c r="AR19" i="36" a="1"/>
  <c r="AR19" i="36" s="1"/>
  <c r="AQ19" i="36" a="1"/>
  <c r="AQ19" i="36" s="1"/>
  <c r="AP19" i="36" a="1"/>
  <c r="AP19" i="36" s="1"/>
  <c r="AO19" i="36" a="1"/>
  <c r="AO19" i="36" s="1"/>
  <c r="AN19" i="36" a="1"/>
  <c r="AN19" i="36" s="1"/>
  <c r="AM19" i="36" a="1"/>
  <c r="AM19" i="36" s="1"/>
  <c r="AL19" i="36" a="1"/>
  <c r="AL19" i="36" s="1"/>
  <c r="AK19" i="36" a="1"/>
  <c r="AK19" i="36" s="1"/>
  <c r="AJ19" i="36" a="1"/>
  <c r="AJ19" i="36" s="1"/>
  <c r="AI19" i="36" a="1"/>
  <c r="AI19" i="36" s="1"/>
  <c r="AH19" i="36" a="1"/>
  <c r="AH19" i="36" s="1"/>
  <c r="AG19" i="36" a="1"/>
  <c r="AG19" i="36" s="1"/>
  <c r="AF19" i="36" a="1"/>
  <c r="AF19" i="36" s="1"/>
  <c r="AE19" i="36" a="1"/>
  <c r="AE19" i="36" s="1"/>
  <c r="AD19" i="36" a="1"/>
  <c r="AD19" i="36" s="1"/>
  <c r="AC19" i="36" a="1"/>
  <c r="AC19" i="36" s="1"/>
  <c r="AB19" i="36" a="1"/>
  <c r="AB19" i="36" s="1"/>
  <c r="AA19" i="36" a="1"/>
  <c r="AA19" i="36" s="1"/>
  <c r="Z19" i="36" a="1"/>
  <c r="Z19" i="36" s="1"/>
  <c r="Y19" i="36" a="1"/>
  <c r="Y19" i="36" s="1"/>
  <c r="X19" i="36" a="1"/>
  <c r="X19" i="36" s="1"/>
  <c r="W19" i="36" a="1"/>
  <c r="W19" i="36" s="1"/>
  <c r="V19" i="36" a="1"/>
  <c r="V19" i="36" s="1"/>
  <c r="U19" i="36" a="1"/>
  <c r="U19" i="36" s="1"/>
  <c r="T19" i="36" a="1"/>
  <c r="T19" i="36" s="1"/>
  <c r="S19" i="36" a="1"/>
  <c r="S19" i="36" s="1"/>
  <c r="R19" i="36" a="1"/>
  <c r="R19" i="36" s="1"/>
  <c r="Q19" i="36" a="1"/>
  <c r="Q19" i="36" s="1"/>
  <c r="P19" i="36" a="1"/>
  <c r="P19" i="36" s="1"/>
  <c r="O19" i="36" a="1"/>
  <c r="O19" i="36" s="1"/>
  <c r="N19" i="36" a="1"/>
  <c r="N19" i="36" s="1"/>
  <c r="M19" i="36" a="1"/>
  <c r="M19" i="36" s="1"/>
  <c r="L19" i="36" a="1"/>
  <c r="L19" i="36" s="1"/>
  <c r="K19" i="36" a="1"/>
  <c r="K19" i="36" s="1"/>
  <c r="J19" i="36" a="1"/>
  <c r="J19" i="36" s="1"/>
  <c r="I19" i="36" a="1"/>
  <c r="I19" i="36" s="1"/>
  <c r="H19" i="36" a="1"/>
  <c r="H19" i="36" s="1"/>
  <c r="G19" i="36" a="1"/>
  <c r="G19" i="36" s="1"/>
  <c r="F19" i="36" a="1"/>
  <c r="F19" i="36" s="1"/>
  <c r="E19" i="36" a="1"/>
  <c r="E19" i="36" s="1"/>
  <c r="D19" i="36" a="1"/>
  <c r="D19" i="36" s="1"/>
  <c r="C19" i="36" a="1"/>
  <c r="C19" i="36" s="1"/>
  <c r="AW18" i="36" a="1"/>
  <c r="AW18" i="36" s="1"/>
  <c r="AV18" i="36" a="1"/>
  <c r="AV18" i="36" s="1"/>
  <c r="AU18" i="36" a="1"/>
  <c r="AU18" i="36" s="1"/>
  <c r="AT18" i="36" a="1"/>
  <c r="AT18" i="36" s="1"/>
  <c r="AS18" i="36" a="1"/>
  <c r="AS18" i="36" s="1"/>
  <c r="AR18" i="36" a="1"/>
  <c r="AR18" i="36" s="1"/>
  <c r="AQ18" i="36" a="1"/>
  <c r="AQ18" i="36" s="1"/>
  <c r="AP18" i="36" a="1"/>
  <c r="AP18" i="36" s="1"/>
  <c r="AO18" i="36" a="1"/>
  <c r="AO18" i="36" s="1"/>
  <c r="AN18" i="36" a="1"/>
  <c r="AN18" i="36" s="1"/>
  <c r="AM18" i="36" a="1"/>
  <c r="AM18" i="36" s="1"/>
  <c r="AL18" i="36" a="1"/>
  <c r="AL18" i="36" s="1"/>
  <c r="AK18" i="36" a="1"/>
  <c r="AK18" i="36" s="1"/>
  <c r="AJ18" i="36" a="1"/>
  <c r="AJ18" i="36" s="1"/>
  <c r="AI18" i="36" a="1"/>
  <c r="AI18" i="36" s="1"/>
  <c r="AH18" i="36" a="1"/>
  <c r="AH18" i="36" s="1"/>
  <c r="AG18" i="36" a="1"/>
  <c r="AG18" i="36" s="1"/>
  <c r="AF18" i="36" a="1"/>
  <c r="AF18" i="36" s="1"/>
  <c r="AE18" i="36" a="1"/>
  <c r="AE18" i="36" s="1"/>
  <c r="AD18" i="36" a="1"/>
  <c r="AD18" i="36" s="1"/>
  <c r="AC18" i="36" a="1"/>
  <c r="AC18" i="36" s="1"/>
  <c r="AB18" i="36" a="1"/>
  <c r="AB18" i="36" s="1"/>
  <c r="AA18" i="36" a="1"/>
  <c r="AA18" i="36" s="1"/>
  <c r="Z18" i="36" a="1"/>
  <c r="Z18" i="36" s="1"/>
  <c r="Y18" i="36" a="1"/>
  <c r="Y18" i="36" s="1"/>
  <c r="X18" i="36" a="1"/>
  <c r="X18" i="36" s="1"/>
  <c r="W18" i="36" a="1"/>
  <c r="W18" i="36" s="1"/>
  <c r="V18" i="36" a="1"/>
  <c r="V18" i="36" s="1"/>
  <c r="U18" i="36" a="1"/>
  <c r="U18" i="36" s="1"/>
  <c r="T18" i="36" a="1"/>
  <c r="T18" i="36" s="1"/>
  <c r="S18" i="36" a="1"/>
  <c r="S18" i="36" s="1"/>
  <c r="R18" i="36" a="1"/>
  <c r="R18" i="36" s="1"/>
  <c r="Q18" i="36" a="1"/>
  <c r="Q18" i="36" s="1"/>
  <c r="P18" i="36" a="1"/>
  <c r="P18" i="36" s="1"/>
  <c r="O18" i="36" a="1"/>
  <c r="O18" i="36" s="1"/>
  <c r="N18" i="36" a="1"/>
  <c r="N18" i="36" s="1"/>
  <c r="M18" i="36" a="1"/>
  <c r="M18" i="36" s="1"/>
  <c r="L18" i="36" a="1"/>
  <c r="L18" i="36" s="1"/>
  <c r="K18" i="36" a="1"/>
  <c r="K18" i="36" s="1"/>
  <c r="J18" i="36" a="1"/>
  <c r="J18" i="36" s="1"/>
  <c r="I18" i="36" a="1"/>
  <c r="I18" i="36" s="1"/>
  <c r="H18" i="36" a="1"/>
  <c r="H18" i="36" s="1"/>
  <c r="G18" i="36" a="1"/>
  <c r="G18" i="36" s="1"/>
  <c r="F18" i="36" a="1"/>
  <c r="F18" i="36" s="1"/>
  <c r="E18" i="36" a="1"/>
  <c r="E18" i="36" s="1"/>
  <c r="D18" i="36" a="1"/>
  <c r="D18" i="36" s="1"/>
  <c r="C18" i="36" a="1"/>
  <c r="C18" i="36" s="1"/>
  <c r="AW17" i="36" a="1"/>
  <c r="AW17" i="36" s="1"/>
  <c r="AV17" i="36" a="1"/>
  <c r="AV17" i="36" s="1"/>
  <c r="AU17" i="36" a="1"/>
  <c r="AU17" i="36" s="1"/>
  <c r="AT17" i="36" a="1"/>
  <c r="AT17" i="36" s="1"/>
  <c r="AS17" i="36" a="1"/>
  <c r="AS17" i="36" s="1"/>
  <c r="AR17" i="36" a="1"/>
  <c r="AR17" i="36" s="1"/>
  <c r="AQ17" i="36" a="1"/>
  <c r="AQ17" i="36" s="1"/>
  <c r="AP17" i="36" a="1"/>
  <c r="AP17" i="36" s="1"/>
  <c r="AO17" i="36" a="1"/>
  <c r="AO17" i="36" s="1"/>
  <c r="AN17" i="36" a="1"/>
  <c r="AN17" i="36" s="1"/>
  <c r="AM17" i="36" a="1"/>
  <c r="AM17" i="36" s="1"/>
  <c r="AL17" i="36" a="1"/>
  <c r="AL17" i="36" s="1"/>
  <c r="AK17" i="36" a="1"/>
  <c r="AK17" i="36" s="1"/>
  <c r="AJ17" i="36" a="1"/>
  <c r="AJ17" i="36" s="1"/>
  <c r="AI17" i="36" a="1"/>
  <c r="AI17" i="36" s="1"/>
  <c r="AH17" i="36" a="1"/>
  <c r="AH17" i="36" s="1"/>
  <c r="AG17" i="36" a="1"/>
  <c r="AG17" i="36" s="1"/>
  <c r="AF17" i="36" a="1"/>
  <c r="AF17" i="36" s="1"/>
  <c r="AE17" i="36" a="1"/>
  <c r="AE17" i="36" s="1"/>
  <c r="AD17" i="36" a="1"/>
  <c r="AD17" i="36" s="1"/>
  <c r="AC17" i="36" a="1"/>
  <c r="AC17" i="36" s="1"/>
  <c r="AB17" i="36" a="1"/>
  <c r="AB17" i="36" s="1"/>
  <c r="AA17" i="36" a="1"/>
  <c r="AA17" i="36" s="1"/>
  <c r="Z17" i="36" a="1"/>
  <c r="Z17" i="36" s="1"/>
  <c r="Y17" i="36" a="1"/>
  <c r="Y17" i="36" s="1"/>
  <c r="X17" i="36" a="1"/>
  <c r="X17" i="36" s="1"/>
  <c r="W17" i="36" a="1"/>
  <c r="W17" i="36" s="1"/>
  <c r="V17" i="36"/>
  <c r="V17" i="36" a="1"/>
  <c r="U17" i="36" a="1"/>
  <c r="U17" i="36" s="1"/>
  <c r="T17" i="36" a="1"/>
  <c r="T17" i="36" s="1"/>
  <c r="S17" i="36" a="1"/>
  <c r="S17" i="36" s="1"/>
  <c r="R17" i="36" a="1"/>
  <c r="R17" i="36" s="1"/>
  <c r="Q17" i="36" a="1"/>
  <c r="Q17" i="36" s="1"/>
  <c r="P17" i="36" a="1"/>
  <c r="P17" i="36" s="1"/>
  <c r="O17" i="36" a="1"/>
  <c r="O17" i="36" s="1"/>
  <c r="N17" i="36" a="1"/>
  <c r="N17" i="36" s="1"/>
  <c r="M17" i="36" a="1"/>
  <c r="M17" i="36" s="1"/>
  <c r="L17" i="36" a="1"/>
  <c r="L17" i="36" s="1"/>
  <c r="K17" i="36" a="1"/>
  <c r="K17" i="36" s="1"/>
  <c r="J17" i="36" a="1"/>
  <c r="J17" i="36" s="1"/>
  <c r="I17" i="36" a="1"/>
  <c r="I17" i="36" s="1"/>
  <c r="H17" i="36" a="1"/>
  <c r="H17" i="36" s="1"/>
  <c r="G17" i="36" a="1"/>
  <c r="G17" i="36" s="1"/>
  <c r="F17" i="36" a="1"/>
  <c r="F17" i="36" s="1"/>
  <c r="E17" i="36" a="1"/>
  <c r="E17" i="36" s="1"/>
  <c r="D17" i="36" a="1"/>
  <c r="D17" i="36" s="1"/>
  <c r="C17" i="36" a="1"/>
  <c r="C17" i="36" s="1"/>
  <c r="AW16" i="36" a="1"/>
  <c r="AW16" i="36" s="1"/>
  <c r="AV16" i="36" a="1"/>
  <c r="AV16" i="36" s="1"/>
  <c r="AU16" i="36" a="1"/>
  <c r="AU16" i="36" s="1"/>
  <c r="AT16" i="36"/>
  <c r="AT16" i="36" a="1"/>
  <c r="AS16" i="36" a="1"/>
  <c r="AS16" i="36" s="1"/>
  <c r="AR16" i="36" a="1"/>
  <c r="AR16" i="36" s="1"/>
  <c r="AQ16" i="36" a="1"/>
  <c r="AQ16" i="36" s="1"/>
  <c r="AP16" i="36" a="1"/>
  <c r="AP16" i="36" s="1"/>
  <c r="AO16" i="36" a="1"/>
  <c r="AO16" i="36" s="1"/>
  <c r="AN16" i="36" a="1"/>
  <c r="AN16" i="36" s="1"/>
  <c r="AM16" i="36" a="1"/>
  <c r="AM16" i="36" s="1"/>
  <c r="AL16" i="36" a="1"/>
  <c r="AL16" i="36" s="1"/>
  <c r="AK16" i="36" a="1"/>
  <c r="AK16" i="36" s="1"/>
  <c r="AJ16" i="36" a="1"/>
  <c r="AJ16" i="36" s="1"/>
  <c r="AI16" i="36" a="1"/>
  <c r="AI16" i="36" s="1"/>
  <c r="AH16" i="36" a="1"/>
  <c r="AH16" i="36" s="1"/>
  <c r="AG16" i="36" a="1"/>
  <c r="AG16" i="36" s="1"/>
  <c r="AF16" i="36" a="1"/>
  <c r="AF16" i="36" s="1"/>
  <c r="AE16" i="36" a="1"/>
  <c r="AE16" i="36" s="1"/>
  <c r="AD16" i="36" a="1"/>
  <c r="AD16" i="36" s="1"/>
  <c r="AC16" i="36" a="1"/>
  <c r="AC16" i="36" s="1"/>
  <c r="AB16" i="36" a="1"/>
  <c r="AB16" i="36" s="1"/>
  <c r="AA16" i="36" a="1"/>
  <c r="AA16" i="36" s="1"/>
  <c r="Z16" i="36" a="1"/>
  <c r="Z16" i="36" s="1"/>
  <c r="Y16" i="36" a="1"/>
  <c r="Y16" i="36" s="1"/>
  <c r="X16" i="36" a="1"/>
  <c r="X16" i="36" s="1"/>
  <c r="W16" i="36" a="1"/>
  <c r="W16" i="36" s="1"/>
  <c r="V16" i="36" a="1"/>
  <c r="V16" i="36" s="1"/>
  <c r="U16" i="36" a="1"/>
  <c r="U16" i="36" s="1"/>
  <c r="T16" i="36" a="1"/>
  <c r="T16" i="36" s="1"/>
  <c r="S16" i="36" a="1"/>
  <c r="S16" i="36" s="1"/>
  <c r="R16" i="36" a="1"/>
  <c r="R16" i="36" s="1"/>
  <c r="Q16" i="36" a="1"/>
  <c r="Q16" i="36" s="1"/>
  <c r="P16" i="36"/>
  <c r="P16" i="36" a="1"/>
  <c r="O16" i="36" a="1"/>
  <c r="O16" i="36" s="1"/>
  <c r="N16" i="36" a="1"/>
  <c r="N16" i="36" s="1"/>
  <c r="M16" i="36" a="1"/>
  <c r="M16" i="36" s="1"/>
  <c r="L16" i="36" a="1"/>
  <c r="L16" i="36" s="1"/>
  <c r="K16" i="36" a="1"/>
  <c r="K16" i="36" s="1"/>
  <c r="J16" i="36" a="1"/>
  <c r="J16" i="36" s="1"/>
  <c r="I16" i="36" a="1"/>
  <c r="I16" i="36" s="1"/>
  <c r="H16" i="36" a="1"/>
  <c r="H16" i="36" s="1"/>
  <c r="G16" i="36" a="1"/>
  <c r="G16" i="36" s="1"/>
  <c r="F16" i="36" a="1"/>
  <c r="F16" i="36" s="1"/>
  <c r="E16" i="36" a="1"/>
  <c r="E16" i="36" s="1"/>
  <c r="D16" i="36" a="1"/>
  <c r="D16" i="36" s="1"/>
  <c r="C16" i="36" a="1"/>
  <c r="C16" i="36" s="1"/>
  <c r="AW15" i="36" a="1"/>
  <c r="AW15" i="36" s="1"/>
  <c r="AV15" i="36" a="1"/>
  <c r="AV15" i="36" s="1"/>
  <c r="AU15" i="36" a="1"/>
  <c r="AU15" i="36" s="1"/>
  <c r="AT15" i="36" a="1"/>
  <c r="AT15" i="36" s="1"/>
  <c r="AS15" i="36" a="1"/>
  <c r="AS15" i="36" s="1"/>
  <c r="AR15" i="36" a="1"/>
  <c r="AR15" i="36" s="1"/>
  <c r="AQ15" i="36" a="1"/>
  <c r="AQ15" i="36" s="1"/>
  <c r="AP15" i="36" a="1"/>
  <c r="AP15" i="36" s="1"/>
  <c r="AO15" i="36" a="1"/>
  <c r="AO15" i="36" s="1"/>
  <c r="AN15" i="36" a="1"/>
  <c r="AN15" i="36" s="1"/>
  <c r="AM15" i="36" a="1"/>
  <c r="AM15" i="36" s="1"/>
  <c r="AL15" i="36" a="1"/>
  <c r="AL15" i="36" s="1"/>
  <c r="AK15" i="36" a="1"/>
  <c r="AK15" i="36" s="1"/>
  <c r="AJ15" i="36" a="1"/>
  <c r="AJ15" i="36" s="1"/>
  <c r="AI15" i="36" a="1"/>
  <c r="AI15" i="36" s="1"/>
  <c r="AH15" i="36"/>
  <c r="AH15" i="36" a="1"/>
  <c r="AG15" i="36" a="1"/>
  <c r="AG15" i="36" s="1"/>
  <c r="AF15" i="36" a="1"/>
  <c r="AF15" i="36" s="1"/>
  <c r="AE15" i="36" a="1"/>
  <c r="AE15" i="36" s="1"/>
  <c r="AD15" i="36" a="1"/>
  <c r="AD15" i="36" s="1"/>
  <c r="AC15" i="36" a="1"/>
  <c r="AC15" i="36" s="1"/>
  <c r="AB15" i="36" a="1"/>
  <c r="AB15" i="36" s="1"/>
  <c r="AA15" i="36" a="1"/>
  <c r="AA15" i="36" s="1"/>
  <c r="Z15" i="36" a="1"/>
  <c r="Z15" i="36" s="1"/>
  <c r="Y15" i="36" a="1"/>
  <c r="Y15" i="36" s="1"/>
  <c r="X15" i="36" a="1"/>
  <c r="X15" i="36" s="1"/>
  <c r="W15" i="36" a="1"/>
  <c r="W15" i="36" s="1"/>
  <c r="V15" i="36" a="1"/>
  <c r="V15" i="36" s="1"/>
  <c r="U15" i="36" a="1"/>
  <c r="U15" i="36" s="1"/>
  <c r="T15" i="36" a="1"/>
  <c r="T15" i="36" s="1"/>
  <c r="S15" i="36" a="1"/>
  <c r="S15" i="36" s="1"/>
  <c r="R15" i="36" a="1"/>
  <c r="R15" i="36" s="1"/>
  <c r="Q15" i="36" a="1"/>
  <c r="Q15" i="36" s="1"/>
  <c r="P15" i="36" a="1"/>
  <c r="P15" i="36" s="1"/>
  <c r="O15" i="36" a="1"/>
  <c r="O15" i="36" s="1"/>
  <c r="N15" i="36" a="1"/>
  <c r="N15" i="36" s="1"/>
  <c r="M15" i="36" a="1"/>
  <c r="M15" i="36" s="1"/>
  <c r="L15" i="36" a="1"/>
  <c r="L15" i="36" s="1"/>
  <c r="K15" i="36" a="1"/>
  <c r="K15" i="36" s="1"/>
  <c r="J15" i="36" a="1"/>
  <c r="J15" i="36" s="1"/>
  <c r="I15" i="36" a="1"/>
  <c r="I15" i="36" s="1"/>
  <c r="H15" i="36" a="1"/>
  <c r="H15" i="36" s="1"/>
  <c r="G15" i="36" a="1"/>
  <c r="G15" i="36" s="1"/>
  <c r="F15" i="36" a="1"/>
  <c r="F15" i="36" s="1"/>
  <c r="E15" i="36" a="1"/>
  <c r="E15" i="36" s="1"/>
  <c r="D15" i="36" a="1"/>
  <c r="D15" i="36" s="1"/>
  <c r="C15" i="36" a="1"/>
  <c r="C15" i="36" s="1"/>
  <c r="AW14" i="36" a="1"/>
  <c r="AW14" i="36" s="1"/>
  <c r="AV14" i="36" a="1"/>
  <c r="AV14" i="36" s="1"/>
  <c r="AU14" i="36" a="1"/>
  <c r="AU14" i="36" s="1"/>
  <c r="AT14" i="36" a="1"/>
  <c r="AT14" i="36" s="1"/>
  <c r="AS14" i="36" a="1"/>
  <c r="AS14" i="36" s="1"/>
  <c r="AR14" i="36" a="1"/>
  <c r="AR14" i="36" s="1"/>
  <c r="AQ14" i="36" a="1"/>
  <c r="AQ14" i="36" s="1"/>
  <c r="AP14" i="36" a="1"/>
  <c r="AP14" i="36" s="1"/>
  <c r="AO14" i="36" a="1"/>
  <c r="AO14" i="36" s="1"/>
  <c r="AN14" i="36"/>
  <c r="AN14" i="36" a="1"/>
  <c r="AM14" i="36" a="1"/>
  <c r="AM14" i="36" s="1"/>
  <c r="AL14" i="36" a="1"/>
  <c r="AL14" i="36" s="1"/>
  <c r="AK14" i="36" a="1"/>
  <c r="AK14" i="36" s="1"/>
  <c r="AJ14" i="36" a="1"/>
  <c r="AJ14" i="36" s="1"/>
  <c r="AI14" i="36" a="1"/>
  <c r="AI14" i="36" s="1"/>
  <c r="AH14" i="36" a="1"/>
  <c r="AH14" i="36" s="1"/>
  <c r="AG14" i="36"/>
  <c r="AG14" i="36" a="1"/>
  <c r="AF14" i="36"/>
  <c r="AF14" i="36" a="1"/>
  <c r="AE14" i="36" a="1"/>
  <c r="AE14" i="36" s="1"/>
  <c r="AD14" i="36" a="1"/>
  <c r="AD14" i="36" s="1"/>
  <c r="AC14" i="36" a="1"/>
  <c r="AC14" i="36" s="1"/>
  <c r="AB14" i="36" a="1"/>
  <c r="AB14" i="36" s="1"/>
  <c r="AA14" i="36" a="1"/>
  <c r="AA14" i="36" s="1"/>
  <c r="Z14" i="36" a="1"/>
  <c r="Z14" i="36" s="1"/>
  <c r="Y14" i="36"/>
  <c r="Y14" i="36" a="1"/>
  <c r="X14" i="36" a="1"/>
  <c r="X14" i="36" s="1"/>
  <c r="W14" i="36" a="1"/>
  <c r="W14" i="36" s="1"/>
  <c r="V14" i="36" a="1"/>
  <c r="V14" i="36" s="1"/>
  <c r="U14" i="36" a="1"/>
  <c r="U14" i="36" s="1"/>
  <c r="T14" i="36" a="1"/>
  <c r="T14" i="36" s="1"/>
  <c r="S14" i="36" a="1"/>
  <c r="S14" i="36" s="1"/>
  <c r="R14" i="36" a="1"/>
  <c r="R14" i="36" s="1"/>
  <c r="Q14" i="36" a="1"/>
  <c r="Q14" i="36" s="1"/>
  <c r="P14" i="36" a="1"/>
  <c r="P14" i="36" s="1"/>
  <c r="O14" i="36" a="1"/>
  <c r="O14" i="36" s="1"/>
  <c r="N14" i="36" a="1"/>
  <c r="N14" i="36" s="1"/>
  <c r="M14" i="36" a="1"/>
  <c r="M14" i="36" s="1"/>
  <c r="L14" i="36" a="1"/>
  <c r="L14" i="36" s="1"/>
  <c r="K14" i="36" a="1"/>
  <c r="K14" i="36" s="1"/>
  <c r="J14" i="36" a="1"/>
  <c r="J14" i="36" s="1"/>
  <c r="I14" i="36" a="1"/>
  <c r="I14" i="36" s="1"/>
  <c r="H14" i="36"/>
  <c r="H14" i="36" a="1"/>
  <c r="G14" i="36" a="1"/>
  <c r="G14" i="36" s="1"/>
  <c r="F14" i="36" a="1"/>
  <c r="F14" i="36" s="1"/>
  <c r="E14" i="36" a="1"/>
  <c r="E14" i="36" s="1"/>
  <c r="D14" i="36" a="1"/>
  <c r="D14" i="36" s="1"/>
  <c r="C14" i="36" a="1"/>
  <c r="C14" i="36" s="1"/>
  <c r="AW13" i="36" a="1"/>
  <c r="AW13" i="36" s="1"/>
  <c r="AV13" i="36" a="1"/>
  <c r="AV13" i="36" s="1"/>
  <c r="AU13" i="36" a="1"/>
  <c r="AU13" i="36" s="1"/>
  <c r="AT13" i="36" a="1"/>
  <c r="AT13" i="36" s="1"/>
  <c r="AS13" i="36" a="1"/>
  <c r="AS13" i="36" s="1"/>
  <c r="AR13" i="36" a="1"/>
  <c r="AR13" i="36" s="1"/>
  <c r="AQ13" i="36" a="1"/>
  <c r="AQ13" i="36" s="1"/>
  <c r="AP13" i="36" a="1"/>
  <c r="AP13" i="36" s="1"/>
  <c r="AO13" i="36" a="1"/>
  <c r="AO13" i="36" s="1"/>
  <c r="AN13" i="36" a="1"/>
  <c r="AN13" i="36" s="1"/>
  <c r="AM13" i="36" a="1"/>
  <c r="AM13" i="36" s="1"/>
  <c r="AL13" i="36" a="1"/>
  <c r="AL13" i="36" s="1"/>
  <c r="AK13" i="36" a="1"/>
  <c r="AK13" i="36" s="1"/>
  <c r="AJ13" i="36" a="1"/>
  <c r="AJ13" i="36" s="1"/>
  <c r="AI13" i="36" a="1"/>
  <c r="AI13" i="36" s="1"/>
  <c r="AH13" i="36" a="1"/>
  <c r="AH13" i="36" s="1"/>
  <c r="AG13" i="36" a="1"/>
  <c r="AG13" i="36" s="1"/>
  <c r="AF13" i="36" a="1"/>
  <c r="AF13" i="36" s="1"/>
  <c r="AE13" i="36" a="1"/>
  <c r="AE13" i="36" s="1"/>
  <c r="AD13" i="36" a="1"/>
  <c r="AD13" i="36" s="1"/>
  <c r="AC13" i="36" a="1"/>
  <c r="AC13" i="36" s="1"/>
  <c r="AB13" i="36" a="1"/>
  <c r="AB13" i="36" s="1"/>
  <c r="AA13" i="36" a="1"/>
  <c r="AA13" i="36" s="1"/>
  <c r="Z13" i="36" a="1"/>
  <c r="Z13" i="36" s="1"/>
  <c r="Y13" i="36" a="1"/>
  <c r="Y13" i="36" s="1"/>
  <c r="X13" i="36" a="1"/>
  <c r="X13" i="36" s="1"/>
  <c r="W13" i="36" a="1"/>
  <c r="W13" i="36" s="1"/>
  <c r="V13" i="36" a="1"/>
  <c r="V13" i="36" s="1"/>
  <c r="U13" i="36" a="1"/>
  <c r="U13" i="36" s="1"/>
  <c r="T13" i="36" a="1"/>
  <c r="T13" i="36" s="1"/>
  <c r="S13" i="36" a="1"/>
  <c r="S13" i="36" s="1"/>
  <c r="R13" i="36" a="1"/>
  <c r="R13" i="36" s="1"/>
  <c r="Q13" i="36" a="1"/>
  <c r="Q13" i="36" s="1"/>
  <c r="P13" i="36" a="1"/>
  <c r="P13" i="36" s="1"/>
  <c r="O13" i="36" a="1"/>
  <c r="O13" i="36" s="1"/>
  <c r="N13" i="36" a="1"/>
  <c r="N13" i="36" s="1"/>
  <c r="M13" i="36" a="1"/>
  <c r="M13" i="36" s="1"/>
  <c r="L13" i="36" a="1"/>
  <c r="L13" i="36" s="1"/>
  <c r="K13" i="36" a="1"/>
  <c r="K13" i="36" s="1"/>
  <c r="J13" i="36" a="1"/>
  <c r="J13" i="36" s="1"/>
  <c r="I13" i="36" a="1"/>
  <c r="I13" i="36" s="1"/>
  <c r="H13" i="36" a="1"/>
  <c r="H13" i="36" s="1"/>
  <c r="G13" i="36" a="1"/>
  <c r="G13" i="36" s="1"/>
  <c r="F13" i="36" a="1"/>
  <c r="F13" i="36" s="1"/>
  <c r="E13" i="36" a="1"/>
  <c r="E13" i="36" s="1"/>
  <c r="D13" i="36" a="1"/>
  <c r="D13" i="36" s="1"/>
  <c r="C13" i="36" a="1"/>
  <c r="C13" i="36" s="1"/>
  <c r="AW12" i="36"/>
  <c r="AW12" i="36" a="1"/>
  <c r="AV12" i="36"/>
  <c r="AV12" i="36" a="1"/>
  <c r="AU12" i="36" a="1"/>
  <c r="AU12" i="36" s="1"/>
  <c r="AT12" i="36" a="1"/>
  <c r="AT12" i="36" s="1"/>
  <c r="AS12" i="36" a="1"/>
  <c r="AS12" i="36" s="1"/>
  <c r="AR12" i="36" a="1"/>
  <c r="AR12" i="36" s="1"/>
  <c r="AQ12" i="36" a="1"/>
  <c r="AQ12" i="36" s="1"/>
  <c r="AP12" i="36" a="1"/>
  <c r="AP12" i="36" s="1"/>
  <c r="AO12" i="36" a="1"/>
  <c r="AO12" i="36" s="1"/>
  <c r="AN12" i="36" a="1"/>
  <c r="AN12" i="36" s="1"/>
  <c r="AM12" i="36" a="1"/>
  <c r="AM12" i="36" s="1"/>
  <c r="AL12" i="36" a="1"/>
  <c r="AL12" i="36" s="1"/>
  <c r="AK12" i="36" a="1"/>
  <c r="AK12" i="36" s="1"/>
  <c r="AJ12" i="36" a="1"/>
  <c r="AJ12" i="36" s="1"/>
  <c r="AI12" i="36" a="1"/>
  <c r="AI12" i="36" s="1"/>
  <c r="AH12" i="36" a="1"/>
  <c r="AH12" i="36" s="1"/>
  <c r="AG12" i="36" a="1"/>
  <c r="AG12" i="36" s="1"/>
  <c r="AF12" i="36"/>
  <c r="AF12" i="36" a="1"/>
  <c r="AE12" i="36" a="1"/>
  <c r="AE12" i="36" s="1"/>
  <c r="AD12" i="36" a="1"/>
  <c r="AD12" i="36" s="1"/>
  <c r="AC12" i="36" a="1"/>
  <c r="AC12" i="36" s="1"/>
  <c r="AB12" i="36" a="1"/>
  <c r="AB12" i="36" s="1"/>
  <c r="AA12" i="36" a="1"/>
  <c r="AA12" i="36" s="1"/>
  <c r="Z12" i="36" a="1"/>
  <c r="Z12" i="36" s="1"/>
  <c r="Y12" i="36"/>
  <c r="Y12" i="36" a="1"/>
  <c r="X12" i="36"/>
  <c r="X12" i="36" a="1"/>
  <c r="W12" i="36" a="1"/>
  <c r="W12" i="36" s="1"/>
  <c r="V12" i="36" a="1"/>
  <c r="V12" i="36" s="1"/>
  <c r="U12" i="36" a="1"/>
  <c r="U12" i="36" s="1"/>
  <c r="T12" i="36" a="1"/>
  <c r="T12" i="36" s="1"/>
  <c r="S12" i="36" a="1"/>
  <c r="S12" i="36" s="1"/>
  <c r="R12" i="36" a="1"/>
  <c r="R12" i="36" s="1"/>
  <c r="Q12" i="36"/>
  <c r="Q12" i="36" a="1"/>
  <c r="P12" i="36" a="1"/>
  <c r="P12" i="36" s="1"/>
  <c r="O12" i="36" a="1"/>
  <c r="O12" i="36" s="1"/>
  <c r="N12" i="36" a="1"/>
  <c r="N12" i="36" s="1"/>
  <c r="M12" i="36" a="1"/>
  <c r="M12" i="36" s="1"/>
  <c r="L12" i="36" a="1"/>
  <c r="L12" i="36" s="1"/>
  <c r="K12" i="36" a="1"/>
  <c r="K12" i="36" s="1"/>
  <c r="J12" i="36" a="1"/>
  <c r="J12" i="36" s="1"/>
  <c r="I12" i="36"/>
  <c r="I12" i="36" a="1"/>
  <c r="H12" i="36" a="1"/>
  <c r="H12" i="36" s="1"/>
  <c r="G12" i="36" a="1"/>
  <c r="G12" i="36" s="1"/>
  <c r="F12" i="36" a="1"/>
  <c r="F12" i="36" s="1"/>
  <c r="E12" i="36" a="1"/>
  <c r="E12" i="36" s="1"/>
  <c r="D12" i="36" a="1"/>
  <c r="D12" i="36" s="1"/>
  <c r="C12" i="36" a="1"/>
  <c r="C12" i="36" s="1"/>
  <c r="AV11" i="36" a="1"/>
  <c r="AV11" i="36" s="1"/>
  <c r="AR11" i="36" a="1"/>
  <c r="AR11" i="36" s="1"/>
  <c r="AQ11" i="36" a="1"/>
  <c r="AQ11" i="36" s="1"/>
  <c r="AP11" i="36" a="1"/>
  <c r="AP11" i="36" s="1"/>
  <c r="AO11" i="36" a="1"/>
  <c r="AO11" i="36" s="1"/>
  <c r="AN11" i="36"/>
  <c r="AN11" i="36" a="1"/>
  <c r="AL11" i="36" a="1"/>
  <c r="AL11" i="36" s="1"/>
  <c r="AJ11" i="36" a="1"/>
  <c r="AJ11" i="36" s="1"/>
  <c r="AH11" i="36" a="1"/>
  <c r="AH11" i="36" s="1"/>
  <c r="AF11" i="36"/>
  <c r="AF11" i="36" a="1"/>
  <c r="AA11" i="36" a="1"/>
  <c r="AA11" i="36" s="1"/>
  <c r="Y11" i="36"/>
  <c r="Y11" i="36" a="1"/>
  <c r="V11" i="36" a="1"/>
  <c r="V11" i="36" s="1"/>
  <c r="S11" i="36" a="1"/>
  <c r="S11" i="36" s="1"/>
  <c r="R11" i="36" a="1"/>
  <c r="R11" i="36" s="1"/>
  <c r="N11" i="36" a="1"/>
  <c r="N11" i="36" s="1"/>
  <c r="J11" i="36" a="1"/>
  <c r="J11" i="36" s="1"/>
  <c r="F11" i="36" a="1"/>
  <c r="F11" i="36" s="1"/>
  <c r="E11" i="36" a="1"/>
  <c r="E11" i="36" s="1"/>
  <c r="D11" i="36" a="1"/>
  <c r="D11" i="36" s="1"/>
  <c r="C11" i="36" a="1"/>
  <c r="C11" i="36" s="1"/>
  <c r="AW10" i="36" a="1"/>
  <c r="AW10" i="36" s="1"/>
  <c r="AV10" i="36" a="1"/>
  <c r="AV10" i="36" s="1"/>
  <c r="AU10" i="36" a="1"/>
  <c r="AU10" i="36" s="1"/>
  <c r="AT10" i="36" a="1"/>
  <c r="AT10" i="36" s="1"/>
  <c r="AS10" i="36" a="1"/>
  <c r="AS10" i="36" s="1"/>
  <c r="AR10" i="36" a="1"/>
  <c r="AR10" i="36" s="1"/>
  <c r="AQ10" i="36" a="1"/>
  <c r="AQ10" i="36" s="1"/>
  <c r="AP10" i="36" a="1"/>
  <c r="AP10" i="36" s="1"/>
  <c r="AO10" i="36" a="1"/>
  <c r="AO10" i="36" s="1"/>
  <c r="AN10" i="36" a="1"/>
  <c r="AN10" i="36" s="1"/>
  <c r="AM10" i="36" a="1"/>
  <c r="AM10" i="36" s="1"/>
  <c r="AL10" i="36" a="1"/>
  <c r="AL10" i="36" s="1"/>
  <c r="AK10" i="36" a="1"/>
  <c r="AK10" i="36" s="1"/>
  <c r="AJ10" i="36" a="1"/>
  <c r="AJ10" i="36" s="1"/>
  <c r="AI10" i="36" a="1"/>
  <c r="AI10" i="36" s="1"/>
  <c r="AH10" i="36" a="1"/>
  <c r="AH10" i="36" s="1"/>
  <c r="AG10" i="36" a="1"/>
  <c r="AG10" i="36" s="1"/>
  <c r="AF10" i="36" a="1"/>
  <c r="AF10" i="36" s="1"/>
  <c r="AE10" i="36" a="1"/>
  <c r="AE10" i="36" s="1"/>
  <c r="AD10" i="36" a="1"/>
  <c r="AD10" i="36" s="1"/>
  <c r="AC10" i="36" a="1"/>
  <c r="AC10" i="36" s="1"/>
  <c r="AB10" i="36" a="1"/>
  <c r="AB10" i="36" s="1"/>
  <c r="AA10" i="36" a="1"/>
  <c r="AA10" i="36" s="1"/>
  <c r="Z10" i="36" a="1"/>
  <c r="Z10" i="36" s="1"/>
  <c r="Y10" i="36" a="1"/>
  <c r="Y10" i="36" s="1"/>
  <c r="X10" i="36" a="1"/>
  <c r="X10" i="36" s="1"/>
  <c r="W10" i="36" a="1"/>
  <c r="W10" i="36" s="1"/>
  <c r="V10" i="36" a="1"/>
  <c r="V10" i="36" s="1"/>
  <c r="U10" i="36" a="1"/>
  <c r="U10" i="36" s="1"/>
  <c r="T10" i="36" a="1"/>
  <c r="T10" i="36" s="1"/>
  <c r="S10" i="36" a="1"/>
  <c r="S10" i="36" s="1"/>
  <c r="R10" i="36" a="1"/>
  <c r="R10" i="36" s="1"/>
  <c r="Q10" i="36" a="1"/>
  <c r="Q10" i="36" s="1"/>
  <c r="P10" i="36" a="1"/>
  <c r="P10" i="36" s="1"/>
  <c r="O10" i="36" a="1"/>
  <c r="O10" i="36" s="1"/>
  <c r="N10" i="36" a="1"/>
  <c r="N10" i="36" s="1"/>
  <c r="M10" i="36" a="1"/>
  <c r="M10" i="36" s="1"/>
  <c r="L10" i="36" a="1"/>
  <c r="L10" i="36" s="1"/>
  <c r="K10" i="36" a="1"/>
  <c r="K10" i="36" s="1"/>
  <c r="J10" i="36" a="1"/>
  <c r="J10" i="36" s="1"/>
  <c r="I10" i="36" a="1"/>
  <c r="I10" i="36" s="1"/>
  <c r="H10" i="36" a="1"/>
  <c r="H10" i="36" s="1"/>
  <c r="G10" i="36" a="1"/>
  <c r="G10" i="36" s="1"/>
  <c r="F10" i="36" a="1"/>
  <c r="F10" i="36" s="1"/>
  <c r="E10" i="36" a="1"/>
  <c r="E10" i="36" s="1"/>
  <c r="D10" i="36" a="1"/>
  <c r="D10" i="36" s="1"/>
  <c r="C10" i="36" a="1"/>
  <c r="C10" i="36" s="1"/>
  <c r="B85" i="36" a="1"/>
  <c r="B85" i="36" s="1"/>
  <c r="A85" i="36" a="1"/>
  <c r="A85" i="36" s="1"/>
  <c r="B84" i="36" a="1"/>
  <c r="B84" i="36" s="1"/>
  <c r="A84" i="36" a="1"/>
  <c r="A84" i="36" s="1"/>
  <c r="B83" i="36" a="1"/>
  <c r="B83" i="36" s="1"/>
  <c r="A83" i="36" a="1"/>
  <c r="A83" i="36" s="1"/>
  <c r="B82" i="36" a="1"/>
  <c r="B82" i="36" s="1"/>
  <c r="A82" i="36" a="1"/>
  <c r="A82" i="36" s="1"/>
  <c r="B81" i="36" a="1"/>
  <c r="B81" i="36" s="1"/>
  <c r="A81" i="36" a="1"/>
  <c r="A81" i="36" s="1"/>
  <c r="B80" i="36" a="1"/>
  <c r="B80" i="36" s="1"/>
  <c r="A80" i="36" a="1"/>
  <c r="A80" i="36" s="1"/>
  <c r="B79" i="36" a="1"/>
  <c r="B79" i="36" s="1"/>
  <c r="A79" i="36" a="1"/>
  <c r="A79" i="36" s="1"/>
  <c r="B78" i="36" a="1"/>
  <c r="B78" i="36" s="1"/>
  <c r="A78" i="36" a="1"/>
  <c r="A78" i="36" s="1"/>
  <c r="B77" i="36" a="1"/>
  <c r="B77" i="36" s="1"/>
  <c r="A77" i="36" a="1"/>
  <c r="A77" i="36" s="1"/>
  <c r="B76" i="36" a="1"/>
  <c r="B76" i="36" s="1"/>
  <c r="A76" i="36" a="1"/>
  <c r="A76" i="36" s="1"/>
  <c r="B75" i="36" a="1"/>
  <c r="B75" i="36" s="1"/>
  <c r="A75" i="36" a="1"/>
  <c r="A75" i="36" s="1"/>
  <c r="B74" i="36" a="1"/>
  <c r="B74" i="36" s="1"/>
  <c r="A74" i="36" a="1"/>
  <c r="A74" i="36" s="1"/>
  <c r="B73" i="36" a="1"/>
  <c r="B73" i="36" s="1"/>
  <c r="A73" i="36" a="1"/>
  <c r="A73" i="36" s="1"/>
  <c r="B72" i="36" a="1"/>
  <c r="B72" i="36" s="1"/>
  <c r="A72" i="36" a="1"/>
  <c r="A72" i="36" s="1"/>
  <c r="B71" i="36" a="1"/>
  <c r="B71" i="36" s="1"/>
  <c r="A71" i="36" a="1"/>
  <c r="A71" i="36" s="1"/>
  <c r="B70" i="36" a="1"/>
  <c r="B70" i="36" s="1"/>
  <c r="A70" i="36" a="1"/>
  <c r="A70" i="36" s="1"/>
  <c r="B69" i="36" a="1"/>
  <c r="B69" i="36" s="1"/>
  <c r="A69" i="36" a="1"/>
  <c r="A69" i="36" s="1"/>
  <c r="B68" i="36" a="1"/>
  <c r="B68" i="36" s="1"/>
  <c r="A68" i="36" a="1"/>
  <c r="A68" i="36" s="1"/>
  <c r="B67" i="36" a="1"/>
  <c r="B67" i="36" s="1"/>
  <c r="A67" i="36" a="1"/>
  <c r="A67" i="36" s="1"/>
  <c r="B66" i="36" a="1"/>
  <c r="B66" i="36" s="1"/>
  <c r="A66" i="36" a="1"/>
  <c r="A66" i="36" s="1"/>
  <c r="B65" i="36" a="1"/>
  <c r="B65" i="36" s="1"/>
  <c r="A65" i="36" a="1"/>
  <c r="A65" i="36" s="1"/>
  <c r="B64" i="36" a="1"/>
  <c r="B64" i="36" s="1"/>
  <c r="A64" i="36" a="1"/>
  <c r="A64" i="36" s="1"/>
  <c r="B63" i="36" a="1"/>
  <c r="B63" i="36" s="1"/>
  <c r="A63" i="36" a="1"/>
  <c r="A63" i="36" s="1"/>
  <c r="B62" i="36" a="1"/>
  <c r="B62" i="36" s="1"/>
  <c r="A62" i="36" a="1"/>
  <c r="A62" i="36" s="1"/>
  <c r="B61" i="36" a="1"/>
  <c r="B61" i="36" s="1"/>
  <c r="A61" i="36" a="1"/>
  <c r="A61" i="36" s="1"/>
  <c r="B60" i="36" a="1"/>
  <c r="B60" i="36" s="1"/>
  <c r="A60" i="36" a="1"/>
  <c r="A60" i="36" s="1"/>
  <c r="B59" i="36" a="1"/>
  <c r="B59" i="36" s="1"/>
  <c r="A59" i="36" a="1"/>
  <c r="A59" i="36" s="1"/>
  <c r="B58" i="36" a="1"/>
  <c r="B58" i="36" s="1"/>
  <c r="A58" i="36" a="1"/>
  <c r="A58" i="36" s="1"/>
  <c r="B57" i="36" a="1"/>
  <c r="B57" i="36" s="1"/>
  <c r="A57" i="36" a="1"/>
  <c r="A57" i="36" s="1"/>
  <c r="B56" i="36" a="1"/>
  <c r="B56" i="36" s="1"/>
  <c r="A56" i="36" a="1"/>
  <c r="A56" i="36" s="1"/>
  <c r="B55" i="36" a="1"/>
  <c r="B55" i="36" s="1"/>
  <c r="A55" i="36" a="1"/>
  <c r="A55" i="36" s="1"/>
  <c r="B54" i="36" a="1"/>
  <c r="B54" i="36" s="1"/>
  <c r="A54" i="36" a="1"/>
  <c r="A54" i="36" s="1"/>
  <c r="B53" i="36" a="1"/>
  <c r="B53" i="36" s="1"/>
  <c r="A53" i="36" a="1"/>
  <c r="A53" i="36" s="1"/>
  <c r="B52" i="36" a="1"/>
  <c r="B52" i="36" s="1"/>
  <c r="A52" i="36" a="1"/>
  <c r="A52" i="36" s="1"/>
  <c r="B51" i="36" a="1"/>
  <c r="B51" i="36" s="1"/>
  <c r="A51" i="36" a="1"/>
  <c r="A51" i="36" s="1"/>
  <c r="B50" i="36" a="1"/>
  <c r="B50" i="36" s="1"/>
  <c r="A50" i="36" a="1"/>
  <c r="A50" i="36" s="1"/>
  <c r="B49" i="36" a="1"/>
  <c r="B49" i="36" s="1"/>
  <c r="A49" i="36" a="1"/>
  <c r="A49" i="36" s="1"/>
  <c r="B48" i="36" a="1"/>
  <c r="B48" i="36" s="1"/>
  <c r="A48" i="36" a="1"/>
  <c r="A48" i="36" s="1"/>
  <c r="B47" i="36" a="1"/>
  <c r="B47" i="36" s="1"/>
  <c r="A47" i="36" a="1"/>
  <c r="A47" i="36" s="1"/>
  <c r="B46" i="36" a="1"/>
  <c r="B46" i="36" s="1"/>
  <c r="A46" i="36" a="1"/>
  <c r="A46" i="36" s="1"/>
  <c r="B45" i="36" a="1"/>
  <c r="B45" i="36" s="1"/>
  <c r="A45" i="36" a="1"/>
  <c r="A45" i="36" s="1"/>
  <c r="B44" i="36" a="1"/>
  <c r="B44" i="36" s="1"/>
  <c r="A44" i="36" a="1"/>
  <c r="A44" i="36" s="1"/>
  <c r="B43" i="36" a="1"/>
  <c r="B43" i="36" s="1"/>
  <c r="A43" i="36" a="1"/>
  <c r="A43" i="36" s="1"/>
  <c r="B42" i="36" a="1"/>
  <c r="B42" i="36" s="1"/>
  <c r="A42" i="36" a="1"/>
  <c r="A42" i="36" s="1"/>
  <c r="B41" i="36" a="1"/>
  <c r="B41" i="36" s="1"/>
  <c r="A41" i="36" a="1"/>
  <c r="A41" i="36" s="1"/>
  <c r="B40" i="36" a="1"/>
  <c r="B40" i="36" s="1"/>
  <c r="A40" i="36" a="1"/>
  <c r="A40" i="36" s="1"/>
  <c r="B39" i="36" a="1"/>
  <c r="B39" i="36" s="1"/>
  <c r="A39" i="36" a="1"/>
  <c r="A39" i="36" s="1"/>
  <c r="B38" i="36" a="1"/>
  <c r="B38" i="36" s="1"/>
  <c r="A38" i="36" a="1"/>
  <c r="A38" i="36" s="1"/>
  <c r="B37" i="36" a="1"/>
  <c r="B37" i="36" s="1"/>
  <c r="A37" i="36" a="1"/>
  <c r="A37" i="36" s="1"/>
  <c r="B36" i="36" a="1"/>
  <c r="B36" i="36" s="1"/>
  <c r="A36" i="36" a="1"/>
  <c r="A36" i="36" s="1"/>
  <c r="B35" i="36" a="1"/>
  <c r="B35" i="36" s="1"/>
  <c r="A35" i="36" a="1"/>
  <c r="A35" i="36" s="1"/>
  <c r="B34" i="36" a="1"/>
  <c r="B34" i="36" s="1"/>
  <c r="A34" i="36" a="1"/>
  <c r="A34" i="36" s="1"/>
  <c r="B33" i="36" a="1"/>
  <c r="B33" i="36" s="1"/>
  <c r="A33" i="36" a="1"/>
  <c r="A33" i="36" s="1"/>
  <c r="B32" i="36" a="1"/>
  <c r="B32" i="36" s="1"/>
  <c r="A32" i="36" a="1"/>
  <c r="A32" i="36" s="1"/>
  <c r="B31" i="36" a="1"/>
  <c r="B31" i="36" s="1"/>
  <c r="A31" i="36" a="1"/>
  <c r="A31" i="36" s="1"/>
  <c r="B30" i="36" a="1"/>
  <c r="B30" i="36" s="1"/>
  <c r="A30" i="36" a="1"/>
  <c r="A30" i="36" s="1"/>
  <c r="B29" i="36" a="1"/>
  <c r="B29" i="36" s="1"/>
  <c r="A29" i="36" a="1"/>
  <c r="A29" i="36" s="1"/>
  <c r="B28" i="36" a="1"/>
  <c r="B28" i="36" s="1"/>
  <c r="A28" i="36" a="1"/>
  <c r="A28" i="36" s="1"/>
  <c r="B27" i="36" a="1"/>
  <c r="B27" i="36" s="1"/>
  <c r="A27" i="36" a="1"/>
  <c r="A27" i="36" s="1"/>
  <c r="B26" i="36" a="1"/>
  <c r="B26" i="36" s="1"/>
  <c r="A26" i="36" a="1"/>
  <c r="A26" i="36" s="1"/>
  <c r="B25" i="36" a="1"/>
  <c r="B25" i="36" s="1"/>
  <c r="A25" i="36" a="1"/>
  <c r="A25" i="36" s="1"/>
  <c r="B24" i="36" a="1"/>
  <c r="B24" i="36" s="1"/>
  <c r="A24" i="36" a="1"/>
  <c r="A24" i="36" s="1"/>
  <c r="B23" i="36" a="1"/>
  <c r="B23" i="36" s="1"/>
  <c r="A23" i="36" a="1"/>
  <c r="A23" i="36" s="1"/>
  <c r="B22" i="36" a="1"/>
  <c r="B22" i="36" s="1"/>
  <c r="A22" i="36" a="1"/>
  <c r="A22" i="36" s="1"/>
  <c r="B21" i="36" a="1"/>
  <c r="B21" i="36" s="1"/>
  <c r="A21" i="36" a="1"/>
  <c r="A21" i="36" s="1"/>
  <c r="B20" i="36" a="1"/>
  <c r="B20" i="36" s="1"/>
  <c r="A20" i="36" a="1"/>
  <c r="A20" i="36" s="1"/>
  <c r="B19" i="36" a="1"/>
  <c r="B19" i="36" s="1"/>
  <c r="A19" i="36" a="1"/>
  <c r="A19" i="36" s="1"/>
  <c r="B18" i="36" a="1"/>
  <c r="B18" i="36" s="1"/>
  <c r="A18" i="36" a="1"/>
  <c r="A18" i="36" s="1"/>
  <c r="B17" i="36" a="1"/>
  <c r="B17" i="36" s="1"/>
  <c r="A17" i="36" a="1"/>
  <c r="A17" i="36" s="1"/>
  <c r="B16" i="36" a="1"/>
  <c r="B16" i="36" s="1"/>
  <c r="A16" i="36" a="1"/>
  <c r="A16" i="36" s="1"/>
  <c r="B15" i="36" a="1"/>
  <c r="B15" i="36" s="1"/>
  <c r="A15" i="36" a="1"/>
  <c r="A15" i="36" s="1"/>
  <c r="B14" i="36" a="1"/>
  <c r="B14" i="36" s="1"/>
  <c r="A14" i="36" a="1"/>
  <c r="A14" i="36" s="1"/>
  <c r="B13" i="36" a="1"/>
  <c r="B13" i="36" s="1"/>
  <c r="A13" i="36" a="1"/>
  <c r="A13" i="36" s="1"/>
  <c r="B12" i="36" a="1"/>
  <c r="B12" i="36" s="1"/>
  <c r="A12" i="36" a="1"/>
  <c r="A12" i="36" s="1"/>
  <c r="B11" i="36" a="1"/>
  <c r="B11" i="36" s="1"/>
  <c r="A11" i="36" a="1"/>
  <c r="A11" i="36" s="1"/>
  <c r="B10" i="36" a="1"/>
  <c r="B10" i="36" s="1"/>
  <c r="A10" i="36" a="1"/>
  <c r="A10" i="36" s="1"/>
  <c r="AL7" i="36"/>
  <c r="AJ7" i="36"/>
  <c r="AH7" i="36"/>
  <c r="AF7" i="36"/>
  <c r="AA7" i="36"/>
  <c r="V7" i="36"/>
  <c r="R7" i="36"/>
  <c r="AW6" i="36"/>
  <c r="AV6" i="36"/>
  <c r="AU6" i="36"/>
  <c r="AT6" i="36"/>
  <c r="AS6" i="36"/>
  <c r="AR6" i="36"/>
  <c r="AQ6" i="36"/>
  <c r="AP6" i="36"/>
  <c r="AO6" i="36"/>
  <c r="AN6" i="36"/>
  <c r="AM6" i="36"/>
  <c r="AL6" i="36"/>
  <c r="AK6" i="36"/>
  <c r="AJ6" i="36"/>
  <c r="AI6" i="36"/>
  <c r="AH6" i="36"/>
  <c r="AG6" i="36"/>
  <c r="AF6" i="36"/>
  <c r="AE6" i="36"/>
  <c r="AD6" i="36"/>
  <c r="AC6" i="36"/>
  <c r="AB6" i="36"/>
  <c r="AA6" i="36"/>
  <c r="Z6" i="36"/>
  <c r="Y6" i="36"/>
  <c r="X6" i="36"/>
  <c r="W6" i="36"/>
  <c r="V6" i="36"/>
  <c r="U6" i="36"/>
  <c r="T6" i="36"/>
  <c r="S6" i="36"/>
  <c r="R6" i="36"/>
  <c r="Q6" i="36"/>
  <c r="P6" i="36"/>
  <c r="O6" i="36"/>
  <c r="N6" i="36"/>
  <c r="M6" i="36"/>
  <c r="L6" i="36"/>
  <c r="K6" i="36"/>
  <c r="J6" i="36"/>
  <c r="I6" i="36"/>
  <c r="H6" i="36"/>
  <c r="G6" i="36"/>
  <c r="F6" i="36"/>
  <c r="E6" i="36"/>
  <c r="D6" i="36"/>
  <c r="C6" i="36"/>
  <c r="B6" i="36"/>
  <c r="A6" i="36"/>
  <c r="CY10" i="2"/>
  <c r="G11" i="2" a="1"/>
  <c r="G11" i="2" s="1"/>
  <c r="DJ7" i="2"/>
  <c r="DK7" i="2"/>
  <c r="DL7" i="2"/>
  <c r="DM7" i="2"/>
  <c r="DO7" i="2"/>
  <c r="DP7" i="2"/>
  <c r="DQ7" i="2"/>
  <c r="DR7" i="2"/>
  <c r="DT7" i="2"/>
  <c r="DU7" i="2"/>
  <c r="DV7" i="2"/>
  <c r="DW7" i="2"/>
  <c r="DY7" i="2"/>
  <c r="DI8" i="2"/>
  <c r="DI9" i="2"/>
  <c r="R6" i="2"/>
  <c r="DJ6" i="2" s="1"/>
  <c r="V6" i="2"/>
  <c r="DN6" i="2" s="1"/>
  <c r="V10" i="2"/>
  <c r="V7" i="2"/>
  <c r="DN7" i="2" s="1"/>
  <c r="R7" i="2"/>
  <c r="R10" i="2"/>
  <c r="Y10" i="2"/>
  <c r="AL10" i="2"/>
  <c r="AJ10" i="2"/>
  <c r="AH10" i="2"/>
  <c r="AA10" i="2"/>
  <c r="AF10" i="2"/>
  <c r="A28" i="29"/>
  <c r="U11" i="36" l="1" a="1"/>
  <c r="U11" i="36" s="1"/>
  <c r="CY11" i="2" a="1"/>
  <c r="CY11" i="2" s="1"/>
  <c r="G11" i="36" s="1" a="1"/>
  <c r="G11" i="36" s="1"/>
  <c r="A39" i="29"/>
  <c r="A38" i="29"/>
  <c r="C31" i="29"/>
  <c r="C30" i="29"/>
  <c r="C27" i="29"/>
  <c r="A33" i="29"/>
  <c r="A34" i="29"/>
  <c r="A32" i="29"/>
  <c r="A29" i="29"/>
  <c r="A30" i="29"/>
  <c r="A31" i="29"/>
  <c r="A35" i="29"/>
  <c r="A36" i="29"/>
  <c r="A91" i="29"/>
  <c r="A85" i="29"/>
  <c r="A79" i="29"/>
  <c r="A73" i="29"/>
  <c r="A60" i="29"/>
  <c r="A51" i="29"/>
  <c r="A43" i="29"/>
  <c r="CS4" i="2" l="1"/>
  <c r="DE10" i="2"/>
  <c r="DE4" i="2" s="1"/>
  <c r="EJ4" i="2"/>
  <c r="EJ3" i="2" s="1"/>
  <c r="EI4" i="2"/>
  <c r="EI3" i="2" s="1"/>
  <c r="EH4" i="2"/>
  <c r="EH3" i="2" s="1"/>
  <c r="EG4" i="2"/>
  <c r="EG3" i="2" s="1"/>
  <c r="EF4" i="2"/>
  <c r="EF3" i="2" s="1"/>
  <c r="ED4" i="2"/>
  <c r="ED3" i="2" s="1"/>
  <c r="EB4" i="2"/>
  <c r="EB3" i="2" s="1"/>
  <c r="DZ4" i="2"/>
  <c r="DZ3" i="2" s="1"/>
  <c r="DX4" i="2"/>
  <c r="DX3" i="2" s="1"/>
  <c r="DS4" i="2"/>
  <c r="DS3" i="2" s="1"/>
  <c r="DQ4" i="2"/>
  <c r="DQ3" i="2" s="1"/>
  <c r="DF4" i="2"/>
  <c r="DF3" i="2" s="1"/>
  <c r="DB4" i="2"/>
  <c r="DB3" i="2" s="1"/>
  <c r="CY4" i="2"/>
  <c r="CY3" i="2" s="1"/>
  <c r="CX4" i="2"/>
  <c r="CX3" i="2" s="1"/>
  <c r="CW4" i="2"/>
  <c r="CW3" i="2" s="1"/>
  <c r="CV4" i="2"/>
  <c r="CV3" i="2" s="1"/>
  <c r="CT4" i="2"/>
  <c r="CT3" i="2" s="1"/>
  <c r="CS3" i="2"/>
  <c r="DA10" i="2" l="1"/>
  <c r="DA4" i="2" s="1"/>
  <c r="EO7" i="2" l="1"/>
  <c r="EN7" i="2"/>
  <c r="EM7" i="2"/>
  <c r="EL7" i="2"/>
  <c r="EK7" i="2"/>
  <c r="EJ7" i="2"/>
  <c r="EI7" i="2"/>
  <c r="EH7" i="2"/>
  <c r="EG7" i="2"/>
  <c r="EF7" i="2"/>
  <c r="EE7" i="2"/>
  <c r="EC7" i="2"/>
  <c r="EA7" i="2"/>
  <c r="DE7" i="2"/>
  <c r="DD7" i="2"/>
  <c r="DA7" i="2"/>
  <c r="CZ7" i="2"/>
  <c r="EO10" i="2"/>
  <c r="EO4" i="2" s="1"/>
  <c r="EN10" i="2"/>
  <c r="EN4" i="2" s="1"/>
  <c r="EM10" i="2"/>
  <c r="EM4" i="2" s="1"/>
  <c r="EL10" i="2"/>
  <c r="EL4" i="2" s="1"/>
  <c r="EK10" i="2"/>
  <c r="EK4" i="2" s="1"/>
  <c r="EE10" i="2"/>
  <c r="EE4" i="2" s="1"/>
  <c r="EA10" i="2"/>
  <c r="EA4" i="2" s="1"/>
  <c r="EC10" i="2"/>
  <c r="EC4" i="2" s="1"/>
  <c r="BU4" i="2"/>
  <c r="BT4" i="2"/>
  <c r="BS4" i="2"/>
  <c r="BR4" i="2"/>
  <c r="BQ4" i="2"/>
  <c r="BP4" i="2"/>
  <c r="BO4" i="2"/>
  <c r="BN4" i="2"/>
  <c r="BM4" i="2"/>
  <c r="BL4" i="2"/>
  <c r="BK4" i="2"/>
  <c r="BJ4" i="2"/>
  <c r="BI4" i="2"/>
  <c r="BH4" i="2"/>
  <c r="BG4" i="2"/>
  <c r="BF4" i="2"/>
  <c r="BE4" i="2"/>
  <c r="BD4" i="2"/>
  <c r="BC4" i="2"/>
  <c r="BB4" i="2"/>
  <c r="BA4" i="2"/>
  <c r="AZ4" i="2"/>
  <c r="AY4" i="2"/>
  <c r="AJ6" i="2"/>
  <c r="EB6" i="2" s="1"/>
  <c r="AH6" i="2"/>
  <c r="DZ6" i="2" s="1"/>
  <c r="AF6" i="2"/>
  <c r="DX6" i="2" s="1"/>
  <c r="AF7" i="2"/>
  <c r="DX7" i="2" s="1"/>
  <c r="AH7" i="2"/>
  <c r="DZ7" i="2" s="1"/>
  <c r="AA6" i="2"/>
  <c r="DS6" i="2" s="1"/>
  <c r="Y6" i="2"/>
  <c r="DQ6" i="2" s="1"/>
  <c r="FH11" i="2" a="1"/>
  <c r="FH11" i="2" s="1"/>
  <c r="EU11" i="2"/>
  <c r="EY11" i="2"/>
  <c r="M6" i="2"/>
  <c r="DE6" i="2" s="1"/>
  <c r="I6" i="2"/>
  <c r="DA6" i="2" s="1"/>
  <c r="DE3" i="2" l="1"/>
  <c r="M11" i="36" a="1"/>
  <c r="M11" i="36" s="1"/>
  <c r="I11" i="36" a="1"/>
  <c r="I11" i="36" s="1"/>
  <c r="EK3" i="2"/>
  <c r="AL6" i="2"/>
  <c r="ED6" i="2" s="1"/>
  <c r="AL7" i="2"/>
  <c r="ED7" i="2" s="1"/>
  <c r="AJ7" i="2"/>
  <c r="EB7" i="2" s="1"/>
  <c r="AA7" i="2"/>
  <c r="DS7" i="2" s="1"/>
  <c r="DA3" i="2" l="1"/>
  <c r="DY10" i="2"/>
  <c r="DY4" i="2" s="1"/>
  <c r="FH10" i="2" l="1"/>
  <c r="FG10" i="2"/>
  <c r="FF10" i="2"/>
  <c r="FE10" i="2"/>
  <c r="FD10" i="2"/>
  <c r="FC10" i="2"/>
  <c r="FB10" i="2"/>
  <c r="FA10" i="2"/>
  <c r="EZ10" i="2"/>
  <c r="EY10" i="2"/>
  <c r="EX10" i="2"/>
  <c r="EW10" i="2"/>
  <c r="EV10" i="2"/>
  <c r="EU10" i="2"/>
  <c r="ET10" i="2"/>
  <c r="ES10" i="2"/>
  <c r="DW10" i="2"/>
  <c r="DW4" i="2" s="1"/>
  <c r="DV10" i="2"/>
  <c r="DV4" i="2" s="1"/>
  <c r="DD10" i="2"/>
  <c r="DD4" i="2" s="1"/>
  <c r="DD3" i="2" s="1"/>
  <c r="DU10" i="2"/>
  <c r="DU4" i="2" s="1"/>
  <c r="DT10" i="2"/>
  <c r="DT4" i="2" s="1"/>
  <c r="CZ10" i="2"/>
  <c r="CZ4" i="2" s="1"/>
  <c r="CZ3" i="2" s="1"/>
  <c r="DR10" i="2"/>
  <c r="DR4" i="2" s="1"/>
  <c r="DP10" i="2"/>
  <c r="DP4" i="2" s="1"/>
  <c r="DO10" i="2"/>
  <c r="DO4" i="2" s="1"/>
  <c r="DM10" i="2"/>
  <c r="DM4" i="2" s="1"/>
  <c r="DL10" i="2"/>
  <c r="DL4" i="2" s="1"/>
  <c r="DI10" i="2"/>
  <c r="DI4" i="2" s="1"/>
  <c r="DK10" i="2"/>
  <c r="DK4" i="2" s="1"/>
  <c r="DH10" i="2"/>
  <c r="DH4" i="2" s="1"/>
  <c r="DG10" i="2"/>
  <c r="DG4" i="2" s="1"/>
  <c r="DC10" i="2"/>
  <c r="DC4" i="2" s="1"/>
  <c r="CU10" i="2"/>
  <c r="CU4" i="2" s="1"/>
  <c r="ET11" i="2"/>
  <c r="EV11" i="2"/>
  <c r="EX11" i="2"/>
  <c r="EZ11" i="2"/>
  <c r="FB11" i="2"/>
  <c r="FC11" i="2" a="1"/>
  <c r="FC11" i="2" s="1"/>
  <c r="FD11" i="2"/>
  <c r="FF11" i="2"/>
  <c r="DI7" i="2"/>
  <c r="DK3" i="2"/>
  <c r="DH7" i="2"/>
  <c r="DG7" i="2"/>
  <c r="DF7" i="2"/>
  <c r="DC7" i="2"/>
  <c r="DB7" i="2"/>
  <c r="CY7" i="2"/>
  <c r="CX7" i="2"/>
  <c r="CW7" i="2"/>
  <c r="CV7" i="2"/>
  <c r="CU7" i="2"/>
  <c r="CT7" i="2"/>
  <c r="CS7" i="2"/>
  <c r="CU3" i="2" l="1"/>
  <c r="DM3" i="2"/>
  <c r="EO3" i="2"/>
  <c r="EL3" i="2"/>
  <c r="EE3" i="2"/>
  <c r="EM3" i="2"/>
  <c r="EN3" i="2"/>
  <c r="EC3" i="2"/>
  <c r="EA3" i="2"/>
  <c r="DW3" i="2"/>
  <c r="DY3" i="2"/>
  <c r="FA11" i="2" a="1"/>
  <c r="FA11" i="2" s="1"/>
  <c r="DP3" i="2"/>
  <c r="DR3" i="2"/>
  <c r="EW11" i="2" a="1"/>
  <c r="EW11" i="2" s="1"/>
  <c r="DG3" i="2" s="1"/>
  <c r="DO3" i="2"/>
  <c r="ES11" i="2" a="1"/>
  <c r="ES11" i="2" s="1"/>
  <c r="DU3" i="2"/>
  <c r="DT3" i="2"/>
  <c r="DV3" i="2"/>
  <c r="J6" i="2"/>
  <c r="DB6" i="2" s="1"/>
  <c r="K6" i="2"/>
  <c r="N6" i="2"/>
  <c r="DF6" i="2" s="1"/>
  <c r="O6" i="2"/>
  <c r="BX11" i="2"/>
  <c r="CO10" i="2"/>
  <c r="CN10" i="2"/>
  <c r="CM10" i="2"/>
  <c r="CL10" i="2"/>
  <c r="CK10" i="2"/>
  <c r="CJ10" i="2"/>
  <c r="CI10" i="2"/>
  <c r="CH10" i="2"/>
  <c r="CG10" i="2"/>
  <c r="CF10" i="2"/>
  <c r="CE10" i="2"/>
  <c r="CD10" i="2"/>
  <c r="CC10" i="2"/>
  <c r="CB10" i="2"/>
  <c r="CA10" i="2"/>
  <c r="BZ10" i="2"/>
  <c r="DL3" i="2" l="1"/>
  <c r="T11" i="36" a="1"/>
  <c r="T11" i="36" s="1"/>
  <c r="DC6" i="2"/>
  <c r="ES6" i="2"/>
  <c r="ET6" i="2" s="1"/>
  <c r="EU6" i="2" s="1"/>
  <c r="EV6" i="2" s="1"/>
  <c r="DG6" i="2"/>
  <c r="EW6" i="2"/>
  <c r="EX6" i="2" s="1"/>
  <c r="EY6" i="2" s="1"/>
  <c r="EZ6" i="2" s="1"/>
  <c r="DH3" i="2"/>
  <c r="DC3" i="2"/>
  <c r="FG11" i="2"/>
  <c r="FE11" i="2" s="1" a="1"/>
  <c r="FE11" i="2" s="1"/>
  <c r="DI3" i="2" s="1"/>
  <c r="M5" i="12"/>
  <c r="W5" i="12" s="1"/>
  <c r="AA6" i="12"/>
  <c r="W6" i="12"/>
  <c r="T6" i="12"/>
  <c r="R6" i="12"/>
  <c r="P6" i="12"/>
  <c r="O6" i="12"/>
  <c r="B3" i="35"/>
  <c r="V5" i="12"/>
  <c r="U5" i="12"/>
  <c r="T5" i="12"/>
  <c r="S5" i="12"/>
  <c r="R5" i="12"/>
  <c r="AB5" i="12" s="1"/>
  <c r="Q5" i="12"/>
  <c r="AA5" i="12" s="1"/>
  <c r="P5" i="12"/>
  <c r="Z5" i="12" s="1"/>
  <c r="O5" i="12"/>
  <c r="Y5" i="12" s="1"/>
  <c r="N5" i="12"/>
  <c r="X5" i="12" s="1"/>
  <c r="AB4" i="12"/>
  <c r="CO7" i="2" s="1"/>
  <c r="AA4" i="12"/>
  <c r="CN7" i="2" s="1"/>
  <c r="Z4" i="12"/>
  <c r="CM7" i="2" s="1"/>
  <c r="Y4" i="12"/>
  <c r="CL7" i="2" s="1"/>
  <c r="X4" i="12"/>
  <c r="CK7" i="2" s="1"/>
  <c r="W4" i="12"/>
  <c r="CJ7" i="2" s="1"/>
  <c r="V4" i="12"/>
  <c r="CI7" i="2" s="1"/>
  <c r="U4" i="12"/>
  <c r="CH7" i="2" s="1"/>
  <c r="T4" i="12"/>
  <c r="CG7" i="2" s="1"/>
  <c r="S4" i="12"/>
  <c r="CF7" i="2" s="1"/>
  <c r="R4" i="12"/>
  <c r="CE7" i="2" s="1"/>
  <c r="Q4" i="12"/>
  <c r="CD7" i="2" s="1"/>
  <c r="P4" i="12"/>
  <c r="CC7" i="2" s="1"/>
  <c r="O4" i="12"/>
  <c r="CB7" i="2" s="1"/>
  <c r="N4" i="12"/>
  <c r="CA7" i="2" s="1"/>
  <c r="M4" i="12"/>
  <c r="BZ7" i="2" s="1"/>
  <c r="L6" i="2"/>
  <c r="DD6" i="2" s="1"/>
  <c r="CR4" i="2" l="1"/>
  <c r="F2" i="2"/>
  <c r="BU7" i="2"/>
  <c r="BT7" i="2"/>
  <c r="BS7" i="2"/>
  <c r="BR7" i="2"/>
  <c r="BQ7" i="2"/>
  <c r="BP7" i="2"/>
  <c r="BO7" i="2"/>
  <c r="BN7" i="2"/>
  <c r="BM7" i="2"/>
  <c r="BL7" i="2"/>
  <c r="BK7" i="2"/>
  <c r="BJ7" i="2"/>
  <c r="BI7" i="2"/>
  <c r="BH7" i="2"/>
  <c r="BG7" i="2"/>
  <c r="BF7" i="2"/>
  <c r="BE7" i="2"/>
  <c r="BD7" i="2"/>
  <c r="BC7" i="2"/>
  <c r="BB7" i="2"/>
  <c r="BA7" i="2"/>
  <c r="AZ7" i="2"/>
  <c r="AY7" i="2"/>
  <c r="AX7" i="2"/>
  <c r="AN11" i="2"/>
  <c r="AO6" i="2"/>
  <c r="EG6" i="2" s="1"/>
  <c r="BU6" i="2"/>
  <c r="BT6" i="2"/>
  <c r="BS6" i="2"/>
  <c r="BR6" i="2"/>
  <c r="BQ6" i="2"/>
  <c r="BP6" i="2"/>
  <c r="BO6" i="2"/>
  <c r="BN6" i="2"/>
  <c r="BM6" i="2"/>
  <c r="BL6" i="2"/>
  <c r="BK6" i="2"/>
  <c r="BJ6" i="2"/>
  <c r="BI6" i="2"/>
  <c r="BH6" i="2"/>
  <c r="BG6" i="2"/>
  <c r="BF6" i="2"/>
  <c r="BE6" i="2"/>
  <c r="BD6" i="2"/>
  <c r="BC6" i="2"/>
  <c r="BB6" i="2"/>
  <c r="BA6" i="2"/>
  <c r="AZ6" i="2"/>
  <c r="AY6" i="2"/>
  <c r="AX6" i="2"/>
  <c r="C3" i="33" l="1"/>
  <c r="L3" i="33"/>
  <c r="K3" i="33"/>
  <c r="E3" i="33"/>
  <c r="D3" i="33"/>
  <c r="J3" i="33"/>
  <c r="I3" i="33"/>
  <c r="H3" i="33"/>
  <c r="G3" i="33"/>
  <c r="F3" i="33"/>
  <c r="B3" i="33"/>
  <c r="A3" i="33"/>
  <c r="Z6" i="2"/>
  <c r="DR6" i="2" s="1"/>
  <c r="AB6" i="2"/>
  <c r="DT6" i="2" s="1"/>
  <c r="B35" i="29" l="1"/>
  <c r="B36" i="29"/>
  <c r="AT6" i="2"/>
  <c r="EL6" i="2" s="1"/>
  <c r="AU6" i="2"/>
  <c r="EM6" i="2" s="1"/>
  <c r="AV6" i="2"/>
  <c r="EN6" i="2" s="1"/>
  <c r="AW6" i="2"/>
  <c r="EO6" i="2" s="1"/>
  <c r="AE6" i="2" l="1"/>
  <c r="DW6" i="2" s="1"/>
  <c r="AD6" i="2"/>
  <c r="DV6" i="2" s="1"/>
  <c r="A1" i="23" l="1"/>
  <c r="A123" i="23" l="1"/>
  <c r="A122" i="23"/>
  <c r="A114" i="23"/>
  <c r="A106" i="23"/>
  <c r="A98" i="23"/>
  <c r="A121" i="23"/>
  <c r="A113" i="23"/>
  <c r="A105" i="23"/>
  <c r="A124" i="23"/>
  <c r="A100" i="23"/>
  <c r="B4" i="12" s="1"/>
  <c r="A99" i="23"/>
  <c r="A4" i="12" s="1"/>
  <c r="A97" i="23"/>
  <c r="A3" i="12" s="1"/>
  <c r="A120" i="23"/>
  <c r="K4" i="12" s="1"/>
  <c r="A112" i="23"/>
  <c r="A104" i="23"/>
  <c r="A119" i="23"/>
  <c r="A111" i="23"/>
  <c r="C4" i="12" s="1"/>
  <c r="A103" i="23"/>
  <c r="A108" i="23"/>
  <c r="A107" i="23"/>
  <c r="A126" i="23"/>
  <c r="A118" i="23"/>
  <c r="A110" i="23"/>
  <c r="C3" i="12" s="1"/>
  <c r="A102" i="23"/>
  <c r="A125" i="23"/>
  <c r="A117" i="23"/>
  <c r="A109" i="23"/>
  <c r="A101" i="23"/>
  <c r="A116" i="23"/>
  <c r="A115" i="23"/>
  <c r="A77" i="23"/>
  <c r="A76" i="23"/>
  <c r="A75" i="23"/>
  <c r="A74" i="23"/>
  <c r="A67" i="23"/>
  <c r="A66" i="23"/>
  <c r="A88" i="23"/>
  <c r="A83" i="23"/>
  <c r="A86" i="23"/>
  <c r="A84" i="23"/>
  <c r="A82" i="23"/>
  <c r="A85" i="23"/>
  <c r="A89" i="23"/>
  <c r="A87" i="23"/>
  <c r="A81" i="23"/>
  <c r="A58" i="23"/>
  <c r="A16" i="23"/>
  <c r="A80" i="23"/>
  <c r="A78" i="23"/>
  <c r="A79" i="23"/>
  <c r="A73" i="23"/>
  <c r="A71" i="23"/>
  <c r="A56" i="23"/>
  <c r="A70" i="23"/>
  <c r="L4" i="33" s="1"/>
  <c r="A64" i="23"/>
  <c r="A60" i="23"/>
  <c r="A55" i="23"/>
  <c r="A65" i="23"/>
  <c r="A69" i="23"/>
  <c r="A63" i="23"/>
  <c r="A59" i="23"/>
  <c r="A54" i="23"/>
  <c r="A5" i="23"/>
  <c r="A61" i="23"/>
  <c r="A72" i="23"/>
  <c r="A68" i="23"/>
  <c r="A37" i="29" s="1"/>
  <c r="A62" i="23"/>
  <c r="A57" i="23"/>
  <c r="A53" i="23"/>
  <c r="A17" i="23"/>
  <c r="A25" i="23"/>
  <c r="A37" i="23"/>
  <c r="A49" i="23"/>
  <c r="A22" i="23"/>
  <c r="A30" i="23"/>
  <c r="A34" i="23"/>
  <c r="A38" i="23"/>
  <c r="A42" i="23"/>
  <c r="A46" i="23"/>
  <c r="A48" i="23"/>
  <c r="A21" i="23"/>
  <c r="A29" i="23"/>
  <c r="A33" i="23"/>
  <c r="A41" i="23"/>
  <c r="A45" i="23"/>
  <c r="A18" i="23"/>
  <c r="A26" i="23"/>
  <c r="A19" i="23"/>
  <c r="A23" i="23"/>
  <c r="A27" i="23"/>
  <c r="A31" i="23"/>
  <c r="A35" i="23"/>
  <c r="A39" i="23"/>
  <c r="A43" i="23"/>
  <c r="A51" i="23"/>
  <c r="A47" i="23"/>
  <c r="A20" i="23"/>
  <c r="A24" i="23"/>
  <c r="A28" i="23"/>
  <c r="A32" i="23"/>
  <c r="A36" i="23"/>
  <c r="A40" i="23"/>
  <c r="A44" i="23"/>
  <c r="A50" i="23"/>
  <c r="A52" i="23"/>
  <c r="A6" i="23"/>
  <c r="A10" i="23"/>
  <c r="H4" i="33" s="1"/>
  <c r="B34" i="29" s="1"/>
  <c r="A13" i="23"/>
  <c r="A7" i="23"/>
  <c r="A11" i="23"/>
  <c r="A14" i="23"/>
  <c r="A8" i="23"/>
  <c r="F4" i="33" s="1"/>
  <c r="B32" i="29" s="1"/>
  <c r="A12" i="23"/>
  <c r="A15" i="23"/>
  <c r="A9" i="23"/>
  <c r="G4" i="33" s="1"/>
  <c r="B33" i="29" s="1"/>
  <c r="A4" i="23"/>
  <c r="B39" i="29" l="1"/>
  <c r="B38" i="29"/>
  <c r="CB11" i="2"/>
  <c r="CC11" i="2"/>
  <c r="CE11" i="2"/>
  <c r="CG11" i="2"/>
  <c r="CJ11" i="2"/>
  <c r="CN11" i="2"/>
  <c r="D4" i="33"/>
  <c r="B4" i="33"/>
  <c r="E4" i="33"/>
  <c r="B31" i="29" s="1"/>
  <c r="A4" i="33"/>
  <c r="B27" i="29" s="1"/>
  <c r="A2" i="33"/>
  <c r="A26" i="29" s="1"/>
  <c r="B2" i="12"/>
  <c r="C2" i="12"/>
  <c r="D2" i="12"/>
  <c r="E2" i="12"/>
  <c r="F2" i="12"/>
  <c r="G2" i="12"/>
  <c r="H2" i="12"/>
  <c r="I2" i="12"/>
  <c r="J2" i="12"/>
  <c r="K2" i="12"/>
  <c r="L2" i="12"/>
  <c r="B30" i="29" l="1"/>
  <c r="B29" i="29"/>
  <c r="B28" i="29"/>
  <c r="H6" i="2"/>
  <c r="CZ6" i="2" s="1"/>
  <c r="U6" i="2"/>
  <c r="DM6" i="2" s="1"/>
  <c r="B6" i="2" l="1"/>
  <c r="CT6" i="2" s="1"/>
  <c r="D6" i="2"/>
  <c r="CV6" i="2" s="1"/>
  <c r="E6" i="2"/>
  <c r="CW6" i="2" s="1"/>
  <c r="F6" i="2"/>
  <c r="CX6" i="2" s="1"/>
  <c r="G6" i="2"/>
  <c r="CY6" i="2" s="1"/>
  <c r="P6" i="2"/>
  <c r="Q6" i="2"/>
  <c r="DI6" i="2" s="1"/>
  <c r="T6" i="2"/>
  <c r="DL6" i="2" s="1"/>
  <c r="S6" i="2"/>
  <c r="DK6" i="2" s="1"/>
  <c r="AC6" i="2"/>
  <c r="DU6" i="2" s="1"/>
  <c r="W6" i="2"/>
  <c r="DO6" i="2" s="1"/>
  <c r="X6" i="2"/>
  <c r="DP6" i="2" s="1"/>
  <c r="AG6" i="2"/>
  <c r="DY6" i="2" s="1"/>
  <c r="AI6" i="2"/>
  <c r="EA6" i="2" s="1"/>
  <c r="AM6" i="2"/>
  <c r="EE6" i="2" s="1"/>
  <c r="AK6" i="2"/>
  <c r="EC6" i="2" s="1"/>
  <c r="AN6" i="2"/>
  <c r="EF6" i="2" s="1"/>
  <c r="AP6" i="2"/>
  <c r="EH6" i="2" s="1"/>
  <c r="AQ6" i="2"/>
  <c r="EI6" i="2" s="1"/>
  <c r="AR6" i="2"/>
  <c r="EJ6" i="2" s="1"/>
  <c r="AS6" i="2"/>
  <c r="EK6" i="2" s="1"/>
  <c r="C6" i="2"/>
  <c r="CU6" i="2" s="1"/>
  <c r="DH6" i="2" l="1"/>
  <c r="FA6" i="2"/>
  <c r="FB6" i="2" s="1"/>
  <c r="FC6" i="2" s="1"/>
  <c r="FD6" i="2" s="1"/>
  <c r="FE6" i="2"/>
  <c r="FF6" i="2" s="1"/>
  <c r="FG6" i="2" s="1"/>
  <c r="FH6" i="2" s="1"/>
  <c r="A6" i="2"/>
  <c r="B66" i="29" l="1"/>
  <c r="B84" i="29"/>
  <c r="B86" i="29"/>
  <c r="B52" i="29"/>
  <c r="B61" i="29"/>
  <c r="B69" i="29"/>
  <c r="C70" i="29" s="1"/>
  <c r="B78" i="29"/>
  <c r="B87" i="29"/>
  <c r="B96" i="29"/>
  <c r="B46" i="29"/>
  <c r="B72" i="29"/>
  <c r="B56" i="29"/>
  <c r="B65" i="29"/>
  <c r="B92" i="29"/>
  <c r="B57" i="29"/>
  <c r="B93" i="29"/>
  <c r="B49" i="29"/>
  <c r="B67" i="29"/>
  <c r="C68" i="29" s="1"/>
  <c r="B94" i="29"/>
  <c r="B68" i="29"/>
  <c r="B44" i="29"/>
  <c r="B53" i="29"/>
  <c r="B62" i="29"/>
  <c r="B70" i="29"/>
  <c r="B80" i="29"/>
  <c r="C81" i="29" s="1"/>
  <c r="B88" i="29"/>
  <c r="B55" i="29"/>
  <c r="B82" i="29"/>
  <c r="C83" i="29" s="1"/>
  <c r="B47" i="29"/>
  <c r="B48" i="29"/>
  <c r="B83" i="29"/>
  <c r="B76" i="29"/>
  <c r="B50" i="29"/>
  <c r="B95" i="29"/>
  <c r="B45" i="29"/>
  <c r="B54" i="29"/>
  <c r="B63" i="29"/>
  <c r="B71" i="29"/>
  <c r="B81" i="29"/>
  <c r="B89" i="29"/>
  <c r="B64" i="29"/>
  <c r="B90" i="29"/>
  <c r="B74" i="29"/>
  <c r="B75" i="29"/>
  <c r="C76" i="29" s="1"/>
  <c r="B58" i="29"/>
  <c r="B59" i="29"/>
  <c r="B77" i="29"/>
  <c r="C78" i="29" s="1"/>
  <c r="M6" i="12"/>
  <c r="BZ11" i="2" s="1"/>
  <c r="CS6" i="2"/>
  <c r="Z6" i="12"/>
  <c r="CM11" i="2" s="1"/>
  <c r="Y6" i="12"/>
  <c r="CL11" i="2" s="1"/>
  <c r="X6" i="12"/>
  <c r="CK11" i="2" s="1"/>
  <c r="AB6" i="12"/>
  <c r="CO11" i="2" s="1"/>
  <c r="V6" i="12"/>
  <c r="CI11" i="2" s="1"/>
  <c r="U6" i="12"/>
  <c r="CH11" i="2" s="1"/>
  <c r="S6" i="12"/>
  <c r="CF11" i="2" s="1"/>
  <c r="Q6" i="12"/>
  <c r="CD11" i="2" s="1"/>
  <c r="N6" i="12"/>
  <c r="CA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<sst xmlns="http://schemas.openxmlformats.org/spreadsheetml/2006/main" count="681" uniqueCount="535">
  <si>
    <t xml:space="preserve">Project Commitment </t>
  </si>
  <si>
    <t>Project ID</t>
  </si>
  <si>
    <t>Project Name</t>
  </si>
  <si>
    <t>No. de projet</t>
  </si>
  <si>
    <t>Nom du projet</t>
  </si>
  <si>
    <t>Output</t>
  </si>
  <si>
    <t>English</t>
  </si>
  <si>
    <t>French</t>
  </si>
  <si>
    <t xml:space="preserve">Label Out </t>
  </si>
  <si>
    <t>Label English</t>
  </si>
  <si>
    <t>Label French</t>
  </si>
  <si>
    <t>Project Info</t>
  </si>
  <si>
    <t xml:space="preserve">Key </t>
  </si>
  <si>
    <t xml:space="preserve">Identification du projet </t>
  </si>
  <si>
    <t xml:space="preserve">Project Name </t>
  </si>
  <si>
    <t>Phase 1 - Start</t>
  </si>
  <si>
    <t>Phase 1 - Début</t>
  </si>
  <si>
    <t xml:space="preserve">Phase 1 - End </t>
  </si>
  <si>
    <t>Phase 1 - Fin</t>
  </si>
  <si>
    <t>Phase 2 - Start</t>
  </si>
  <si>
    <t>Phase 2 - Début</t>
  </si>
  <si>
    <t>Phase 2 - End</t>
  </si>
  <si>
    <t>Phase 2 - Fin</t>
  </si>
  <si>
    <t>Phase 3 - Start</t>
  </si>
  <si>
    <t>Phase 3 - Début</t>
  </si>
  <si>
    <t xml:space="preserve">Phase 3 - End </t>
  </si>
  <si>
    <t>Phase 3 - Fin</t>
  </si>
  <si>
    <t>Phase 4 - Start</t>
  </si>
  <si>
    <t>Phase 4 - Début</t>
  </si>
  <si>
    <t>Phase 4 - End</t>
  </si>
  <si>
    <t>Phase 4 - Fin</t>
  </si>
  <si>
    <t>Phase Dates</t>
  </si>
  <si>
    <t xml:space="preserve">Dates de phase </t>
  </si>
  <si>
    <t>Key Milestones</t>
  </si>
  <si>
    <t>Étapes Clés</t>
  </si>
  <si>
    <t xml:space="preserve">Site Purchase </t>
  </si>
  <si>
    <t xml:space="preserve">Achat du site </t>
  </si>
  <si>
    <t xml:space="preserve">Space Template Finalized </t>
  </si>
  <si>
    <t>Gabarit des espaces finalisé</t>
  </si>
  <si>
    <t xml:space="preserve">Signed Joint Use Agreement </t>
  </si>
  <si>
    <t>80% Design</t>
  </si>
  <si>
    <t>Design à 80%</t>
  </si>
  <si>
    <t xml:space="preserve">Class A Cost Estimate </t>
  </si>
  <si>
    <t>Rapport du consultant en coûts de classe A</t>
  </si>
  <si>
    <t>Site Plan Approval</t>
  </si>
  <si>
    <t>Approbation du plan de site</t>
  </si>
  <si>
    <t>Build Permit Obtained</t>
  </si>
  <si>
    <t xml:space="preserve">Permis de construire obtenu </t>
  </si>
  <si>
    <t xml:space="preserve">Tender Issued </t>
  </si>
  <si>
    <t>Projet soumissionné</t>
  </si>
  <si>
    <t>Construction Start</t>
  </si>
  <si>
    <t>Début de la construction</t>
  </si>
  <si>
    <t xml:space="preserve">School/Addition Opening </t>
  </si>
  <si>
    <t xml:space="preserve">école/ajout ouverte </t>
  </si>
  <si>
    <t>Project Reconciliation</t>
  </si>
  <si>
    <t>Réconciliation du projet</t>
  </si>
  <si>
    <t>Funding Requested</t>
  </si>
  <si>
    <t>Financement demandé</t>
  </si>
  <si>
    <t>Cost of Project (Excluding Site)</t>
  </si>
  <si>
    <t>Coût du projet (Excluant coût du site)</t>
  </si>
  <si>
    <t>Total Cost of Project (Including Site)</t>
  </si>
  <si>
    <t>Coût total</t>
  </si>
  <si>
    <t xml:space="preserve">Total CP Request </t>
  </si>
  <si>
    <t xml:space="preserve">Total Child Care Request </t>
  </si>
  <si>
    <t>Phase</t>
  </si>
  <si>
    <t>Addition</t>
  </si>
  <si>
    <t xml:space="preserve">Project ID </t>
  </si>
  <si>
    <t>Project Type</t>
  </si>
  <si>
    <t xml:space="preserve">Construction Status </t>
  </si>
  <si>
    <t>Address</t>
  </si>
  <si>
    <t xml:space="preserve">City </t>
  </si>
  <si>
    <t xml:space="preserve">Project Type </t>
  </si>
  <si>
    <t xml:space="preserve">Project Category </t>
  </si>
  <si>
    <t xml:space="preserve">Planning </t>
  </si>
  <si>
    <t xml:space="preserve">Tender Closed </t>
  </si>
  <si>
    <t>Construction</t>
  </si>
  <si>
    <t>Section 2: Square Footage Specification</t>
  </si>
  <si>
    <t>Anticipate Design Change?</t>
  </si>
  <si>
    <t>Square Footage of New Construction</t>
  </si>
  <si>
    <t>Square Footage of Demolition</t>
  </si>
  <si>
    <t>Square Footage of EarlyOn</t>
  </si>
  <si>
    <t>Space Template Approval Date</t>
  </si>
  <si>
    <t xml:space="preserve">Design Status </t>
  </si>
  <si>
    <t xml:space="preserve">Child Care Floorplan Approval - Date </t>
  </si>
  <si>
    <t>Section 4: Phase 2 - Tender</t>
  </si>
  <si>
    <t>Build Permit Obtained Date</t>
  </si>
  <si>
    <t xml:space="preserve">Tender Issued Date </t>
  </si>
  <si>
    <t>Tender Closed Date</t>
  </si>
  <si>
    <t>% Construction Progress</t>
  </si>
  <si>
    <t>Substantial Completion Date</t>
  </si>
  <si>
    <t>Section 6: Phase 4 - Project Completion</t>
  </si>
  <si>
    <t xml:space="preserve">School Opening Date </t>
  </si>
  <si>
    <t xml:space="preserve">Section 7: Approved Project Funding </t>
  </si>
  <si>
    <t xml:space="preserve">Section 8: Projected Construction Cost </t>
  </si>
  <si>
    <t xml:space="preserve">Basis of Cost Estimate </t>
  </si>
  <si>
    <t xml:space="preserve">Signage </t>
  </si>
  <si>
    <t xml:space="preserve">Name </t>
  </si>
  <si>
    <t xml:space="preserve">Title </t>
  </si>
  <si>
    <t xml:space="preserve">Email </t>
  </si>
  <si>
    <t xml:space="preserve">Phone </t>
  </si>
  <si>
    <t>Monthly Project Updates</t>
  </si>
  <si>
    <t>Type de projet</t>
  </si>
  <si>
    <t xml:space="preserve">Catégorie de projet </t>
  </si>
  <si>
    <t>IP</t>
  </si>
  <si>
    <t>Service de garde</t>
  </si>
  <si>
    <t>Autre</t>
  </si>
  <si>
    <t>Base de l'estimation des coûts</t>
  </si>
  <si>
    <t>Coûts du site</t>
  </si>
  <si>
    <t>Site Purchased</t>
  </si>
  <si>
    <t xml:space="preserve">New </t>
  </si>
  <si>
    <t>30%-80% Complete</t>
  </si>
  <si>
    <t xml:space="preserve">EDC </t>
  </si>
  <si>
    <t xml:space="preserve">Delay </t>
  </si>
  <si>
    <t xml:space="preserve">Mitigate </t>
  </si>
  <si>
    <t>Remove from tracker (Cancelled)</t>
  </si>
  <si>
    <t>Repeat</t>
  </si>
  <si>
    <t>&gt;80% Complete</t>
  </si>
  <si>
    <t xml:space="preserve">Ad Hoc </t>
  </si>
  <si>
    <t>Remove from tracker (Complete)</t>
  </si>
  <si>
    <t>&lt;30% Complete</t>
  </si>
  <si>
    <t>In Progress</t>
  </si>
  <si>
    <t xml:space="preserve">EDU Catalogue </t>
  </si>
  <si>
    <t xml:space="preserve">Monthly Update Sheet </t>
  </si>
  <si>
    <t>Meeting Date</t>
  </si>
  <si>
    <t>Section 1: Project Details</t>
  </si>
  <si>
    <t>Détails associés aux projets</t>
  </si>
  <si>
    <t>Postal Code</t>
  </si>
  <si>
    <t>Approval Period</t>
  </si>
  <si>
    <t>Project Status</t>
  </si>
  <si>
    <t>Construction Status</t>
  </si>
  <si>
    <t>Square Footage of Renovaton/Retrofit</t>
  </si>
  <si>
    <t>Square Footage of New Child Care</t>
  </si>
  <si>
    <t xml:space="preserve">Square Footage of Community Space </t>
  </si>
  <si>
    <t xml:space="preserve">Section 3: Phase 1 - Pre-Tender </t>
  </si>
  <si>
    <t>Site Ownership Status</t>
  </si>
  <si>
    <t>Site Purchase Date</t>
  </si>
  <si>
    <t xml:space="preserve">Space Template Approval Date </t>
  </si>
  <si>
    <t xml:space="preserve">Type of Design Used </t>
  </si>
  <si>
    <t xml:space="preserve">Class A/B Cost Estimate -Date </t>
  </si>
  <si>
    <t xml:space="preserve">Site, Design and Child Care Related Comments: Include details of scope change if applicable </t>
  </si>
  <si>
    <t>Tender Closed</t>
  </si>
  <si>
    <t>Site Plan Submission Date</t>
  </si>
  <si>
    <t>Site Plan Approval Date</t>
  </si>
  <si>
    <t>Section 5: Phase 3 - Construction</t>
  </si>
  <si>
    <t>Construction Start - Date</t>
  </si>
  <si>
    <t>Substantial Completion</t>
  </si>
  <si>
    <t>Child Care Opening Date</t>
  </si>
  <si>
    <t xml:space="preserve"> Financement approuvé du projet</t>
  </si>
  <si>
    <t>LP/EDC</t>
  </si>
  <si>
    <t>CP</t>
  </si>
  <si>
    <t>CC</t>
  </si>
  <si>
    <t xml:space="preserve">Other </t>
  </si>
  <si>
    <t xml:space="preserve">Total Approved Funding </t>
  </si>
  <si>
    <t>Coût prévu du projet</t>
  </si>
  <si>
    <t>Land Cost</t>
  </si>
  <si>
    <t>Building Cost - School</t>
  </si>
  <si>
    <t>Soft Costs - School</t>
  </si>
  <si>
    <t xml:space="preserve">Building Cost - Child Care </t>
  </si>
  <si>
    <t xml:space="preserve">Soft Costs -Child Care </t>
  </si>
  <si>
    <t>Unique Site Costs - School</t>
  </si>
  <si>
    <t xml:space="preserve">Unique Site Costs - Child Care </t>
  </si>
  <si>
    <t xml:space="preserve">Unique Site Costs - Other </t>
  </si>
  <si>
    <t>Municipal/Extraordinary Cost - School</t>
  </si>
  <si>
    <t>Municipal/Extraordinary Cost - Child Care</t>
  </si>
  <si>
    <t>Municipal/Extraordinary Cost - Other</t>
  </si>
  <si>
    <t xml:space="preserve">Total </t>
  </si>
  <si>
    <t>Variance</t>
  </si>
  <si>
    <t>Revised Funding Request</t>
  </si>
  <si>
    <t>Section 9: Communications Protocol</t>
  </si>
  <si>
    <t>Opening Ceremony - Date</t>
  </si>
  <si>
    <t xml:space="preserve">Section 10: General Comments </t>
  </si>
  <si>
    <t>Commentaires</t>
  </si>
  <si>
    <t xml:space="preserve">Section 10: Project Risks and Mitigation Stategies </t>
  </si>
  <si>
    <t>Risk Type</t>
  </si>
  <si>
    <t>Risk Rating</t>
  </si>
  <si>
    <t>Risk Exposure Start Date</t>
  </si>
  <si>
    <t>Min-Max Cost of Risk ($M)</t>
  </si>
  <si>
    <t>Min-Max Delay of Risk (Months)</t>
  </si>
  <si>
    <t>Mitigation Stategies/Comments</t>
  </si>
  <si>
    <t>CA Comments</t>
  </si>
  <si>
    <t>Contract Awarded</t>
  </si>
  <si>
    <t xml:space="preserve">Site Preparation Cost </t>
  </si>
  <si>
    <t xml:space="preserve">Site Funding Source </t>
  </si>
  <si>
    <t>Site Prep/Mobilization</t>
  </si>
  <si>
    <t xml:space="preserve">Building Cost - Other </t>
  </si>
  <si>
    <r>
      <t xml:space="preserve">ALL ESTIMATED DATES = UNBOLDED  
ALL ACTUAL DATES = </t>
    </r>
    <r>
      <rPr>
        <b/>
        <sz val="18"/>
        <rFont val="Arial Nova Cond Light"/>
        <family val="2"/>
      </rPr>
      <t xml:space="preserve">BOLDED </t>
    </r>
  </si>
  <si>
    <t>Ad-hoc &amp; Potential Projects</t>
  </si>
  <si>
    <t xml:space="preserve">Timing </t>
  </si>
  <si>
    <t xml:space="preserve">Cost </t>
  </si>
  <si>
    <t xml:space="preserve">Funding Source </t>
  </si>
  <si>
    <t>Accommodation Pressure</t>
  </si>
  <si>
    <t xml:space="preserve">Land </t>
  </si>
  <si>
    <t xml:space="preserve"> </t>
  </si>
  <si>
    <t>Demolition</t>
  </si>
  <si>
    <t>School Consolidation</t>
  </si>
  <si>
    <t xml:space="preserve">Purchase </t>
  </si>
  <si>
    <t>New School</t>
  </si>
  <si>
    <t>Other</t>
  </si>
  <si>
    <t xml:space="preserve">Parent ID </t>
  </si>
  <si>
    <t xml:space="preserve">Submission Type </t>
  </si>
  <si>
    <t>Year Open</t>
  </si>
  <si>
    <t>Comments</t>
  </si>
  <si>
    <t>LP</t>
  </si>
  <si>
    <t>Not Applicable</t>
  </si>
  <si>
    <t>Design Status</t>
  </si>
  <si>
    <t xml:space="preserve">Actual/Estimated </t>
  </si>
  <si>
    <t xml:space="preserve">Language </t>
  </si>
  <si>
    <t>Yes / No</t>
  </si>
  <si>
    <t>Cost Basis</t>
  </si>
  <si>
    <t>Design</t>
  </si>
  <si>
    <t>Site Plan</t>
  </si>
  <si>
    <t>Actual</t>
  </si>
  <si>
    <t>No Site Identified</t>
  </si>
  <si>
    <t>Estimate</t>
  </si>
  <si>
    <t xml:space="preserve">Pre-Procurement </t>
  </si>
  <si>
    <t>Site Identified Only</t>
  </si>
  <si>
    <t>Facility Condition</t>
  </si>
  <si>
    <t>Tender Issuance</t>
  </si>
  <si>
    <t>Site Under Option Agreement</t>
  </si>
  <si>
    <t>French Language Access</t>
  </si>
  <si>
    <t>Renovation</t>
  </si>
  <si>
    <t>Disposition</t>
  </si>
  <si>
    <t>Site Preparation</t>
  </si>
  <si>
    <t>Completion</t>
  </si>
  <si>
    <t>Cost Reconciliation</t>
  </si>
  <si>
    <t>Phase (List)</t>
  </si>
  <si>
    <t>Project Risks</t>
  </si>
  <si>
    <t xml:space="preserve">Risk Rating </t>
  </si>
  <si>
    <t>Mitigation Strategies</t>
  </si>
  <si>
    <t xml:space="preserve">Low </t>
  </si>
  <si>
    <t>Accept</t>
  </si>
  <si>
    <t>Medium</t>
  </si>
  <si>
    <t>Delay/Cost</t>
  </si>
  <si>
    <t>High</t>
  </si>
  <si>
    <t xml:space="preserve">Transfer </t>
  </si>
  <si>
    <t xml:space="preserve">Avoid </t>
  </si>
  <si>
    <t>Market Risk</t>
  </si>
  <si>
    <t>Governance Risk</t>
  </si>
  <si>
    <t>Organization/Project Management Risk</t>
  </si>
  <si>
    <t>Design Risk</t>
  </si>
  <si>
    <t>Procurement/Tender Risk</t>
  </si>
  <si>
    <t>Site Readiness/Enabling Works</t>
  </si>
  <si>
    <t>Permit, Licenses and Approvals</t>
  </si>
  <si>
    <t>Type of Design</t>
  </si>
  <si>
    <t xml:space="preserve">Construction Risk </t>
  </si>
  <si>
    <t xml:space="preserve">Testing and Commissioning </t>
  </si>
  <si>
    <t xml:space="preserve">Repeat </t>
  </si>
  <si>
    <t xml:space="preserve">Catalogue </t>
  </si>
  <si>
    <t>Longitude</t>
  </si>
  <si>
    <t>Sign Installed</t>
  </si>
  <si>
    <t>Funding - Site Acquisition</t>
  </si>
  <si>
    <t>Funding - Demolition</t>
  </si>
  <si>
    <t>Funding - All Other Associated Projects</t>
  </si>
  <si>
    <t>Estimated Cost - Land</t>
  </si>
  <si>
    <t>Estimated Cost - Demolition</t>
  </si>
  <si>
    <t>Estimated Cost - All Other Associated Projects</t>
  </si>
  <si>
    <t>Official School Name</t>
  </si>
  <si>
    <t>Record Status</t>
  </si>
  <si>
    <t>Estimated Cost - Construction Project</t>
  </si>
  <si>
    <t>Funding - Construction Project</t>
  </si>
  <si>
    <t>Meeting Minutes</t>
  </si>
  <si>
    <t>*((tbl*((monthly*((col*((project_id</t>
  </si>
  <si>
    <t>*((var*((date_meeting</t>
  </si>
  <si>
    <t>*((col*((project_type</t>
  </si>
  <si>
    <t>*((col*((project_category</t>
  </si>
  <si>
    <t>*((col*((record_status</t>
  </si>
  <si>
    <t>*((col*((construction_status*((formula*((down</t>
  </si>
  <si>
    <t>*((col*((site_status</t>
  </si>
  <si>
    <t>*((col*((date_space_template</t>
  </si>
  <si>
    <t>*((col*((design_status</t>
  </si>
  <si>
    <t>*((col*((date_pretender</t>
  </si>
  <si>
    <t>*((col*((date_cc_floorplan</t>
  </si>
  <si>
    <t>*((col*((date_building_permit</t>
  </si>
  <si>
    <t>*((col*((date_tender_issue</t>
  </si>
  <si>
    <t>*((col*((date_tender_closed</t>
  </si>
  <si>
    <t>*((col*((date_substantial_completion</t>
  </si>
  <si>
    <t>*((col*((date_opening</t>
  </si>
  <si>
    <t>*((col*((date_completion</t>
  </si>
  <si>
    <t>*((col*((funding_construction</t>
  </si>
  <si>
    <t>*((col*((funding_site</t>
  </si>
  <si>
    <t>*((col*((funding_demo</t>
  </si>
  <si>
    <t>*((col*((funding_other_projects</t>
  </si>
  <si>
    <t>*((col*((cost_basis</t>
  </si>
  <si>
    <t>*((col*((cost_estimate_construction</t>
  </si>
  <si>
    <t>*((col*((cost_estimate_land</t>
  </si>
  <si>
    <t>*((col*((cost_estimate_demo</t>
  </si>
  <si>
    <t>*((col*((cost_estimate_other_projects</t>
  </si>
  <si>
    <t>*((col*((meeting_minutes</t>
  </si>
  <si>
    <t>*((col*((project_name</t>
  </si>
  <si>
    <t>*((col*((date_site_purchase</t>
  </si>
  <si>
    <t>*((col*((date_site_plan_submission</t>
  </si>
  <si>
    <t>*((col*((date_opening_cc</t>
  </si>
  <si>
    <t>monthly_v2.0</t>
  </si>
  <si>
    <t>*((col*((date_construction</t>
  </si>
  <si>
    <t>Funding - All Associated Projects</t>
  </si>
  <si>
    <t>Site Purchased Prior to Capital Approval</t>
  </si>
  <si>
    <t>*((col*((funding_all*((formula*((down</t>
  </si>
  <si>
    <t>*((tbl*((basic_project_info*((col*((project_id</t>
  </si>
  <si>
    <t>*((col*((project_name_official</t>
  </si>
  <si>
    <t>*((col*((location_address</t>
  </si>
  <si>
    <t>*((col*((location_postal_code</t>
  </si>
  <si>
    <t>*((col*((location_longitude</t>
  </si>
  <si>
    <t>*((col*((sign_installed</t>
  </si>
  <si>
    <t>*((col*((date_opening_ceremony</t>
  </si>
  <si>
    <t>*((tbl*((pc*((col*((project_id</t>
  </si>
  <si>
    <t>Space Template Approved</t>
  </si>
  <si>
    <t>Site Plan Approved</t>
  </si>
  <si>
    <t>Pre-Tender Checkin</t>
  </si>
  <si>
    <t>Tender Approved</t>
  </si>
  <si>
    <t>Post-Tender Checkin</t>
  </si>
  <si>
    <t>Financial Close</t>
  </si>
  <si>
    <t>*((col*((date_site_plan_approved</t>
  </si>
  <si>
    <t>*((col*((date_tender</t>
  </si>
  <si>
    <t>*((col*((date_posttender</t>
  </si>
  <si>
    <t>*((col*((location_latitude</t>
  </si>
  <si>
    <t>Latitude</t>
  </si>
  <si>
    <t>*((col*((location_city</t>
  </si>
  <si>
    <t>Senior Buisness Official</t>
  </si>
  <si>
    <t>Primary Contact</t>
  </si>
  <si>
    <t>School Board Contact List</t>
  </si>
  <si>
    <t>Director of Education</t>
  </si>
  <si>
    <t>Finance Contact</t>
  </si>
  <si>
    <t>Construction/Project Management Contact</t>
  </si>
  <si>
    <t>*((tbl*((board_contacts*((col*((name</t>
  </si>
  <si>
    <t>*((col*((title</t>
  </si>
  <si>
    <t>*((col*((email</t>
  </si>
  <si>
    <t>*((col*((phone</t>
  </si>
  <si>
    <t>99-123</t>
  </si>
  <si>
    <t>Example Project</t>
  </si>
  <si>
    <t>*((col*((meeting_minutes_minus_1</t>
  </si>
  <si>
    <t>*((col*((meeting_minutes_minus_2</t>
  </si>
  <si>
    <t>*((col*((meeting_minutes_minus_3</t>
  </si>
  <si>
    <t>*((col*((meeting_minutes_minus_4</t>
  </si>
  <si>
    <t>*((col*((meeting_minutes_minus_5</t>
  </si>
  <si>
    <t>*((col*((meeting_minutes_minus_6</t>
  </si>
  <si>
    <t>*((col*((meeting_minutes_minus_7</t>
  </si>
  <si>
    <t>*((col*((meeting_minutes_minus_8</t>
  </si>
  <si>
    <t>*((col*((meeting_minutes_minus_9</t>
  </si>
  <si>
    <t>*((col*((meeting_minutes_minus_10</t>
  </si>
  <si>
    <t>*((col*((meeting_minutes_minus_11</t>
  </si>
  <si>
    <t>*((col*((meeting_minutes_minus_12</t>
  </si>
  <si>
    <t>*((col*((meeting_minutes_minus_13</t>
  </si>
  <si>
    <t>*((col*((meeting_minutes_minus_14</t>
  </si>
  <si>
    <t>*((col*((meeting_minutes_minus_15</t>
  </si>
  <si>
    <t>*((col*((meeting_minutes_minus_16</t>
  </si>
  <si>
    <t>*((col*((meeting_minutes_minus_17</t>
  </si>
  <si>
    <t>*((col*((meeting_minutes_minus_18</t>
  </si>
  <si>
    <t>*((col*((meeting_minutes_minus_19</t>
  </si>
  <si>
    <t>*((col*((meeting_minutes_minus_20</t>
  </si>
  <si>
    <t>*((col*((meeting_minutes_minus_21</t>
  </si>
  <si>
    <t>*((col*((meeting_minutes_minus_22</t>
  </si>
  <si>
    <t>*((col*((meeting_minutes_minus_23</t>
  </si>
  <si>
    <t>*((col*((meeting_minutes_minus_24</t>
  </si>
  <si>
    <t>*((table_end*((meeting_minutes_heading</t>
  </si>
  <si>
    <t>Constants</t>
  </si>
  <si>
    <t>Orange Date</t>
  </si>
  <si>
    <t>Red Date</t>
  </si>
  <si>
    <t>*((var*((board_number_name</t>
  </si>
  <si>
    <t>Basic Project Information</t>
  </si>
  <si>
    <t>*((var*((missing_data_count*((formula*((right</t>
  </si>
  <si>
    <t>cc_amount</t>
  </si>
  <si>
    <t>*((col*((site_ownership_formula*((formula*((down</t>
  </si>
  <si>
    <t>Role</t>
  </si>
  <si>
    <t>*((col*((role</t>
  </si>
  <si>
    <t>Project Commitments</t>
  </si>
  <si>
    <t>General Meeting Minutes:</t>
  </si>
  <si>
    <t>*((tbl*((meeting_minutes_general*((col*((meeting_minutes_general_minus_1</t>
  </si>
  <si>
    <t>*((var*((meeting_minutes_general_current</t>
  </si>
  <si>
    <t>Historical General Meeting Minutes
-------------&gt;</t>
  </si>
  <si>
    <t>Section 2: Project Commitment Progress</t>
  </si>
  <si>
    <t>Pre-Tender Package Complete</t>
  </si>
  <si>
    <t>CA Reviewed All Pre-Tender Documents</t>
  </si>
  <si>
    <t>Post-Tender Package Complete</t>
  </si>
  <si>
    <t>CA Reviewed All Post-Tender Documents</t>
  </si>
  <si>
    <t>*((col*((post_tender_complete</t>
  </si>
  <si>
    <t>*((col*((post_tender_documents_reviewed</t>
  </si>
  <si>
    <t>*((col*((pre_tender_documents_reviewed</t>
  </si>
  <si>
    <t>*((col*((pre_tender_complete</t>
  </si>
  <si>
    <t>Col 9</t>
  </si>
  <si>
    <t>Col 11</t>
  </si>
  <si>
    <t>Col 12</t>
  </si>
  <si>
    <t>*((col*((scope_cc_spaces_added</t>
  </si>
  <si>
    <t>Site Plan Approval Date Error Explanation</t>
  </si>
  <si>
    <t>Pre-Tender Submission Date</t>
  </si>
  <si>
    <t>Post-Tender Submission Date</t>
  </si>
  <si>
    <t>Pre-Tender Package Type</t>
  </si>
  <si>
    <t>Package Type</t>
  </si>
  <si>
    <t>Within Budget</t>
  </si>
  <si>
    <t>Additional Funding Required</t>
  </si>
  <si>
    <t>*((col*((pretender_package_type</t>
  </si>
  <si>
    <t>Not Yet Known</t>
  </si>
  <si>
    <t>Post-Tender Package Type</t>
  </si>
  <si>
    <t>*((col*((posttender_package_type</t>
  </si>
  <si>
    <t xml:space="preserve">Child Care Floorplan Approval Date </t>
  </si>
  <si>
    <t>Error Messages</t>
  </si>
  <si>
    <t>Contract Awarded Date</t>
  </si>
  <si>
    <t>Construction Start Date</t>
  </si>
  <si>
    <t>*((var*((error_count*((formula*((down</t>
  </si>
  <si>
    <t>Col 1</t>
  </si>
  <si>
    <t>Col 2</t>
  </si>
  <si>
    <t>Col 3</t>
  </si>
  <si>
    <t>Col 4</t>
  </si>
  <si>
    <t>Col 5</t>
  </si>
  <si>
    <t>Col 6</t>
  </si>
  <si>
    <t>Col 7</t>
  </si>
  <si>
    <t>Col 8</t>
  </si>
  <si>
    <t>Col 10</t>
  </si>
  <si>
    <t>Col 13</t>
  </si>
  <si>
    <t>Col 14</t>
  </si>
  <si>
    <t>Col 15</t>
  </si>
  <si>
    <t>Col 16</t>
  </si>
  <si>
    <t>Col 17</t>
  </si>
  <si>
    <t>Col 18</t>
  </si>
  <si>
    <t>Col 19</t>
  </si>
  <si>
    <t>Col 20</t>
  </si>
  <si>
    <t>Col 21</t>
  </si>
  <si>
    <t>Col 22</t>
  </si>
  <si>
    <t>Col 23</t>
  </si>
  <si>
    <t>Col 24</t>
  </si>
  <si>
    <t>Col 25</t>
  </si>
  <si>
    <t>Col 26</t>
  </si>
  <si>
    <t>Col 27</t>
  </si>
  <si>
    <t>Col 28</t>
  </si>
  <si>
    <t>Col 29</t>
  </si>
  <si>
    <t>Col 30</t>
  </si>
  <si>
    <t>Col 31</t>
  </si>
  <si>
    <t>Col 32</t>
  </si>
  <si>
    <t>Col 33</t>
  </si>
  <si>
    <t>Col 34</t>
  </si>
  <si>
    <t>Col 35</t>
  </si>
  <si>
    <t>Col 36</t>
  </si>
  <si>
    <t>Col 37</t>
  </si>
  <si>
    <t>Col 38</t>
  </si>
  <si>
    <t>Col 39</t>
  </si>
  <si>
    <t>Col 40</t>
  </si>
  <si>
    <t>Col 41</t>
  </si>
  <si>
    <t>Col 42</t>
  </si>
  <si>
    <t>Col 43</t>
  </si>
  <si>
    <t>Col 44</t>
  </si>
  <si>
    <t>Col 45</t>
  </si>
  <si>
    <t>Col 46</t>
  </si>
  <si>
    <t>Col 47</t>
  </si>
  <si>
    <t xml:space="preserve">Automatically generated and uneditable. </t>
  </si>
  <si>
    <t>Enter details about each project based on conversations with the school board.</t>
  </si>
  <si>
    <t>Automatically generated and uneditable. This field is calculated based on the dates provided to the right in this sheet. If the meeting date is after the opening date, the construction status is "Open"; if the meeting date is after the construction date, the status is "Under Construction". Otherwise the project status is "Planning".</t>
  </si>
  <si>
    <t>Use this dropdown to indicate whether the pretender budget is within existing funding or requires additional ministry funds.</t>
  </si>
  <si>
    <t>Use this dropdown to indicate whether the post-tender budget is within existing funding or requires additional ministry funds.</t>
  </si>
  <si>
    <t>This is a manual confirmation that the CA has completed their review of the post-tender package.</t>
  </si>
  <si>
    <t>This is a manual confirmation that the CA has completed their review of the pre-tender package.</t>
  </si>
  <si>
    <t>Use this dropdown to indicate the site status. Only use "Not Applicable" if the project is an addition/retrofit and does not require a site purchase.</t>
  </si>
  <si>
    <t>Use this dropdown to identify the progress on the project's designs.</t>
  </si>
  <si>
    <t>Financial Close-Out Date</t>
  </si>
  <si>
    <t>This field must be a date value. Provide the expected/actual site plan submission date.</t>
  </si>
  <si>
    <t>This field must be a date value. Provide the expected/actual initial site plan submission date.</t>
  </si>
  <si>
    <t>This field must be a date value. Enter the expected/actual date the board received a building permit for this project.</t>
  </si>
  <si>
    <t>This field must be a date value. Enter the expected/actual date the board opened the tender process.</t>
  </si>
  <si>
    <t>This field must be a date value. Enter the expected/actual date the board closed the tender process.</t>
  </si>
  <si>
    <t>Enter the estimated/actual cost of any land purchase associated with this project. Leave it blank if no land is needed for this project.</t>
  </si>
  <si>
    <t>Use this only if the project will be associated with a separate project ID assigned to a demolition project. This would only happen if the board is demolishing an entire building as part of the project.</t>
  </si>
  <si>
    <t>Automatically generated and uneditable. Project types potentially included in this tracker are: New Construction, Retrofit, Addition, and Purchase.</t>
  </si>
  <si>
    <t>Automatically generated and uneditable. This field identifies the need that is met by the project. Potential project categories that could be included on this tracker are: Accommodation Pressure, Child Care, Facility Condition, Consolidation, and French Language Access.</t>
  </si>
  <si>
    <t>This field must be a date value or blank. Indicate when the board will gain/gained ownership of the site or leave it blank if Site Ownership Status is "Not Applicable".</t>
  </si>
  <si>
    <t>This field must be a date value. Indicate expected/actual date of the space template approval.</t>
  </si>
  <si>
    <t>This field must be a date value or blank. Indicate the expected/actual date of the child care floorplan approval. Leave blank only if the project does not include child care.</t>
  </si>
  <si>
    <t>Initial Site Plan Submission Date</t>
  </si>
  <si>
    <r>
      <t xml:space="preserve">This is the estimated/actual </t>
    </r>
    <r>
      <rPr>
        <b/>
        <sz val="11"/>
        <color theme="1"/>
        <rFont val="Calibri"/>
        <family val="2"/>
        <scheme val="minor"/>
      </rPr>
      <t>submission date</t>
    </r>
    <r>
      <rPr>
        <sz val="11"/>
        <color theme="1"/>
        <rFont val="Calibri"/>
        <family val="2"/>
        <scheme val="minor"/>
      </rPr>
      <t xml:space="preserve"> for the pre-tender budget. This field must be a date value.</t>
    </r>
  </si>
  <si>
    <r>
      <t xml:space="preserve">This is the estimated/actual </t>
    </r>
    <r>
      <rPr>
        <b/>
        <sz val="11"/>
        <color theme="1"/>
        <rFont val="Calibri"/>
        <family val="2"/>
        <scheme val="minor"/>
      </rPr>
      <t>submission date</t>
    </r>
    <r>
      <rPr>
        <sz val="11"/>
        <color theme="1"/>
        <rFont val="Calibri"/>
        <family val="2"/>
        <scheme val="minor"/>
      </rPr>
      <t xml:space="preserve"> for the post-tender budget. This field must be a date value.</t>
    </r>
  </si>
  <si>
    <t xml:space="preserve">Section 3: Pre-Tender </t>
  </si>
  <si>
    <t>Purpose</t>
  </si>
  <si>
    <t>Board Contacts</t>
  </si>
  <si>
    <t>Monthly Update</t>
  </si>
  <si>
    <t>Basic Project Info</t>
  </si>
  <si>
    <t>Ad-Hoc or Potential Projects</t>
  </si>
  <si>
    <t>Project Commitment</t>
  </si>
  <si>
    <t>Section 4: Construction</t>
  </si>
  <si>
    <t>Section 5: Project Completion</t>
  </si>
  <si>
    <t>Section 6: Approved Project Funding</t>
  </si>
  <si>
    <t xml:space="preserve">Section 7: Projected Cost </t>
  </si>
  <si>
    <t>Section 8: Historical Meeting Minutes</t>
  </si>
  <si>
    <t>Section 2: Communications Issues</t>
  </si>
  <si>
    <t>Use this worksheet to enter data about potential projects that have not yet been approved or about ad-hoc, minor projects that don't show up on the Monthly Tracker sheet.</t>
  </si>
  <si>
    <t>Instructions</t>
  </si>
  <si>
    <t>During Meetings with the Board</t>
  </si>
  <si>
    <t>As Needed</t>
  </si>
  <si>
    <t>General Information &amp; Error Checking</t>
  </si>
  <si>
    <t>Overview of the Worksheets within the Project Tracker</t>
  </si>
  <si>
    <t>Within-Budget Acknowledgement Process</t>
  </si>
  <si>
    <t>Analyst Checks</t>
  </si>
  <si>
    <t>Record Keeping</t>
  </si>
  <si>
    <t>Project Tracker - Instructions</t>
  </si>
  <si>
    <t>This field must be a date value. Enter the expected/actual date the board awards the contract to the successful bid.</t>
  </si>
  <si>
    <t>Enter the postal code of the school. If the it's not yet known, leave it blank.</t>
  </si>
  <si>
    <t>Enter the address for the school. If it's not yet known, leave it blank.</t>
  </si>
  <si>
    <t>Enter the longitude of the school. This information should be updated once the site has been purchased.</t>
  </si>
  <si>
    <t>Enter the latitude of the school. This information should be updated once the site has been purchased.</t>
  </si>
  <si>
    <t>Indicate whether the board has installed a sign on the project site.</t>
  </si>
  <si>
    <t>Yes</t>
  </si>
  <si>
    <t>No</t>
  </si>
  <si>
    <t>No Site Purchased</t>
  </si>
  <si>
    <t>The Project Tracker is a tool for capital analysts to capture information about each board's projects. This data provides a line of sight into project progress and details that is critical to both analysts, other folks within the branch, and management. The data gathered here facilitates project accountability and oversight of project milestones and finances.</t>
  </si>
  <si>
    <t>When analysts meet with their board to discuss projects, you should use this tool to guide your meetings and capture information. Make sure you update the meeting date on the Monthly Tracker worksheet. You'll notice that this sheet has conditional formatting that greys out the sheet when the meeting date is not set to the current day. This is done so you have a visual reminder to update this date before you talk with your boards.
Taking comprehensive minutes is especially important part of your meetings with the boards. The template provides space for you to enter project-specific minutes, as well as a section for minuting any more general information discussed that might not fall under one specific project. The data is scraped regularly and then the template is regenerated with updated information. During this process, minutes are archived and relocated to the far-left side of the template (column BD), sorted with the most recent minutes closest to the left.</t>
  </si>
  <si>
    <t>If you need to update information at any time other than during a meeting with the board, you are free to do so and the revised information will be captured the next time the data team extracts data from worksheet. Do NOT change the meeting date during any such ad-hoc updates. You should only change the meeting dates when you actually meet with the school board.</t>
  </si>
  <si>
    <t>As mentioned above, the Monthly Update worksheet contains conditional formatting that incentivizes you not to forget to enter a meeting date when you talk with the school board. You will notice that once the meeting date is has passed (i.e., it is something other than the current date), the whole sheet goes grey. This provides a visual cue for you to update the date prior to meeting with your board.
The sheet also contains some automatic error checking. Cells contain errors when they are highlighted in purple. To determine the reason for the error, scroll over to columns CY to ES. This section contains the same columns as the main table; cells in this table will only contains text if there is an error. That text will describe the cause of the error in the corresponding cell in the main table.</t>
  </si>
  <si>
    <t>Confirm that the board has submitted all necessary documentation:
•Class A/B cost estimate
•Revised CPBF form that reflects the Class A/B cost estimate.
•80% design drawings that align with the cost estimate and approved space template.
•Child care floor plan approval letter (if applicable).
Ensure that all documents are saved in the appropriate folder on the Share Drive.
Once you have checked and confirmed all documents, send an email to the board acknowledging receipt of the pre/post tender package.</t>
  </si>
  <si>
    <t>Use this worksheet to enter the contact information for your boards. This is a central location for Capital Analysts to store this information, as well as a place where management and other analysts can go if they need this information. This is important to support coverage for analysts who are absent.</t>
  </si>
  <si>
    <t>Use this tab to memorialize meetings with the school boards. See instructions above and glossary below for more information.</t>
  </si>
  <si>
    <t>This sheet is for your reference only. It is not editable. It provides information about the current project commitment for the projects for this board.</t>
  </si>
  <si>
    <t>Glossary - Monthly Update Tab</t>
  </si>
  <si>
    <t>Glossary - Basic Project Info Tab</t>
  </si>
  <si>
    <t>Automatically generated and uneditable. This is the name assigned to the project when it is first approved. It cannot be changed and is constant throughout the project's lifecycle.</t>
  </si>
  <si>
    <t>Use this field to enter the city/town where the project is located. This should be known at the time of project approval and be pre-populated on the template. Therefore, this field can be left unedited except for very rare circumstances.</t>
  </si>
  <si>
    <t>This drop-down determines which projects will be removed from your trackers. If you want to remove a project, you must identify whether it has been completed or cancelled. The default is for projects to remain on the tracker. When projects are removed from the tracker, it triggers an email notification to your manager and director.</t>
  </si>
  <si>
    <t>This field must be a date value. Enter the expected/actual date that construction work will actually begin on the school site. This date must follow all tender dates and the contract awarded date.</t>
  </si>
  <si>
    <t>Use the drop-down to indicate how the board determined the cost estimate.</t>
  </si>
  <si>
    <t>Enter the board's estimate of the total cost of the construction project. This includes the cost of the school portion, child care portion, site costs, and any other portion not captured in columns 45 to 47</t>
  </si>
  <si>
    <t>Use this only in the rare circumstance where there is/will be any other project ID(s) associated with this project.</t>
  </si>
  <si>
    <t>Project Tracker Glossary</t>
  </si>
  <si>
    <t>Use this worksheet to enter the official school name, the school's location information, sign installation information, and the opening ceremony date. See below for a glossary, defining what should be entered in each column.</t>
  </si>
  <si>
    <t>Use this field to update the official school name that will be used after the school is open. Please use the complete name and do not use abbreviations (e.g. use "Example Public School" instead of "Example" or "Example P.S.". If this project is an addition, this field can be completed as soon as the project is approved.</t>
  </si>
  <si>
    <t>Use this once the project approaches completion if the board plans an opening ceremony. Otherwise, leave this blank.</t>
  </si>
  <si>
    <t>Automatically generated and uneditable. Each project is assigned a unique ID for tracking throughout its lifecycle. The ID displayed here is the ID for the construction portion of the project.</t>
  </si>
  <si>
    <t>Automatically generated and uneditable. This is the name assigned to the project when it is first approved. It cannot be changed and is constant throughout the project's lifecycle. The official name of the school can be modified on the Basic Project Info tab.</t>
  </si>
  <si>
    <t>Automatically generated and uneditable. This indicates whether we have a record of the pre-tender budget in our data system and, if so, the date of the approval (for packages approved by the minister) or notification (for within-budget acknowledgments).</t>
  </si>
  <si>
    <t>Automatically generated and uneditable. This indicates whether we have a record of the post-tender budget in our data system and, if so, the date of the approval (for packages approved by the minister) or notification (for within-budget acknowledgments).</t>
  </si>
  <si>
    <t>This field must be a date value. Enter the expected/actual date the project will be substantially complete - that is, the project is complete up to the point that it can be utilized for its intended purpose. Under all but very rare circumstances this date will precede the opening date.</t>
  </si>
  <si>
    <t>This field must be a date value. Enter the expected/actual date the school portion of the project will be open (i.e., the date when kids will be in new seats).</t>
  </si>
  <si>
    <t>This field must be a date value or blank. Enter the expected/actual date the child care portion of the project will be open (when will the center be taking care of children?). This must be completed unless the project does not include child care.</t>
  </si>
  <si>
    <t>This field must be a date value. Enter the expected/actual date of financial close out for the project. At this point, all construction is complete, all deficiencies have been addressed and the financial close-out form has been submitted for final budget/cost reconciliation. This is generally 12-18 months after the opening date.</t>
  </si>
  <si>
    <t>Create a folder in the following directory:
\\csc.ad.gov.on.ca\dfs$\GrpData\CBSD\CAPITAL\STRATEGY\Operations\BOARDS\^Project Commitment\Pre &amp; Post Tender Check-In
•The folder should be named using the following naming format:
project id # YYYY-MM-DD
Example: 12-123 # 2025-12-30
•The date in the folder name should be the date of the email acknowledging receipt of the documents and confirming the board can proceed.
•Save the following in the folder you created above:
     o The CPBF form that reflects the pre-tender/post-tender budget.
     o The email to the school board (sent within 7 days of the board’s submission) confirming all documents have been submitted and that the ministry has no concerns with the board proceeding to tender/awarding the contract.</t>
  </si>
  <si>
    <t>Based on estimate of $/sq ft</t>
  </si>
  <si>
    <t>Based on repeat design</t>
  </si>
  <si>
    <t>Based on Class C or lower Cost Report</t>
  </si>
  <si>
    <t>Based on Class A or B Cost Report</t>
  </si>
  <si>
    <t>Based on Tender Results</t>
  </si>
  <si>
    <t>Monthly Project Updates - Error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</si>
</sst>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00_);_(* \(#,##0.00\);_(* &quot;-&quot;??_);_(@_)"/>
    <numFmt numFmtId="165" formatCode="mmm\-yyyy"/>
    <numFmt numFmtId="166" formatCode="_-* #,##0_-;\-* #,##0_-;_-* &quot;-&quot;??_-;_-@_-"/>
    <numFmt numFmtId="167" formatCode="[$-F800]dddd\,\ mmmm\ dd\,\ yyyy"/>
    <numFmt numFmtId="168" formatCode="_-&quot;$&quot;* #,##0_-;\-&quot;$&quot;* #,##0_-;_-&quot;$&quot;* &quot;-&quot;??_-;_-@_-"/>
  </numFmts>
  <fonts count="38" x14ac:knownFonts="1">
    <font>
      <sz val="11"/>
      <color theme="1"/>
      <name val="Calibri"/>
      <family val="2"/>
      <scheme val="minor"/>
    </font>
    <font>
      <sz val="16"/>
      <name val="Arial Nova Cond Light"/>
      <family val="2"/>
    </font>
    <font>
      <b/>
      <sz val="16"/>
      <name val="Arial Nova Cond Light"/>
      <family val="2"/>
    </font>
    <font>
      <b/>
      <sz val="11"/>
      <name val="Arial Nova Cond Light"/>
      <family val="2"/>
    </font>
    <font>
      <b/>
      <sz val="11"/>
      <color theme="1"/>
      <name val="Arial Nova Cond Light"/>
      <family val="2"/>
    </font>
    <font>
      <sz val="11"/>
      <color theme="1"/>
      <name val="Arial Nova Cond Light"/>
      <family val="2"/>
    </font>
    <font>
      <sz val="11"/>
      <name val="Arial Nova Cond Light"/>
      <family val="2"/>
    </font>
    <font>
      <b/>
      <sz val="11"/>
      <color theme="0"/>
      <name val="Arial Nova Cond Light"/>
      <family val="2"/>
    </font>
    <font>
      <sz val="11"/>
      <color theme="1"/>
      <name val="Calibri"/>
      <family val="2"/>
      <scheme val="minor"/>
    </font>
    <font>
      <b/>
      <sz val="11"/>
      <color theme="1"/>
      <name val="Calibri"/>
      <family val="2"/>
      <scheme val="minor"/>
    </font>
    <font>
      <sz val="12"/>
      <color theme="1"/>
      <name val="Arial"/>
      <family val="2"/>
    </font>
    <font>
      <b/>
      <sz val="12"/>
      <color theme="1"/>
      <name val="Arial Nova Cond Light"/>
      <family val="2"/>
    </font>
    <font>
      <b/>
      <sz val="14"/>
      <color theme="1"/>
      <name val="Arial Nova Cond Light"/>
      <family val="2"/>
    </font>
    <font>
      <sz val="14"/>
      <color theme="1"/>
      <name val="Arial Nova Cond Light"/>
      <family val="2"/>
    </font>
    <font>
      <b/>
      <sz val="20"/>
      <name val="Arial Nova Cond Light"/>
      <family val="2"/>
    </font>
    <font>
      <b/>
      <sz val="11"/>
      <color theme="1" tint="0.34998626667073579"/>
      <name val="Arial Nova Cond Light"/>
      <family val="2"/>
    </font>
    <font>
      <sz val="18"/>
      <name val="Arial Nova Cond Light"/>
      <family val="2"/>
    </font>
    <font>
      <sz val="8"/>
      <name val="Calibri"/>
      <family val="2"/>
      <scheme val="minor"/>
    </font>
    <font>
      <b/>
      <sz val="18"/>
      <name val="Arial"/>
      <family val="2"/>
    </font>
    <font>
      <sz val="10"/>
      <name val="Arial"/>
      <family val="2"/>
    </font>
    <font>
      <sz val="11"/>
      <name val="Calibri"/>
      <family val="2"/>
      <scheme val="minor"/>
    </font>
    <font>
      <b/>
      <sz val="18"/>
      <name val="Arial Nova Cond Light"/>
      <family val="2"/>
    </font>
    <font>
      <b/>
      <u/>
      <sz val="11"/>
      <color theme="1"/>
      <name val="Calibri"/>
      <family val="2"/>
      <scheme val="minor"/>
    </font>
    <font>
      <b/>
      <sz val="22"/>
      <color rgb="FFFF0000"/>
      <name val="Arial Nova Cond Light"/>
      <family val="2"/>
    </font>
    <font>
      <b/>
      <sz val="24"/>
      <name val="Arial Nova Cond Light"/>
      <family val="2"/>
    </font>
    <font>
      <sz val="12"/>
      <color rgb="FFFF0000"/>
      <name val="Arial Nova Cond Light"/>
      <family val="2"/>
    </font>
    <font>
      <sz val="16"/>
      <color theme="0"/>
      <name val="Arial Nova Cond Light"/>
      <family val="2"/>
    </font>
    <font>
      <sz val="12"/>
      <color theme="0"/>
      <name val="Arial Nova Cond Light"/>
      <family val="2"/>
    </font>
    <font>
      <sz val="14"/>
      <name val="Arial Nova Cond Light"/>
      <family val="2"/>
    </font>
    <font>
      <sz val="11"/>
      <color theme="0"/>
      <name val="Calibri"/>
      <family val="2"/>
      <scheme val="minor"/>
    </font>
    <font>
      <b/>
      <sz val="11"/>
      <name val="Calibri"/>
      <family val="2"/>
      <scheme val="minor"/>
    </font>
    <font>
      <b/>
      <sz val="28"/>
      <color theme="1"/>
      <name val="Calibri"/>
      <family val="2"/>
      <scheme val="minor"/>
    </font>
    <font>
      <b/>
      <sz val="22"/>
      <name val="Arial Nova Cond Light"/>
      <family val="2"/>
    </font>
    <font>
      <b/>
      <sz val="12"/>
      <name val="Arial Nova Cond Light"/>
      <family val="2"/>
    </font>
    <font>
      <b/>
      <sz val="18"/>
      <color rgb="FFFF0000"/>
      <name val="Arial Nova Cond Light"/>
      <family val="2"/>
    </font>
    <font>
      <sz val="11"/>
      <color theme="0"/>
      <name val="Arial Nova Cond Light"/>
      <family val="2"/>
    </font>
    <font>
      <b/>
      <u/>
      <sz val="24"/>
      <name val="Arial Nova Cond Light"/>
      <family val="2"/>
    </font>
    <font>
      <b/>
      <u/>
      <sz val="18"/>
      <name val="Arial Nova Cond Light"/>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49">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ck">
        <color auto="1"/>
      </left>
      <right/>
      <top/>
      <bottom/>
      <diagonal/>
    </border>
    <border>
      <left style="medium">
        <color indexed="64"/>
      </left>
      <right/>
      <top/>
      <bottom/>
      <diagonal/>
    </border>
    <border>
      <left/>
      <right/>
      <top style="thin">
        <color indexed="64"/>
      </top>
      <bottom/>
      <diagonal/>
    </border>
    <border>
      <left/>
      <right/>
      <top style="thin">
        <color indexed="64"/>
      </top>
      <bottom style="thin">
        <color indexed="64"/>
      </bottom>
      <diagonal/>
    </border>
    <border>
      <left style="thick">
        <color auto="1"/>
      </left>
      <right style="thin">
        <color indexed="64"/>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style="thin">
        <color indexed="64"/>
      </top>
      <bottom/>
      <diagonal/>
    </border>
    <border>
      <left style="thick">
        <color auto="1"/>
      </left>
      <right/>
      <top style="medium">
        <color indexed="64"/>
      </top>
      <bottom style="medium">
        <color indexed="64"/>
      </bottom>
      <diagonal/>
    </border>
    <border>
      <left style="thick">
        <color auto="1"/>
      </left>
      <right style="medium">
        <color indexed="64"/>
      </right>
      <top/>
      <bottom/>
      <diagonal/>
    </border>
    <border>
      <left style="thick">
        <color indexed="64"/>
      </left>
      <right/>
      <top style="medium">
        <color indexed="64"/>
      </top>
      <bottom/>
      <diagonal/>
    </border>
    <border>
      <left/>
      <right style="thick">
        <color auto="1"/>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43" fontId="8" fillId="0" borderId="0" applyFont="0" applyFill="0" applyBorder="0" applyAlignment="0" applyProtection="0"/>
    <xf numFmtId="9" fontId="8" fillId="0" borderId="0" applyFont="0" applyFill="0" applyBorder="0" applyAlignment="0" applyProtection="0"/>
    <xf numFmtId="0" fontId="10" fillId="0" borderId="0"/>
    <xf numFmtId="164" fontId="8" fillId="0" borderId="0" applyFont="0" applyFill="0" applyBorder="0" applyAlignment="0" applyProtection="0"/>
    <xf numFmtId="44" fontId="8" fillId="0" borderId="0" applyFont="0" applyFill="0" applyBorder="0" applyAlignment="0" applyProtection="0"/>
    <xf numFmtId="0" fontId="19"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cellStyleXfs>
  <cellXfs count="349">
    <xf numFmtId="0" fontId="0" fillId="0" borderId="0" xfId="0"/>
    <xf numFmtId="0" fontId="6" fillId="0" borderId="0" xfId="0" applyFont="1" applyAlignment="1">
      <alignment horizontal="center" vertical="center"/>
    </xf>
    <xf numFmtId="0" fontId="5" fillId="2" borderId="0" xfId="0" applyFont="1" applyFill="1" applyAlignment="1">
      <alignment horizontal="center" vertical="center"/>
    </xf>
    <xf numFmtId="0" fontId="5" fillId="3" borderId="1" xfId="0" applyFont="1" applyFill="1" applyBorder="1" applyAlignment="1">
      <alignment horizontal="center" vertical="center"/>
    </xf>
    <xf numFmtId="0" fontId="9" fillId="0" borderId="0" xfId="0" applyFont="1"/>
    <xf numFmtId="0" fontId="0" fillId="0" borderId="0" xfId="0" applyAlignment="1">
      <alignment horizontal="left" vertical="center"/>
    </xf>
    <xf numFmtId="0" fontId="0" fillId="0" borderId="0" xfId="0" applyAlignment="1">
      <alignment vertical="center"/>
    </xf>
    <xf numFmtId="0" fontId="5" fillId="2" borderId="7"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13" xfId="0" applyFont="1" applyFill="1" applyBorder="1" applyAlignment="1">
      <alignment horizontal="center" vertical="top" wrapText="1"/>
    </xf>
    <xf numFmtId="0" fontId="15" fillId="4" borderId="1"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4" xfId="0" applyFont="1" applyFill="1" applyBorder="1" applyAlignment="1">
      <alignment horizontal="center" vertical="center"/>
    </xf>
    <xf numFmtId="165" fontId="5" fillId="3" borderId="7" xfId="0" applyNumberFormat="1" applyFont="1" applyFill="1" applyBorder="1" applyAlignment="1">
      <alignment horizontal="center" vertical="top" wrapText="1"/>
    </xf>
    <xf numFmtId="0" fontId="15" fillId="4" borderId="8" xfId="0" applyFont="1" applyFill="1" applyBorder="1" applyAlignment="1" applyProtection="1">
      <alignment horizontal="center" vertical="center"/>
      <protection locked="0"/>
    </xf>
    <xf numFmtId="0" fontId="15" fillId="4" borderId="14"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14" fontId="9" fillId="0" borderId="0" xfId="0" applyNumberFormat="1" applyFont="1"/>
    <xf numFmtId="0" fontId="9" fillId="0" borderId="0" xfId="0" applyFont="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5" fillId="2" borderId="1" xfId="0" applyFont="1" applyFill="1" applyBorder="1" applyAlignment="1">
      <alignment horizontal="center" vertical="center"/>
    </xf>
    <xf numFmtId="3" fontId="3" fillId="3" borderId="12"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3" borderId="11" xfId="0" applyFont="1" applyFill="1" applyBorder="1" applyAlignment="1" applyProtection="1">
      <alignment horizontal="center" vertical="center" wrapText="1"/>
      <protection locked="0"/>
    </xf>
    <xf numFmtId="0" fontId="4" fillId="3" borderId="11" xfId="0" applyFont="1" applyFill="1" applyBorder="1" applyAlignment="1">
      <alignment horizontal="center" vertical="center" wrapText="1"/>
    </xf>
    <xf numFmtId="167" fontId="0" fillId="0" borderId="0" xfId="0" applyNumberFormat="1"/>
    <xf numFmtId="0" fontId="0" fillId="0" borderId="0" xfId="0" applyAlignment="1">
      <alignment horizontal="center" vertical="center"/>
    </xf>
    <xf numFmtId="166" fontId="5" fillId="2" borderId="13" xfId="1" applyNumberFormat="1" applyFont="1" applyFill="1" applyBorder="1" applyAlignment="1" applyProtection="1">
      <alignment horizontal="center" vertical="top" wrapText="1"/>
      <protection locked="0"/>
    </xf>
    <xf numFmtId="49" fontId="5" fillId="2" borderId="2" xfId="2" applyNumberFormat="1" applyFont="1" applyFill="1" applyBorder="1" applyAlignment="1" applyProtection="1">
      <alignment horizontal="center" vertical="top" wrapText="1"/>
    </xf>
    <xf numFmtId="165" fontId="5" fillId="3" borderId="2" xfId="0" applyNumberFormat="1" applyFont="1" applyFill="1" applyBorder="1" applyAlignment="1">
      <alignment horizontal="center" vertical="top" wrapText="1"/>
    </xf>
    <xf numFmtId="0" fontId="7" fillId="4" borderId="6" xfId="0" applyFont="1" applyFill="1" applyBorder="1" applyAlignment="1">
      <alignment horizontal="center" vertical="center"/>
    </xf>
    <xf numFmtId="0" fontId="4" fillId="3" borderId="2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pplyProtection="1">
      <alignment horizontal="center" vertical="center" wrapText="1"/>
      <protection locked="0"/>
    </xf>
    <xf numFmtId="3" fontId="3" fillId="3"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0" fillId="5" borderId="0" xfId="0" applyFill="1"/>
    <xf numFmtId="0" fontId="18" fillId="0" borderId="0" xfId="0" applyFont="1"/>
    <xf numFmtId="0" fontId="0" fillId="0" borderId="0" xfId="0" applyAlignment="1">
      <alignment wrapText="1"/>
    </xf>
    <xf numFmtId="0" fontId="19" fillId="0" borderId="0" xfId="0" applyFont="1"/>
    <xf numFmtId="0" fontId="4" fillId="3" borderId="2" xfId="0" applyFont="1" applyFill="1" applyBorder="1" applyAlignment="1">
      <alignment horizontal="center" vertical="center"/>
    </xf>
    <xf numFmtId="0" fontId="4" fillId="3" borderId="29" xfId="0" applyFont="1" applyFill="1" applyBorder="1" applyAlignment="1">
      <alignment horizontal="center" vertical="center" wrapText="1"/>
    </xf>
    <xf numFmtId="0" fontId="22" fillId="0" borderId="0" xfId="0" applyFont="1" applyAlignment="1">
      <alignment vertical="center"/>
    </xf>
    <xf numFmtId="0" fontId="14" fillId="2" borderId="0" xfId="0" applyFont="1" applyFill="1" applyAlignment="1">
      <alignment horizontal="center" vertical="top"/>
    </xf>
    <xf numFmtId="0" fontId="5" fillId="3" borderId="2" xfId="0" applyFont="1" applyFill="1" applyBorder="1" applyAlignment="1">
      <alignment horizontal="center" vertical="top" wrapText="1"/>
    </xf>
    <xf numFmtId="0" fontId="5" fillId="0" borderId="2" xfId="0" applyFont="1" applyFill="1" applyBorder="1" applyAlignment="1">
      <alignment horizontal="center" vertical="top" wrapText="1"/>
    </xf>
    <xf numFmtId="0" fontId="5" fillId="0" borderId="13" xfId="0" applyFont="1" applyFill="1" applyBorder="1" applyAlignment="1">
      <alignment horizontal="center" vertical="top" wrapText="1"/>
    </xf>
    <xf numFmtId="168" fontId="5" fillId="3" borderId="2" xfId="5" applyNumberFormat="1" applyFont="1" applyFill="1" applyBorder="1" applyAlignment="1" applyProtection="1">
      <alignment horizontal="center" vertical="top" wrapText="1"/>
      <protection locked="0"/>
    </xf>
    <xf numFmtId="0" fontId="14" fillId="2" borderId="0" xfId="0" applyFont="1" applyFill="1" applyAlignment="1">
      <alignment horizontal="center" vertical="top"/>
    </xf>
    <xf numFmtId="0" fontId="12" fillId="3" borderId="4" xfId="0" applyFont="1" applyFill="1" applyBorder="1" applyAlignment="1">
      <alignment horizontal="left" vertical="center"/>
    </xf>
    <xf numFmtId="0" fontId="0" fillId="0" borderId="0" xfId="0" applyAlignment="1">
      <alignment horizontal="center"/>
    </xf>
    <xf numFmtId="0" fontId="14" fillId="2" borderId="0" xfId="0" applyFont="1" applyFill="1" applyAlignment="1">
      <alignment horizontal="center" vertical="top"/>
    </xf>
    <xf numFmtId="0" fontId="12" fillId="3" borderId="18" xfId="0" applyFont="1" applyFill="1" applyBorder="1" applyAlignment="1">
      <alignment horizontal="left" vertical="center"/>
    </xf>
    <xf numFmtId="0" fontId="12" fillId="3" borderId="20" xfId="0" applyFont="1" applyFill="1" applyBorder="1" applyAlignment="1">
      <alignment horizontal="left" vertical="center"/>
    </xf>
    <xf numFmtId="165" fontId="5" fillId="3" borderId="7" xfId="0" applyNumberFormat="1" applyFont="1" applyFill="1" applyBorder="1" applyAlignment="1" applyProtection="1">
      <alignment horizontal="center" vertical="top" wrapText="1"/>
    </xf>
    <xf numFmtId="0" fontId="5" fillId="0" borderId="2" xfId="0" applyFont="1" applyFill="1" applyBorder="1" applyAlignment="1" applyProtection="1">
      <alignment horizontal="center" vertical="top" wrapText="1"/>
      <protection locked="0"/>
    </xf>
    <xf numFmtId="0" fontId="12" fillId="8" borderId="18" xfId="0" applyFont="1" applyFill="1" applyBorder="1" applyAlignment="1">
      <alignment vertical="center"/>
    </xf>
    <xf numFmtId="0" fontId="12" fillId="8" borderId="20" xfId="0" applyFont="1" applyFill="1" applyBorder="1" applyAlignment="1">
      <alignment vertical="center"/>
    </xf>
    <xf numFmtId="0" fontId="12" fillId="8" borderId="19" xfId="0" applyFont="1" applyFill="1" applyBorder="1" applyAlignment="1">
      <alignment vertical="center"/>
    </xf>
    <xf numFmtId="0" fontId="12" fillId="3" borderId="4" xfId="0" applyFont="1" applyFill="1" applyBorder="1" applyAlignment="1">
      <alignment horizontal="left" vertical="center"/>
    </xf>
    <xf numFmtId="0" fontId="4" fillId="3" borderId="2" xfId="0" applyFont="1" applyFill="1" applyBorder="1" applyAlignment="1">
      <alignment horizontal="left" vertical="center" wrapText="1"/>
    </xf>
    <xf numFmtId="0" fontId="14" fillId="2" borderId="0" xfId="0" applyFont="1" applyFill="1" applyAlignment="1">
      <alignment vertical="top"/>
    </xf>
    <xf numFmtId="0" fontId="12" fillId="3" borderId="20" xfId="0" applyFont="1" applyFill="1" applyBorder="1" applyAlignment="1">
      <alignment vertical="center"/>
    </xf>
    <xf numFmtId="2" fontId="0" fillId="0" borderId="0" xfId="0" applyNumberFormat="1"/>
    <xf numFmtId="0" fontId="16" fillId="9" borderId="31" xfId="0" applyFont="1" applyFill="1" applyBorder="1" applyAlignment="1">
      <alignment vertical="top"/>
    </xf>
    <xf numFmtId="0" fontId="16" fillId="9" borderId="0" xfId="0" applyFont="1" applyFill="1" applyBorder="1" applyAlignment="1">
      <alignment vertical="top"/>
    </xf>
    <xf numFmtId="0" fontId="24" fillId="2" borderId="0" xfId="0" applyFont="1" applyFill="1" applyAlignment="1">
      <alignment vertical="top"/>
    </xf>
    <xf numFmtId="0" fontId="0" fillId="0" borderId="0" xfId="0" applyProtection="1">
      <protection locked="0"/>
    </xf>
    <xf numFmtId="0" fontId="25" fillId="2" borderId="0" xfId="0" applyFont="1" applyFill="1" applyAlignment="1">
      <alignment horizontal="center" vertical="center" wrapText="1"/>
    </xf>
    <xf numFmtId="0" fontId="26" fillId="2" borderId="0" xfId="0" applyFont="1" applyFill="1" applyAlignment="1">
      <alignment horizontal="center" vertical="center"/>
    </xf>
    <xf numFmtId="165" fontId="5" fillId="0" borderId="7" xfId="0" applyNumberFormat="1" applyFont="1" applyFill="1" applyBorder="1" applyAlignment="1">
      <alignment horizontal="center" vertical="top" wrapText="1"/>
    </xf>
    <xf numFmtId="165" fontId="5" fillId="0" borderId="2" xfId="0" applyNumberFormat="1" applyFont="1" applyFill="1" applyBorder="1" applyAlignment="1">
      <alignment horizontal="center" vertical="top" wrapText="1"/>
    </xf>
    <xf numFmtId="0" fontId="0" fillId="0" borderId="0" xfId="0" applyFill="1"/>
    <xf numFmtId="0" fontId="27" fillId="2" borderId="0" xfId="0" applyFont="1" applyFill="1" applyAlignment="1">
      <alignment horizontal="center" vertical="center" wrapText="1"/>
    </xf>
    <xf numFmtId="0" fontId="5" fillId="0" borderId="2" xfId="0" applyFont="1" applyFill="1" applyBorder="1" applyAlignment="1" applyProtection="1">
      <alignment horizontal="left" vertical="top" wrapText="1"/>
      <protection locked="0"/>
    </xf>
    <xf numFmtId="0" fontId="25" fillId="0" borderId="0" xfId="0" applyFont="1" applyFill="1" applyAlignment="1">
      <alignment horizontal="center" vertical="center"/>
    </xf>
    <xf numFmtId="0" fontId="6" fillId="0" borderId="0" xfId="0" applyFont="1" applyFill="1" applyBorder="1" applyAlignment="1" applyProtection="1">
      <alignment horizontal="center" vertical="top" wrapText="1"/>
      <protection locked="0"/>
    </xf>
    <xf numFmtId="0" fontId="7" fillId="4" borderId="32" xfId="0" applyFont="1" applyFill="1" applyBorder="1" applyAlignment="1">
      <alignment horizontal="center" vertical="center"/>
    </xf>
    <xf numFmtId="0" fontId="4" fillId="3" borderId="30" xfId="0" applyFont="1" applyFill="1" applyBorder="1" applyAlignment="1">
      <alignment horizontal="center" vertical="center"/>
    </xf>
    <xf numFmtId="0" fontId="5" fillId="3" borderId="32" xfId="0" applyFont="1" applyFill="1" applyBorder="1" applyAlignment="1">
      <alignment horizontal="center" vertical="center"/>
    </xf>
    <xf numFmtId="0" fontId="15" fillId="4" borderId="32" xfId="0" applyFont="1" applyFill="1" applyBorder="1" applyAlignment="1">
      <alignment horizontal="center" vertical="center"/>
    </xf>
    <xf numFmtId="49" fontId="5" fillId="2" borderId="30" xfId="2" applyNumberFormat="1" applyFont="1" applyFill="1" applyBorder="1" applyAlignment="1" applyProtection="1">
      <alignment horizontal="center" vertical="top" wrapText="1"/>
    </xf>
    <xf numFmtId="0" fontId="5" fillId="2" borderId="30" xfId="0" applyFont="1" applyFill="1" applyBorder="1" applyAlignment="1">
      <alignment horizontal="center" vertical="top" wrapText="1"/>
    </xf>
    <xf numFmtId="0" fontId="1" fillId="0" borderId="0" xfId="0" applyFont="1" applyFill="1" applyBorder="1" applyAlignment="1">
      <alignment horizontal="center" vertical="center"/>
    </xf>
    <xf numFmtId="0" fontId="20" fillId="0" borderId="0" xfId="0" applyFont="1" applyFill="1" applyBorder="1"/>
    <xf numFmtId="0" fontId="28" fillId="0" borderId="0" xfId="0" applyFont="1" applyFill="1" applyBorder="1" applyAlignment="1">
      <alignment horizontal="center" vertical="center"/>
    </xf>
    <xf numFmtId="0" fontId="6" fillId="0" borderId="0" xfId="0" applyFont="1" applyFill="1" applyBorder="1" applyAlignment="1">
      <alignment horizontal="center" vertical="center"/>
    </xf>
    <xf numFmtId="3" fontId="20" fillId="0" borderId="0" xfId="0" applyNumberFormat="1" applyFont="1" applyFill="1" applyBorder="1"/>
    <xf numFmtId="0" fontId="3" fillId="0" borderId="0" xfId="0" applyFont="1" applyFill="1" applyBorder="1" applyAlignment="1">
      <alignment horizontal="left" vertical="center"/>
    </xf>
    <xf numFmtId="0" fontId="5" fillId="3" borderId="2" xfId="0" applyFont="1" applyFill="1" applyBorder="1" applyAlignment="1" applyProtection="1">
      <alignment horizontal="left" vertical="top" wrapText="1"/>
    </xf>
    <xf numFmtId="167" fontId="11" fillId="0" borderId="0" xfId="0" applyNumberFormat="1" applyFont="1" applyFill="1" applyAlignment="1" applyProtection="1">
      <alignment horizontal="center" vertical="center"/>
      <protection locked="0"/>
    </xf>
    <xf numFmtId="168" fontId="5" fillId="0" borderId="2" xfId="5" applyNumberFormat="1" applyFont="1" applyFill="1" applyBorder="1" applyAlignment="1" applyProtection="1">
      <alignment horizontal="center" vertical="top" wrapText="1"/>
      <protection locked="0"/>
    </xf>
    <xf numFmtId="165" fontId="5" fillId="2" borderId="13" xfId="0" applyNumberFormat="1" applyFont="1" applyFill="1" applyBorder="1" applyAlignment="1">
      <alignment horizontal="center" vertical="top" wrapText="1"/>
    </xf>
    <xf numFmtId="166" fontId="5" fillId="0" borderId="2" xfId="1" applyNumberFormat="1" applyFont="1" applyFill="1" applyBorder="1" applyAlignment="1" applyProtection="1">
      <alignment horizontal="center" vertical="top" wrapText="1"/>
    </xf>
    <xf numFmtId="0" fontId="5"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applyAlignment="1">
      <alignment horizontal="center" vertical="center" wrapText="1"/>
    </xf>
    <xf numFmtId="3" fontId="9" fillId="0" borderId="0" xfId="0" applyNumberFormat="1" applyFont="1" applyAlignment="1">
      <alignment horizontal="center" vertical="center"/>
    </xf>
    <xf numFmtId="0" fontId="29" fillId="0" borderId="0" xfId="0" applyFont="1"/>
    <xf numFmtId="0" fontId="9" fillId="7" borderId="0" xfId="0" applyFont="1" applyFill="1" applyAlignment="1"/>
    <xf numFmtId="165" fontId="5" fillId="2" borderId="13" xfId="0" applyNumberFormat="1" applyFont="1" applyFill="1" applyBorder="1" applyAlignment="1" applyProtection="1">
      <alignment horizontal="center" vertical="top" wrapText="1"/>
      <protection locked="0"/>
    </xf>
    <xf numFmtId="0" fontId="5" fillId="0" borderId="2" xfId="0" applyFont="1" applyFill="1" applyBorder="1" applyAlignment="1" applyProtection="1">
      <alignment horizontal="center" vertical="top" wrapText="1"/>
    </xf>
    <xf numFmtId="0" fontId="5" fillId="0" borderId="30" xfId="0" applyFont="1" applyFill="1" applyBorder="1" applyAlignment="1" applyProtection="1">
      <alignment horizontal="center" vertical="top" wrapText="1"/>
    </xf>
    <xf numFmtId="0" fontId="23" fillId="2" borderId="0" xfId="0" applyFont="1" applyFill="1" applyBorder="1" applyAlignment="1">
      <alignment horizontal="left" vertical="center"/>
    </xf>
    <xf numFmtId="0" fontId="32" fillId="2" borderId="0" xfId="0" applyFont="1" applyFill="1" applyBorder="1" applyAlignment="1">
      <alignment horizontal="left" vertical="center"/>
    </xf>
    <xf numFmtId="0" fontId="5" fillId="0" borderId="2" xfId="0" applyFont="1" applyFill="1" applyBorder="1" applyAlignment="1" applyProtection="1">
      <alignment horizontal="left" vertical="center" wrapText="1"/>
      <protection locked="0"/>
    </xf>
    <xf numFmtId="0" fontId="3" fillId="3" borderId="0" xfId="0" applyFont="1" applyFill="1" applyBorder="1" applyAlignment="1">
      <alignment horizontal="center" vertical="center" wrapText="1"/>
    </xf>
    <xf numFmtId="165" fontId="5" fillId="0" borderId="13" xfId="0" applyNumberFormat="1" applyFont="1" applyFill="1" applyBorder="1" applyAlignment="1" applyProtection="1">
      <alignment horizontal="center" vertical="top" wrapText="1"/>
    </xf>
    <xf numFmtId="0" fontId="20" fillId="0" borderId="0" xfId="0" applyFont="1"/>
    <xf numFmtId="0" fontId="35" fillId="2" borderId="7" xfId="0" applyFont="1" applyFill="1" applyBorder="1" applyAlignment="1">
      <alignment horizontal="center" vertical="top" wrapText="1"/>
    </xf>
    <xf numFmtId="0" fontId="35" fillId="2" borderId="2" xfId="0" applyFont="1" applyFill="1" applyBorder="1" applyAlignment="1">
      <alignment horizontal="center" vertical="top" wrapText="1"/>
    </xf>
    <xf numFmtId="0" fontId="35" fillId="2" borderId="30" xfId="0" applyFont="1" applyFill="1" applyBorder="1" applyAlignment="1">
      <alignment horizontal="center" vertical="top" wrapText="1"/>
    </xf>
    <xf numFmtId="0" fontId="29" fillId="0" borderId="0" xfId="0" applyFont="1" applyFill="1" applyBorder="1"/>
    <xf numFmtId="0" fontId="12" fillId="3" borderId="4" xfId="0" applyFont="1" applyFill="1" applyBorder="1" applyAlignment="1">
      <alignment vertical="center"/>
    </xf>
    <xf numFmtId="3" fontId="3" fillId="3" borderId="0" xfId="0" applyNumberFormat="1" applyFont="1" applyFill="1" applyBorder="1" applyAlignment="1">
      <alignment horizontal="center" vertical="center" wrapText="1"/>
    </xf>
    <xf numFmtId="0" fontId="15" fillId="4" borderId="33" xfId="0" applyFont="1" applyFill="1" applyBorder="1" applyAlignment="1">
      <alignment horizontal="center" vertical="center"/>
    </xf>
    <xf numFmtId="165" fontId="5" fillId="2" borderId="34" xfId="0" applyNumberFormat="1" applyFont="1" applyFill="1" applyBorder="1" applyAlignment="1" applyProtection="1">
      <alignment horizontal="center" vertical="top" wrapText="1"/>
      <protection locked="0"/>
    </xf>
    <xf numFmtId="165" fontId="5" fillId="2" borderId="34" xfId="0" applyNumberFormat="1" applyFont="1" applyFill="1" applyBorder="1" applyAlignment="1">
      <alignment horizontal="center" vertical="top" wrapText="1"/>
    </xf>
    <xf numFmtId="0" fontId="1" fillId="2" borderId="31" xfId="0" applyFont="1" applyFill="1" applyBorder="1" applyAlignment="1">
      <alignment horizontal="center" vertical="center"/>
    </xf>
    <xf numFmtId="0" fontId="25" fillId="2" borderId="31" xfId="0" applyFont="1" applyFill="1" applyBorder="1" applyAlignment="1">
      <alignment horizontal="center" vertical="center" wrapText="1"/>
    </xf>
    <xf numFmtId="0" fontId="7" fillId="4" borderId="35" xfId="0" applyFont="1" applyFill="1" applyBorder="1" applyAlignment="1">
      <alignment horizontal="center" vertical="center"/>
    </xf>
    <xf numFmtId="0" fontId="4" fillId="3" borderId="35" xfId="0" applyFont="1" applyFill="1" applyBorder="1" applyAlignment="1">
      <alignment horizontal="center" vertical="center" wrapText="1"/>
    </xf>
    <xf numFmtId="3" fontId="3" fillId="3" borderId="35" xfId="0" applyNumberFormat="1" applyFont="1" applyFill="1" applyBorder="1" applyAlignment="1">
      <alignment horizontal="center" vertical="center" wrapText="1"/>
    </xf>
    <xf numFmtId="0" fontId="15" fillId="4" borderId="35" xfId="0" applyFont="1" applyFill="1" applyBorder="1" applyAlignment="1">
      <alignment horizontal="center" vertical="center"/>
    </xf>
    <xf numFmtId="0" fontId="5" fillId="2" borderId="35" xfId="0" applyFont="1" applyFill="1" applyBorder="1" applyAlignment="1">
      <alignment horizontal="center" vertical="top" wrapText="1"/>
    </xf>
    <xf numFmtId="0" fontId="5" fillId="2" borderId="31" xfId="0" applyFont="1" applyFill="1" applyBorder="1" applyAlignment="1">
      <alignment horizontal="center" vertical="center"/>
    </xf>
    <xf numFmtId="0" fontId="4" fillId="3" borderId="36" xfId="0" applyFont="1" applyFill="1" applyBorder="1" applyAlignment="1">
      <alignment horizontal="center" vertical="center" wrapText="1"/>
    </xf>
    <xf numFmtId="0" fontId="15" fillId="4" borderId="37" xfId="0" applyFont="1" applyFill="1" applyBorder="1" applyAlignment="1">
      <alignment horizontal="center" vertical="center"/>
    </xf>
    <xf numFmtId="165" fontId="5" fillId="2" borderId="36" xfId="0" applyNumberFormat="1" applyFont="1" applyFill="1" applyBorder="1" applyAlignment="1" applyProtection="1">
      <alignment horizontal="center" vertical="top" wrapText="1"/>
      <protection locked="0"/>
    </xf>
    <xf numFmtId="165" fontId="5" fillId="2" borderId="36" xfId="0" applyNumberFormat="1" applyFont="1" applyFill="1" applyBorder="1" applyAlignment="1">
      <alignment horizontal="center" vertical="top" wrapText="1"/>
    </xf>
    <xf numFmtId="0" fontId="5" fillId="2" borderId="36" xfId="0" applyFont="1" applyFill="1" applyBorder="1" applyAlignment="1">
      <alignment horizontal="center" vertical="top" wrapText="1"/>
    </xf>
    <xf numFmtId="0" fontId="35" fillId="2" borderId="36" xfId="0" applyFont="1" applyFill="1" applyBorder="1" applyAlignment="1">
      <alignment horizontal="center" vertical="top" wrapText="1"/>
    </xf>
    <xf numFmtId="0" fontId="4" fillId="3" borderId="30" xfId="0" applyFont="1" applyFill="1" applyBorder="1" applyAlignment="1" applyProtection="1">
      <alignment horizontal="center" vertical="center" wrapText="1"/>
      <protection locked="0"/>
    </xf>
    <xf numFmtId="0" fontId="15" fillId="4" borderId="33" xfId="0" applyFont="1" applyFill="1" applyBorder="1" applyAlignment="1" applyProtection="1">
      <alignment horizontal="center" vertical="center"/>
      <protection locked="0"/>
    </xf>
    <xf numFmtId="0" fontId="5" fillId="3" borderId="30" xfId="0" applyFont="1" applyFill="1" applyBorder="1" applyAlignment="1">
      <alignment horizontal="center" vertical="top" wrapText="1"/>
    </xf>
    <xf numFmtId="165" fontId="5" fillId="3" borderId="30" xfId="0" applyNumberFormat="1" applyFont="1" applyFill="1" applyBorder="1" applyAlignment="1">
      <alignment horizontal="center" vertical="top" wrapText="1"/>
    </xf>
    <xf numFmtId="0" fontId="4" fillId="3" borderId="36" xfId="0" applyFont="1" applyFill="1" applyBorder="1" applyAlignment="1" applyProtection="1">
      <alignment horizontal="center" vertical="center" wrapText="1"/>
      <protection locked="0"/>
    </xf>
    <xf numFmtId="0" fontId="15" fillId="4" borderId="37" xfId="0" applyFont="1" applyFill="1" applyBorder="1" applyAlignment="1" applyProtection="1">
      <alignment horizontal="center" vertical="center"/>
      <protection locked="0"/>
    </xf>
    <xf numFmtId="0" fontId="4" fillId="3" borderId="30" xfId="0" applyFont="1" applyFill="1" applyBorder="1" applyAlignment="1">
      <alignment horizontal="center" vertical="center" wrapText="1"/>
    </xf>
    <xf numFmtId="0" fontId="12" fillId="3" borderId="38" xfId="0" applyFont="1" applyFill="1" applyBorder="1" applyAlignment="1">
      <alignment vertical="center"/>
    </xf>
    <xf numFmtId="165" fontId="5" fillId="0" borderId="34" xfId="0" applyNumberFormat="1" applyFont="1" applyFill="1" applyBorder="1" applyAlignment="1" applyProtection="1">
      <alignment horizontal="center" vertical="top" wrapText="1"/>
    </xf>
    <xf numFmtId="3" fontId="3" fillId="3" borderId="36" xfId="0" applyNumberFormat="1" applyFont="1" applyFill="1" applyBorder="1" applyAlignment="1">
      <alignment horizontal="center" vertical="center" wrapText="1"/>
    </xf>
    <xf numFmtId="0" fontId="5" fillId="2" borderId="36" xfId="0" applyFont="1" applyFill="1" applyBorder="1" applyAlignment="1" applyProtection="1">
      <alignment horizontal="center" vertical="top" wrapText="1"/>
      <protection locked="0"/>
    </xf>
    <xf numFmtId="168" fontId="5" fillId="3" borderId="36" xfId="5" applyNumberFormat="1" applyFont="1" applyFill="1" applyBorder="1" applyAlignment="1" applyProtection="1">
      <alignment horizontal="center" vertical="top" wrapText="1"/>
      <protection locked="0"/>
    </xf>
    <xf numFmtId="168" fontId="5" fillId="3" borderId="30" xfId="5" applyNumberFormat="1" applyFont="1" applyFill="1" applyBorder="1" applyAlignment="1" applyProtection="1">
      <alignment horizontal="center" vertical="top" wrapText="1"/>
      <protection locked="0"/>
    </xf>
    <xf numFmtId="0" fontId="4" fillId="3" borderId="35" xfId="0" applyFont="1" applyFill="1" applyBorder="1" applyAlignment="1" applyProtection="1">
      <alignment horizontal="center" vertical="center" wrapText="1"/>
      <protection locked="0"/>
    </xf>
    <xf numFmtId="0" fontId="5" fillId="0" borderId="36" xfId="0" applyFont="1" applyFill="1" applyBorder="1" applyAlignment="1" applyProtection="1">
      <alignment horizontal="center" vertical="top" wrapText="1"/>
      <protection locked="0"/>
    </xf>
    <xf numFmtId="166" fontId="5" fillId="2" borderId="36" xfId="1" applyNumberFormat="1" applyFont="1" applyFill="1" applyBorder="1" applyAlignment="1" applyProtection="1">
      <alignment horizontal="center" vertical="top" wrapText="1"/>
      <protection locked="0"/>
    </xf>
    <xf numFmtId="0" fontId="5" fillId="2" borderId="31"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top" wrapText="1"/>
    </xf>
    <xf numFmtId="0" fontId="4" fillId="3" borderId="36" xfId="0" applyFont="1" applyFill="1" applyBorder="1" applyAlignment="1">
      <alignment horizontal="center" vertical="center"/>
    </xf>
    <xf numFmtId="0" fontId="5" fillId="3" borderId="39" xfId="0" applyFont="1" applyFill="1" applyBorder="1" applyAlignment="1">
      <alignment horizontal="center" vertical="center"/>
    </xf>
    <xf numFmtId="0" fontId="15" fillId="4" borderId="39" xfId="0" applyFont="1" applyFill="1" applyBorder="1" applyAlignment="1">
      <alignment horizontal="center" vertical="center"/>
    </xf>
    <xf numFmtId="49" fontId="5" fillId="2" borderId="36" xfId="2" applyNumberFormat="1" applyFont="1" applyFill="1" applyBorder="1" applyAlignment="1" applyProtection="1">
      <alignment horizontal="center" vertical="top" wrapText="1"/>
    </xf>
    <xf numFmtId="0" fontId="0" fillId="0" borderId="31" xfId="0" applyBorder="1"/>
    <xf numFmtId="0" fontId="1" fillId="2" borderId="0" xfId="0" applyFont="1" applyFill="1" applyBorder="1" applyAlignment="1">
      <alignment horizontal="center" vertical="center"/>
    </xf>
    <xf numFmtId="0" fontId="25" fillId="2"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35" fillId="2" borderId="13" xfId="0" applyFont="1" applyFill="1" applyBorder="1" applyAlignment="1">
      <alignment horizontal="center" vertical="top" wrapText="1"/>
    </xf>
    <xf numFmtId="0" fontId="5" fillId="2" borderId="0" xfId="0" applyFont="1" applyFill="1" applyBorder="1" applyAlignment="1">
      <alignment horizontal="center" vertical="center"/>
    </xf>
    <xf numFmtId="0" fontId="25" fillId="2" borderId="17" xfId="0" applyFont="1" applyFill="1" applyBorder="1" applyAlignment="1">
      <alignment horizontal="center" vertical="center" wrapText="1"/>
    </xf>
    <xf numFmtId="168" fontId="5" fillId="3" borderId="36" xfId="5" applyNumberFormat="1" applyFont="1" applyFill="1" applyBorder="1" applyAlignment="1" applyProtection="1">
      <alignment horizontal="center" vertical="top" wrapText="1"/>
    </xf>
    <xf numFmtId="168" fontId="5" fillId="3" borderId="2" xfId="5" applyNumberFormat="1" applyFont="1" applyFill="1" applyBorder="1" applyAlignment="1" applyProtection="1">
      <alignment horizontal="center" vertical="top" wrapText="1"/>
    </xf>
    <xf numFmtId="168" fontId="5" fillId="3" borderId="30" xfId="5" applyNumberFormat="1" applyFont="1" applyFill="1" applyBorder="1" applyAlignment="1" applyProtection="1">
      <alignment horizontal="center" vertical="top" wrapText="1"/>
    </xf>
    <xf numFmtId="0" fontId="12" fillId="3" borderId="3" xfId="0" applyFont="1" applyFill="1" applyBorder="1" applyAlignment="1">
      <alignment vertical="center"/>
    </xf>
    <xf numFmtId="0" fontId="4" fillId="3" borderId="13" xfId="0" applyFont="1" applyFill="1" applyBorder="1" applyAlignment="1" applyProtection="1">
      <alignment horizontal="center" vertical="center" wrapText="1"/>
      <protection locked="0"/>
    </xf>
    <xf numFmtId="0" fontId="5" fillId="3" borderId="13" xfId="0" applyFont="1" applyFill="1" applyBorder="1" applyAlignment="1">
      <alignment horizontal="center" vertical="top" wrapText="1"/>
    </xf>
    <xf numFmtId="0" fontId="12" fillId="3" borderId="42" xfId="0" applyFont="1" applyFill="1" applyBorder="1" applyAlignment="1">
      <alignment vertical="center"/>
    </xf>
    <xf numFmtId="0" fontId="26" fillId="0" borderId="0" xfId="0" applyFont="1" applyFill="1" applyBorder="1" applyAlignment="1">
      <alignment horizontal="center" vertical="center"/>
    </xf>
    <xf numFmtId="165" fontId="5" fillId="2" borderId="2" xfId="0" applyNumberFormat="1" applyFont="1" applyFill="1" applyBorder="1" applyAlignment="1">
      <alignment horizontal="center" vertical="top" wrapText="1"/>
    </xf>
    <xf numFmtId="0" fontId="0" fillId="0" borderId="0" xfId="0"/>
    <xf numFmtId="0" fontId="4" fillId="3" borderId="2" xfId="0" applyFont="1" applyFill="1" applyBorder="1" applyAlignment="1">
      <alignment horizontal="left" vertical="center" wrapText="1"/>
    </xf>
    <xf numFmtId="0" fontId="0" fillId="0" borderId="0" xfId="0" applyAlignment="1">
      <alignment vertical="center" wrapText="1"/>
    </xf>
    <xf numFmtId="165" fontId="5" fillId="2" borderId="2" xfId="0" applyNumberFormat="1" applyFont="1" applyFill="1" applyBorder="1" applyAlignment="1" applyProtection="1">
      <alignment horizontal="center" vertical="top" wrapText="1"/>
      <protection locked="0"/>
    </xf>
    <xf numFmtId="0" fontId="7" fillId="4" borderId="43" xfId="0" applyFont="1" applyFill="1" applyBorder="1" applyAlignment="1">
      <alignment horizontal="center" vertical="center"/>
    </xf>
    <xf numFmtId="0" fontId="7" fillId="4" borderId="44" xfId="0" applyFont="1" applyFill="1" applyBorder="1" applyAlignment="1">
      <alignment horizontal="center" vertical="center"/>
    </xf>
    <xf numFmtId="0" fontId="7" fillId="4" borderId="45" xfId="0" applyFont="1" applyFill="1" applyBorder="1" applyAlignment="1">
      <alignment horizontal="center" vertical="center"/>
    </xf>
    <xf numFmtId="0" fontId="0" fillId="0" borderId="2" xfId="0" applyBorder="1" applyAlignment="1">
      <alignment vertical="center" wrapText="1"/>
    </xf>
    <xf numFmtId="0" fontId="0" fillId="0" borderId="0" xfId="0" applyFont="1" applyAlignment="1">
      <alignment horizontal="left" vertical="top" wrapText="1"/>
    </xf>
    <xf numFmtId="0" fontId="0" fillId="0" borderId="13" xfId="0" applyBorder="1" applyAlignment="1">
      <alignment vertical="center" wrapText="1"/>
    </xf>
    <xf numFmtId="0" fontId="9" fillId="0" borderId="0" xfId="0" applyFont="1" applyBorder="1" applyAlignment="1">
      <alignment horizontal="center" vertical="center" wrapText="1"/>
    </xf>
    <xf numFmtId="0" fontId="9" fillId="0" borderId="46" xfId="0" applyFont="1" applyBorder="1" applyAlignment="1">
      <alignment horizontal="center" vertical="center"/>
    </xf>
    <xf numFmtId="0" fontId="0" fillId="0" borderId="14" xfId="0" applyFont="1" applyBorder="1" applyAlignment="1">
      <alignment horizontal="left" vertical="top" wrapText="1"/>
    </xf>
    <xf numFmtId="0" fontId="9" fillId="0" borderId="5" xfId="0" applyFont="1" applyBorder="1" applyAlignment="1">
      <alignment horizontal="center" vertical="center"/>
    </xf>
    <xf numFmtId="0" fontId="0" fillId="0" borderId="12" xfId="0" applyFont="1" applyBorder="1" applyAlignment="1">
      <alignment horizontal="left" vertical="top" wrapText="1"/>
    </xf>
    <xf numFmtId="0" fontId="9" fillId="0" borderId="47" xfId="0" applyFont="1" applyBorder="1" applyAlignment="1">
      <alignment horizontal="center" vertical="center" wrapText="1"/>
    </xf>
    <xf numFmtId="0" fontId="0" fillId="0" borderId="48" xfId="0" applyFont="1" applyBorder="1" applyAlignment="1">
      <alignment horizontal="left" vertical="top" wrapText="1"/>
    </xf>
    <xf numFmtId="0" fontId="0" fillId="0" borderId="14" xfId="0" applyBorder="1" applyAlignment="1">
      <alignment vertical="center" wrapText="1"/>
    </xf>
    <xf numFmtId="0" fontId="0" fillId="0" borderId="12" xfId="0" applyBorder="1" applyAlignment="1">
      <alignment vertical="center" wrapText="1"/>
    </xf>
    <xf numFmtId="0" fontId="0" fillId="0" borderId="48" xfId="0" applyBorder="1" applyAlignment="1">
      <alignment vertical="center" wrapText="1"/>
    </xf>
    <xf numFmtId="0" fontId="9" fillId="0" borderId="46" xfId="0" applyFont="1" applyBorder="1" applyAlignment="1">
      <alignment vertical="center"/>
    </xf>
    <xf numFmtId="0" fontId="9" fillId="0" borderId="5"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vertical="center"/>
    </xf>
    <xf numFmtId="0" fontId="0" fillId="0" borderId="0" xfId="0" applyBorder="1" applyAlignment="1">
      <alignment vertical="center" wrapText="1"/>
    </xf>
    <xf numFmtId="0" fontId="9" fillId="0" borderId="30" xfId="0" applyFont="1" applyBorder="1" applyAlignment="1">
      <alignment vertical="center"/>
    </xf>
    <xf numFmtId="0" fontId="0" fillId="0" borderId="0" xfId="0" applyAlignment="1"/>
    <xf numFmtId="0" fontId="9" fillId="0" borderId="5" xfId="0" applyFont="1" applyBorder="1" applyAlignment="1">
      <alignment horizontal="center" vertical="center" wrapText="1"/>
    </xf>
    <xf numFmtId="0" fontId="0" fillId="0" borderId="12" xfId="0" applyFont="1" applyBorder="1" applyAlignment="1">
      <alignment vertical="center" wrapText="1"/>
    </xf>
    <xf numFmtId="0" fontId="0" fillId="0" borderId="48" xfId="0" applyFont="1" applyBorder="1" applyAlignment="1">
      <alignment horizontal="left" vertical="center" wrapText="1"/>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0" fillId="0" borderId="0" xfId="0" applyBorder="1"/>
    <xf numFmtId="0" fontId="36" fillId="2" borderId="34" xfId="0" applyFont="1" applyFill="1" applyBorder="1" applyAlignment="1">
      <alignment horizontal="center" vertical="top"/>
    </xf>
    <xf numFmtId="165" fontId="5" fillId="3" borderId="2" xfId="0" applyNumberFormat="1" applyFont="1" applyFill="1" applyBorder="1" applyAlignment="1" applyProtection="1">
      <alignment horizontal="center" vertical="top" wrapText="1"/>
    </xf>
    <xf numFmtId="165" fontId="5" fillId="0" borderId="13" xfId="0" applyNumberFormat="1" applyFont="1" applyFill="1" applyBorder="1" applyAlignment="1" applyProtection="1">
      <alignment horizontal="center" vertical="top" wrapText="1"/>
      <protection locked="0"/>
    </xf>
    <xf numFmtId="165" fontId="5" fillId="0" borderId="34" xfId="0" applyNumberFormat="1" applyFont="1" applyFill="1" applyBorder="1" applyAlignment="1" applyProtection="1">
      <alignment horizontal="center" vertical="top" wrapText="1"/>
      <protection locked="0"/>
    </xf>
    <xf numFmtId="0" fontId="5" fillId="2" borderId="34" xfId="0" applyFont="1" applyFill="1" applyBorder="1" applyAlignment="1">
      <alignment horizontal="center" vertical="top" wrapText="1"/>
    </xf>
    <xf numFmtId="165" fontId="5" fillId="0" borderId="7" xfId="0" applyNumberFormat="1" applyFont="1" applyFill="1" applyBorder="1" applyAlignment="1" applyProtection="1">
      <alignment horizontal="center" vertical="top" wrapText="1"/>
    </xf>
    <xf numFmtId="0" fontId="5" fillId="0" borderId="2" xfId="0" applyFont="1" applyFill="1" applyBorder="1" applyAlignment="1" applyProtection="1">
      <alignment horizontal="left" vertical="top" wrapText="1"/>
    </xf>
    <xf numFmtId="2" fontId="35" fillId="0" borderId="7" xfId="0" applyNumberFormat="1" applyFont="1" applyFill="1" applyBorder="1" applyAlignment="1" applyProtection="1">
      <alignment horizontal="center" vertical="top" wrapText="1"/>
    </xf>
    <xf numFmtId="0" fontId="16" fillId="9" borderId="0" xfId="0" applyFont="1" applyFill="1" applyBorder="1" applyAlignment="1" applyProtection="1">
      <alignment vertical="top"/>
    </xf>
    <xf numFmtId="0" fontId="1" fillId="2" borderId="0" xfId="0" applyFont="1" applyFill="1" applyAlignment="1" applyProtection="1">
      <alignment horizontal="center" vertical="center"/>
    </xf>
    <xf numFmtId="0" fontId="1" fillId="2" borderId="31" xfId="0" applyFont="1" applyFill="1" applyBorder="1" applyAlignment="1" applyProtection="1">
      <alignment horizontal="center" vertical="center"/>
    </xf>
    <xf numFmtId="0" fontId="1" fillId="2" borderId="0" xfId="0" applyFont="1" applyFill="1" applyBorder="1" applyAlignment="1" applyProtection="1">
      <alignment horizontal="center" vertical="center"/>
    </xf>
    <xf numFmtId="0" fontId="1" fillId="0" borderId="0" xfId="0" applyFont="1" applyFill="1" applyBorder="1" applyAlignment="1" applyProtection="1">
      <alignment horizontal="center" vertical="center"/>
    </xf>
    <xf numFmtId="0" fontId="16" fillId="9" borderId="31" xfId="0" applyFont="1" applyFill="1" applyBorder="1" applyAlignment="1" applyProtection="1">
      <alignment vertical="top"/>
    </xf>
    <xf numFmtId="0" fontId="26" fillId="2" borderId="0" xfId="0" applyFont="1" applyFill="1" applyAlignment="1" applyProtection="1">
      <alignment horizontal="center" vertical="center"/>
    </xf>
    <xf numFmtId="0" fontId="27" fillId="2" borderId="0" xfId="0" applyFont="1" applyFill="1" applyAlignment="1" applyProtection="1">
      <alignment horizontal="center" vertical="center" wrapText="1"/>
    </xf>
    <xf numFmtId="167" fontId="11" fillId="0" borderId="0" xfId="0" applyNumberFormat="1" applyFont="1" applyFill="1" applyAlignment="1" applyProtection="1">
      <alignment horizontal="center" vertical="center"/>
    </xf>
    <xf numFmtId="0" fontId="25" fillId="2" borderId="31" xfId="0" applyFont="1" applyFill="1" applyBorder="1" applyAlignment="1" applyProtection="1">
      <alignment horizontal="center" vertical="center" wrapText="1"/>
    </xf>
    <xf numFmtId="0" fontId="25" fillId="2" borderId="0" xfId="0" applyFont="1" applyFill="1" applyBorder="1" applyAlignment="1" applyProtection="1">
      <alignment horizontal="center" vertical="center" wrapText="1"/>
    </xf>
    <xf numFmtId="0" fontId="25" fillId="2" borderId="0" xfId="0" applyFont="1" applyFill="1" applyAlignment="1" applyProtection="1">
      <alignment horizontal="center" vertical="center" wrapText="1"/>
    </xf>
    <xf numFmtId="0" fontId="25" fillId="0" borderId="0" xfId="0" applyFont="1" applyFill="1" applyAlignment="1" applyProtection="1">
      <alignment horizontal="center" vertical="center"/>
    </xf>
    <xf numFmtId="0" fontId="23" fillId="2" borderId="0" xfId="0" applyFont="1" applyFill="1" applyBorder="1" applyAlignment="1" applyProtection="1">
      <alignment horizontal="left" vertical="center"/>
    </xf>
    <xf numFmtId="0" fontId="32" fillId="2" borderId="0" xfId="0" applyFont="1" applyFill="1" applyBorder="1" applyAlignment="1" applyProtection="1">
      <alignment horizontal="left" vertical="center"/>
    </xf>
    <xf numFmtId="0" fontId="25" fillId="2" borderId="17" xfId="0" applyFont="1" applyFill="1" applyBorder="1" applyAlignment="1" applyProtection="1">
      <alignment horizontal="center" vertical="center" wrapText="1"/>
    </xf>
    <xf numFmtId="0" fontId="12" fillId="3" borderId="4" xfId="0" applyFont="1" applyFill="1" applyBorder="1" applyAlignment="1" applyProtection="1">
      <alignment vertical="center"/>
    </xf>
    <xf numFmtId="0" fontId="12" fillId="3" borderId="42" xfId="0" applyFont="1" applyFill="1" applyBorder="1" applyAlignment="1" applyProtection="1">
      <alignment vertical="center"/>
    </xf>
    <xf numFmtId="0" fontId="12" fillId="3" borderId="38" xfId="0" applyFont="1" applyFill="1" applyBorder="1" applyAlignment="1" applyProtection="1">
      <alignment vertical="center"/>
    </xf>
    <xf numFmtId="0" fontId="12" fillId="3" borderId="20" xfId="0" applyFont="1" applyFill="1" applyBorder="1" applyAlignment="1" applyProtection="1">
      <alignment vertical="center"/>
    </xf>
    <xf numFmtId="0" fontId="20" fillId="0" borderId="0" xfId="0" applyFont="1" applyFill="1" applyBorder="1" applyProtection="1"/>
    <xf numFmtId="0" fontId="28" fillId="0" borderId="0" xfId="0" applyFont="1" applyFill="1" applyBorder="1" applyAlignment="1" applyProtection="1">
      <alignment horizontal="center" vertical="center"/>
    </xf>
    <xf numFmtId="0" fontId="7" fillId="4" borderId="6" xfId="0" applyFont="1" applyFill="1" applyBorder="1" applyAlignment="1" applyProtection="1">
      <alignment horizontal="center" vertical="center"/>
    </xf>
    <xf numFmtId="0" fontId="7" fillId="4" borderId="32" xfId="0" applyFont="1" applyFill="1" applyBorder="1" applyAlignment="1" applyProtection="1">
      <alignment horizontal="center" vertical="center"/>
    </xf>
    <xf numFmtId="0" fontId="7" fillId="4" borderId="35" xfId="0" applyFont="1" applyFill="1" applyBorder="1" applyAlignment="1" applyProtection="1">
      <alignment horizontal="center" vertical="center"/>
    </xf>
    <xf numFmtId="0" fontId="7" fillId="4" borderId="12" xfId="0" applyFont="1" applyFill="1" applyBorder="1" applyAlignment="1" applyProtection="1">
      <alignment horizontal="center" vertical="center"/>
    </xf>
    <xf numFmtId="0" fontId="7" fillId="4" borderId="44" xfId="0" applyFont="1" applyFill="1" applyBorder="1" applyAlignment="1" applyProtection="1">
      <alignment horizontal="center" vertical="center"/>
    </xf>
    <xf numFmtId="0" fontId="7" fillId="4" borderId="43" xfId="0" applyFont="1" applyFill="1" applyBorder="1" applyAlignment="1" applyProtection="1">
      <alignment horizontal="center" vertical="center"/>
    </xf>
    <xf numFmtId="0" fontId="7" fillId="4" borderId="45" xfId="0" applyFont="1" applyFill="1" applyBorder="1" applyAlignment="1" applyProtection="1">
      <alignment horizontal="center" vertical="center"/>
    </xf>
    <xf numFmtId="0" fontId="6" fillId="0" borderId="0" xfId="0" applyFont="1" applyFill="1" applyBorder="1" applyAlignment="1" applyProtection="1">
      <alignment horizontal="center" vertical="center"/>
    </xf>
    <xf numFmtId="0" fontId="4" fillId="3" borderId="2" xfId="0" applyFont="1" applyFill="1" applyBorder="1" applyAlignment="1" applyProtection="1">
      <alignment horizontal="center" vertical="center" wrapText="1"/>
    </xf>
    <xf numFmtId="0" fontId="4" fillId="3" borderId="2" xfId="0" applyFont="1" applyFill="1" applyBorder="1" applyAlignment="1" applyProtection="1">
      <alignment horizontal="left" vertical="center" wrapText="1"/>
    </xf>
    <xf numFmtId="0" fontId="4" fillId="3" borderId="2" xfId="0" applyFont="1" applyFill="1" applyBorder="1" applyAlignment="1" applyProtection="1">
      <alignment horizontal="center" vertical="center"/>
    </xf>
    <xf numFmtId="0" fontId="4" fillId="3" borderId="30" xfId="0" applyFont="1" applyFill="1" applyBorder="1" applyAlignment="1" applyProtection="1">
      <alignment horizontal="center" vertical="center" wrapText="1"/>
    </xf>
    <xf numFmtId="0" fontId="4" fillId="3" borderId="36" xfId="0" applyFont="1" applyFill="1" applyBorder="1" applyAlignment="1" applyProtection="1">
      <alignment horizontal="center" vertical="center" wrapText="1"/>
    </xf>
    <xf numFmtId="0" fontId="4" fillId="3" borderId="13" xfId="0" applyFont="1" applyFill="1" applyBorder="1" applyAlignment="1" applyProtection="1">
      <alignment horizontal="center" vertical="center" wrapText="1"/>
    </xf>
    <xf numFmtId="3" fontId="3" fillId="3" borderId="36" xfId="0" applyNumberFormat="1" applyFont="1" applyFill="1" applyBorder="1" applyAlignment="1" applyProtection="1">
      <alignment horizontal="center" vertical="center" wrapText="1"/>
    </xf>
    <xf numFmtId="3" fontId="3" fillId="3" borderId="2" xfId="0" applyNumberFormat="1" applyFont="1" applyFill="1" applyBorder="1" applyAlignment="1" applyProtection="1">
      <alignment horizontal="center" vertical="center" wrapText="1"/>
    </xf>
    <xf numFmtId="0" fontId="4" fillId="3" borderId="35" xfId="0" applyFont="1" applyFill="1" applyBorder="1" applyAlignment="1" applyProtection="1">
      <alignment horizontal="center" vertical="center" wrapText="1"/>
    </xf>
    <xf numFmtId="3" fontId="20" fillId="0" borderId="0" xfId="0" applyNumberFormat="1" applyFont="1" applyFill="1" applyBorder="1" applyProtection="1"/>
    <xf numFmtId="0" fontId="3" fillId="3" borderId="6" xfId="0" applyFont="1" applyFill="1" applyBorder="1" applyAlignment="1" applyProtection="1">
      <alignment horizontal="center" vertical="center" wrapText="1"/>
    </xf>
    <xf numFmtId="0" fontId="3" fillId="3" borderId="11" xfId="0" applyFont="1" applyFill="1" applyBorder="1" applyAlignment="1" applyProtection="1">
      <alignment horizontal="center" vertical="center" wrapText="1"/>
    </xf>
    <xf numFmtId="0" fontId="5" fillId="3" borderId="1" xfId="0" applyFont="1" applyFill="1" applyBorder="1" applyAlignment="1" applyProtection="1">
      <alignment horizontal="center" vertical="center"/>
    </xf>
    <xf numFmtId="0" fontId="3" fillId="3" borderId="5" xfId="0" applyFont="1" applyFill="1" applyBorder="1" applyAlignment="1" applyProtection="1">
      <alignment horizontal="center" vertical="center" wrapText="1"/>
    </xf>
    <xf numFmtId="3" fontId="3" fillId="3" borderId="35" xfId="0" applyNumberFormat="1" applyFont="1" applyFill="1" applyBorder="1" applyAlignment="1" applyProtection="1">
      <alignment horizontal="center" vertical="center" wrapText="1"/>
    </xf>
    <xf numFmtId="3" fontId="3" fillId="3" borderId="12" xfId="0" applyNumberFormat="1" applyFont="1" applyFill="1" applyBorder="1" applyAlignment="1" applyProtection="1">
      <alignment horizontal="center" vertical="center" wrapText="1"/>
    </xf>
    <xf numFmtId="0" fontId="3" fillId="3" borderId="0" xfId="0" applyFont="1" applyFill="1" applyBorder="1" applyAlignment="1" applyProtection="1">
      <alignment horizontal="center" vertical="center" wrapText="1"/>
    </xf>
    <xf numFmtId="3" fontId="3" fillId="3" borderId="0" xfId="0" applyNumberFormat="1" applyFont="1" applyFill="1" applyBorder="1" applyAlignment="1" applyProtection="1">
      <alignment horizontal="center" vertical="center" wrapText="1"/>
    </xf>
    <xf numFmtId="0" fontId="4" fillId="3" borderId="11" xfId="0" applyFont="1" applyFill="1" applyBorder="1" applyAlignment="1" applyProtection="1">
      <alignment horizontal="center" vertical="center" wrapText="1"/>
    </xf>
    <xf numFmtId="0" fontId="4" fillId="3" borderId="22" xfId="0" applyFont="1" applyFill="1" applyBorder="1" applyAlignment="1" applyProtection="1">
      <alignment horizontal="center" vertical="center" wrapText="1"/>
    </xf>
    <xf numFmtId="0" fontId="15" fillId="4" borderId="8" xfId="0" applyFont="1" applyFill="1" applyBorder="1" applyAlignment="1" applyProtection="1">
      <alignment horizontal="center" vertical="center"/>
    </xf>
    <xf numFmtId="0" fontId="15" fillId="4" borderId="9" xfId="0" applyFont="1" applyFill="1" applyBorder="1" applyAlignment="1" applyProtection="1">
      <alignment horizontal="center" vertical="center"/>
    </xf>
    <xf numFmtId="0" fontId="15" fillId="4" borderId="1" xfId="0" applyFont="1" applyFill="1" applyBorder="1" applyAlignment="1" applyProtection="1">
      <alignment horizontal="center" vertical="center"/>
    </xf>
    <xf numFmtId="0" fontId="15" fillId="4" borderId="10" xfId="0" applyFont="1" applyFill="1" applyBorder="1" applyAlignment="1" applyProtection="1">
      <alignment horizontal="center" vertical="center"/>
    </xf>
    <xf numFmtId="0" fontId="15" fillId="4" borderId="14" xfId="0" applyFont="1" applyFill="1" applyBorder="1" applyAlignment="1" applyProtection="1">
      <alignment horizontal="center" vertical="center"/>
    </xf>
    <xf numFmtId="0" fontId="15" fillId="4" borderId="33" xfId="0" applyFont="1" applyFill="1" applyBorder="1" applyAlignment="1" applyProtection="1">
      <alignment horizontal="center" vertical="center"/>
    </xf>
    <xf numFmtId="0" fontId="15" fillId="4" borderId="37" xfId="0" applyFont="1" applyFill="1" applyBorder="1" applyAlignment="1" applyProtection="1">
      <alignment horizontal="center" vertical="center"/>
    </xf>
    <xf numFmtId="0" fontId="15" fillId="4" borderId="35" xfId="0" applyFont="1" applyFill="1" applyBorder="1" applyAlignment="1" applyProtection="1">
      <alignment horizontal="center" vertical="center"/>
    </xf>
    <xf numFmtId="2" fontId="29" fillId="0" borderId="0" xfId="0" applyNumberFormat="1" applyFont="1" applyFill="1" applyBorder="1" applyProtection="1"/>
    <xf numFmtId="2" fontId="20" fillId="0" borderId="0" xfId="0" applyNumberFormat="1" applyFont="1" applyFill="1" applyBorder="1" applyProtection="1"/>
    <xf numFmtId="0" fontId="5" fillId="2" borderId="2" xfId="0" applyFont="1" applyFill="1" applyBorder="1" applyAlignment="1" applyProtection="1">
      <alignment horizontal="center" vertical="top" wrapText="1"/>
    </xf>
    <xf numFmtId="0" fontId="5" fillId="2" borderId="30" xfId="0" applyFont="1" applyFill="1" applyBorder="1" applyAlignment="1" applyProtection="1">
      <alignment horizontal="center" vertical="top" wrapText="1"/>
    </xf>
    <xf numFmtId="0" fontId="5" fillId="2" borderId="36" xfId="0" applyFont="1" applyFill="1" applyBorder="1" applyAlignment="1" applyProtection="1">
      <alignment horizontal="center" vertical="top" wrapText="1"/>
    </xf>
    <xf numFmtId="0" fontId="5" fillId="2" borderId="13" xfId="0" applyFont="1" applyFill="1" applyBorder="1" applyAlignment="1" applyProtection="1">
      <alignment horizontal="center" vertical="top" wrapText="1"/>
    </xf>
    <xf numFmtId="0" fontId="5" fillId="2" borderId="34" xfId="0" applyFont="1" applyFill="1" applyBorder="1" applyAlignment="1" applyProtection="1">
      <alignment horizontal="center" vertical="top" wrapText="1"/>
    </xf>
    <xf numFmtId="0" fontId="5" fillId="2" borderId="35" xfId="0" applyFont="1" applyFill="1" applyBorder="1" applyAlignment="1" applyProtection="1">
      <alignment horizontal="center" vertical="top" wrapText="1"/>
    </xf>
    <xf numFmtId="0" fontId="5" fillId="2" borderId="7" xfId="0" applyFont="1" applyFill="1" applyBorder="1" applyAlignment="1" applyProtection="1">
      <alignment horizontal="center" vertical="top" wrapText="1"/>
    </xf>
    <xf numFmtId="0" fontId="5" fillId="2" borderId="0" xfId="0" applyFont="1" applyFill="1" applyAlignment="1" applyProtection="1">
      <alignment horizontal="center" vertical="center"/>
    </xf>
    <xf numFmtId="0" fontId="5" fillId="2" borderId="1" xfId="0" applyFont="1" applyFill="1" applyBorder="1" applyAlignment="1" applyProtection="1">
      <alignment horizontal="center" vertical="center"/>
    </xf>
    <xf numFmtId="0" fontId="5" fillId="2" borderId="31" xfId="0" applyFont="1" applyFill="1" applyBorder="1" applyAlignment="1" applyProtection="1">
      <alignment horizontal="center" vertical="center"/>
    </xf>
    <xf numFmtId="0" fontId="5" fillId="2" borderId="0" xfId="0" applyFont="1" applyFill="1" applyBorder="1" applyAlignment="1" applyProtection="1">
      <alignment horizontal="center" vertical="center"/>
    </xf>
    <xf numFmtId="0" fontId="5" fillId="0" borderId="0" xfId="0" applyFont="1" applyAlignment="1" applyProtection="1">
      <alignment horizontal="center" vertical="center"/>
    </xf>
    <xf numFmtId="0" fontId="24" fillId="0" borderId="0" xfId="0" applyFont="1" applyFill="1" applyAlignment="1" applyProtection="1">
      <alignment vertical="top"/>
    </xf>
    <xf numFmtId="0" fontId="14" fillId="0" borderId="0" xfId="0" applyFont="1" applyFill="1" applyAlignment="1" applyProtection="1">
      <alignment vertical="top"/>
    </xf>
    <xf numFmtId="0" fontId="16" fillId="0" borderId="0" xfId="0" applyFont="1" applyFill="1" applyBorder="1" applyAlignment="1" applyProtection="1">
      <alignment vertical="top"/>
    </xf>
    <xf numFmtId="0" fontId="1" fillId="0" borderId="0" xfId="0" applyFont="1" applyFill="1" applyAlignment="1" applyProtection="1">
      <alignment horizontal="center" vertical="center"/>
    </xf>
    <xf numFmtId="0" fontId="1" fillId="0" borderId="31" xfId="0" applyFont="1" applyFill="1" applyBorder="1" applyAlignment="1" applyProtection="1">
      <alignment horizontal="center" vertical="center"/>
    </xf>
    <xf numFmtId="0" fontId="5" fillId="0" borderId="17" xfId="0" applyFont="1" applyFill="1" applyBorder="1" applyAlignment="1" applyProtection="1">
      <alignment horizontal="left" vertical="center" wrapText="1"/>
    </xf>
    <xf numFmtId="0" fontId="9" fillId="10" borderId="30" xfId="0" applyFont="1" applyFill="1" applyBorder="1" applyAlignment="1">
      <alignment horizontal="center" vertical="center"/>
    </xf>
    <xf numFmtId="0" fontId="9" fillId="10" borderId="34" xfId="0" applyFont="1" applyFill="1" applyBorder="1" applyAlignment="1">
      <alignment horizontal="center" vertical="center"/>
    </xf>
    <xf numFmtId="0" fontId="9" fillId="10" borderId="13" xfId="0" applyFont="1" applyFill="1" applyBorder="1" applyAlignment="1">
      <alignment horizontal="center" vertical="center"/>
    </xf>
    <xf numFmtId="0" fontId="36" fillId="2" borderId="5" xfId="0" applyFont="1" applyFill="1" applyBorder="1" applyAlignment="1">
      <alignment horizontal="center" vertical="top"/>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36" fillId="2" borderId="34" xfId="0" applyFont="1" applyFill="1" applyBorder="1" applyAlignment="1">
      <alignment horizontal="center" vertical="top"/>
    </xf>
    <xf numFmtId="0" fontId="36" fillId="2" borderId="13" xfId="0" applyFont="1" applyFill="1" applyBorder="1" applyAlignment="1">
      <alignment horizontal="center" vertical="top"/>
    </xf>
    <xf numFmtId="0" fontId="37" fillId="2" borderId="30" xfId="0" applyFont="1" applyFill="1" applyBorder="1" applyAlignment="1">
      <alignment horizontal="center" vertical="top"/>
    </xf>
    <xf numFmtId="0" fontId="37" fillId="2" borderId="34" xfId="0" applyFont="1" applyFill="1" applyBorder="1" applyAlignment="1">
      <alignment horizontal="center" vertical="top"/>
    </xf>
    <xf numFmtId="0" fontId="37" fillId="2" borderId="13" xfId="0" applyFont="1" applyFill="1" applyBorder="1" applyAlignment="1">
      <alignment horizontal="center" vertical="top"/>
    </xf>
    <xf numFmtId="0" fontId="9" fillId="0" borderId="2" xfId="0" applyFont="1" applyBorder="1" applyAlignment="1">
      <alignment horizontal="center" vertical="center"/>
    </xf>
    <xf numFmtId="0" fontId="9" fillId="0" borderId="30" xfId="0" applyFont="1" applyBorder="1" applyAlignment="1">
      <alignment horizontal="center" vertical="center" wrapText="1"/>
    </xf>
    <xf numFmtId="0" fontId="9" fillId="0" borderId="13" xfId="0" applyFont="1" applyBorder="1" applyAlignment="1">
      <alignment horizontal="center" vertical="center" wrapText="1"/>
    </xf>
    <xf numFmtId="0" fontId="14" fillId="0" borderId="0" xfId="0" applyFont="1" applyFill="1" applyAlignment="1">
      <alignment horizontal="left" vertical="top"/>
    </xf>
    <xf numFmtId="0" fontId="12" fillId="3" borderId="15" xfId="0" applyFont="1" applyFill="1" applyBorder="1" applyAlignment="1">
      <alignment horizontal="center" vertical="center"/>
    </xf>
    <xf numFmtId="0" fontId="12" fillId="3" borderId="16" xfId="0" applyFont="1" applyFill="1" applyBorder="1" applyAlignment="1">
      <alignment horizontal="center" vertical="center"/>
    </xf>
    <xf numFmtId="0" fontId="24" fillId="9" borderId="27" xfId="0" applyFont="1" applyFill="1" applyBorder="1" applyAlignment="1">
      <alignment horizontal="left" vertical="top" wrapText="1"/>
    </xf>
    <xf numFmtId="0" fontId="24" fillId="9" borderId="28" xfId="0" applyFont="1" applyFill="1" applyBorder="1" applyAlignment="1">
      <alignment horizontal="left" vertical="top" wrapText="1"/>
    </xf>
    <xf numFmtId="0" fontId="12" fillId="3" borderId="38" xfId="0" applyFont="1" applyFill="1" applyBorder="1" applyAlignment="1">
      <alignment horizontal="left" vertical="center"/>
    </xf>
    <xf numFmtId="0" fontId="12" fillId="3" borderId="20" xfId="0" applyFont="1" applyFill="1" applyBorder="1" applyAlignment="1">
      <alignment horizontal="left" vertical="center"/>
    </xf>
    <xf numFmtId="0" fontId="12" fillId="3" borderId="19" xfId="0" applyFont="1" applyFill="1" applyBorder="1" applyAlignment="1">
      <alignment horizontal="left" vertical="center"/>
    </xf>
    <xf numFmtId="0" fontId="12" fillId="3" borderId="3" xfId="0" applyFont="1" applyFill="1" applyBorder="1" applyAlignment="1">
      <alignment horizontal="left" vertical="center"/>
    </xf>
    <xf numFmtId="0" fontId="12" fillId="3" borderId="4" xfId="0" applyFont="1" applyFill="1" applyBorder="1" applyAlignment="1">
      <alignment horizontal="left" vertical="center"/>
    </xf>
    <xf numFmtId="0" fontId="12" fillId="3" borderId="21" xfId="0" applyFont="1" applyFill="1" applyBorder="1" applyAlignment="1">
      <alignment horizontal="left" vertical="center"/>
    </xf>
    <xf numFmtId="0" fontId="34" fillId="2" borderId="17" xfId="0" applyFont="1" applyFill="1" applyBorder="1" applyAlignment="1">
      <alignment horizontal="left" vertical="center"/>
    </xf>
    <xf numFmtId="0" fontId="12" fillId="3" borderId="3"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18" xfId="0" applyFont="1" applyFill="1" applyBorder="1" applyAlignment="1" applyProtection="1">
      <alignment horizontal="left" vertical="center"/>
      <protection locked="0"/>
    </xf>
    <xf numFmtId="0" fontId="12" fillId="3" borderId="20" xfId="0" applyFont="1" applyFill="1" applyBorder="1" applyAlignment="1" applyProtection="1">
      <alignment horizontal="left" vertical="center"/>
      <protection locked="0"/>
    </xf>
    <xf numFmtId="0" fontId="33" fillId="2" borderId="17" xfId="0" applyFont="1" applyFill="1" applyBorder="1" applyAlignment="1">
      <alignment horizontal="center" vertical="center" wrapText="1"/>
    </xf>
    <xf numFmtId="0" fontId="12" fillId="3" borderId="40" xfId="0" applyFont="1" applyFill="1" applyBorder="1" applyAlignment="1">
      <alignment horizontal="left" vertical="center"/>
    </xf>
    <xf numFmtId="0" fontId="12" fillId="3" borderId="41" xfId="0" applyFont="1" applyFill="1" applyBorder="1" applyAlignment="1">
      <alignment horizontal="left" vertical="center"/>
    </xf>
    <xf numFmtId="0" fontId="34" fillId="2" borderId="17" xfId="0" applyFont="1" applyFill="1" applyBorder="1" applyAlignment="1" applyProtection="1">
      <alignment horizontal="left" vertical="center"/>
    </xf>
    <xf numFmtId="0" fontId="33" fillId="2" borderId="17" xfId="0" applyFont="1" applyFill="1" applyBorder="1" applyAlignment="1" applyProtection="1">
      <alignment horizontal="center" vertical="center" wrapText="1"/>
    </xf>
    <xf numFmtId="0" fontId="12" fillId="3" borderId="3" xfId="0" applyFont="1" applyFill="1" applyBorder="1" applyAlignment="1" applyProtection="1">
      <alignment horizontal="left" vertical="center"/>
    </xf>
    <xf numFmtId="0" fontId="12" fillId="3" borderId="4" xfId="0" applyFont="1" applyFill="1" applyBorder="1" applyAlignment="1" applyProtection="1">
      <alignment horizontal="left" vertical="center"/>
    </xf>
    <xf numFmtId="0" fontId="12" fillId="3" borderId="21" xfId="0" applyFont="1" applyFill="1" applyBorder="1" applyAlignment="1" applyProtection="1">
      <alignment horizontal="left" vertical="center"/>
    </xf>
    <xf numFmtId="0" fontId="12" fillId="3" borderId="40" xfId="0" applyFont="1" applyFill="1" applyBorder="1" applyAlignment="1" applyProtection="1">
      <alignment horizontal="left" vertical="center"/>
    </xf>
    <xf numFmtId="0" fontId="12" fillId="3" borderId="41" xfId="0" applyFont="1" applyFill="1" applyBorder="1" applyAlignment="1" applyProtection="1">
      <alignment horizontal="left" vertical="center"/>
    </xf>
    <xf numFmtId="0" fontId="12" fillId="3" borderId="38" xfId="0" applyFont="1" applyFill="1" applyBorder="1" applyAlignment="1" applyProtection="1">
      <alignment horizontal="left" vertical="center"/>
    </xf>
    <xf numFmtId="0" fontId="12" fillId="3" borderId="20" xfId="0" applyFont="1" applyFill="1" applyBorder="1" applyAlignment="1" applyProtection="1">
      <alignment horizontal="left" vertical="center"/>
    </xf>
    <xf numFmtId="0" fontId="12" fillId="3" borderId="19" xfId="0" applyFont="1" applyFill="1" applyBorder="1" applyAlignment="1" applyProtection="1">
      <alignment horizontal="left" vertical="center"/>
    </xf>
    <xf numFmtId="0" fontId="12" fillId="3" borderId="18" xfId="0" applyFont="1" applyFill="1" applyBorder="1" applyAlignment="1" applyProtection="1">
      <alignment horizontal="left" vertical="center"/>
    </xf>
    <xf numFmtId="0" fontId="31" fillId="0" borderId="0" xfId="0" applyFont="1" applyAlignment="1">
      <alignment horizontal="left"/>
    </xf>
    <xf numFmtId="0" fontId="9" fillId="6" borderId="0" xfId="0" applyFont="1" applyFill="1" applyAlignment="1">
      <alignment horizontal="center" wrapText="1"/>
    </xf>
    <xf numFmtId="0" fontId="0" fillId="0" borderId="0" xfId="0" applyAlignment="1">
      <alignment horizontal="center"/>
    </xf>
    <xf numFmtId="0" fontId="0" fillId="0" borderId="0" xfId="0" applyAlignment="1">
      <alignment horizontal="center" vertical="center"/>
    </xf>
  </cellXfs>
  <cellStyles count="10">
    <cellStyle name="Comma" xfId="1" builtinId="3"/>
    <cellStyle name="Comma 2" xfId="7" xr:uid="{E17F2546-F9B5-4ED1-B538-CE8969D905FD}"/>
    <cellStyle name="Comma 3" xfId="4" xr:uid="{9F3620BC-6570-4821-A109-B7C59E51EC5E}"/>
    <cellStyle name="Comma 3 2" xfId="8" xr:uid="{BEEFE6D0-C743-4AB3-B200-F1B4B9E3D76B}"/>
    <cellStyle name="Currency" xfId="5" builtinId="4"/>
    <cellStyle name="Currency 2" xfId="9" xr:uid="{AA365B12-D43F-49E5-88F6-02A9FECC099C}"/>
    <cellStyle name="Normal" xfId="0" builtinId="0"/>
    <cellStyle name="Normal 2 4" xfId="6" xr:uid="{7FC29283-96A4-4073-9126-33BE5960D54B}"/>
    <cellStyle name="Normal 6" xfId="3" xr:uid="{E7BD5715-E06F-4718-B724-93599D421480}"/>
    <cellStyle name="Percent" xfId="2" builtinId="5"/>
  </cellStyles>
  <dxfs count="41">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A66BD3"/>
        </patternFill>
      </fill>
    </dxf>
    <dxf>
      <font>
        <b/>
        <i val="0"/>
      </font>
      <fill>
        <patternFill>
          <bgColor rgb="FFFFFF00"/>
        </patternFill>
      </fill>
      <border>
        <left style="thin">
          <color rgb="FFFF0000"/>
        </left>
        <right style="thin">
          <color rgb="FFFF0000"/>
        </right>
        <top style="thin">
          <color rgb="FFFF0000"/>
        </top>
        <bottom style="thin">
          <color rgb="FFFF0000"/>
        </bottom>
      </border>
    </dxf>
    <dxf>
      <fill>
        <patternFill>
          <bgColor rgb="FFA86ED4"/>
        </patternFill>
      </fill>
    </dxf>
    <dxf>
      <fill>
        <patternFill>
          <bgColor theme="0" tint="-0.24994659260841701"/>
        </patternFill>
      </fill>
    </dxf>
    <dxf>
      <fill>
        <patternFill>
          <bgColor rgb="FFFF0000"/>
        </patternFill>
      </fill>
    </dxf>
    <dxf>
      <fill>
        <patternFill>
          <bgColor theme="0" tint="-0.24994659260841701"/>
        </patternFill>
      </fill>
    </dxf>
    <dxf>
      <protection locked="0" hidden="0"/>
    </dxf>
    <dxf>
      <protection locked="0" hidden="0"/>
    </dxf>
    <dxf>
      <protection locked="0" hidden="0"/>
    </dxf>
    <dxf>
      <protection locked="0" hidden="0"/>
    </dxf>
    <dxf>
      <protection locked="0" hidden="0"/>
    </dxf>
    <dxf>
      <protection locked="0" hidden="0"/>
    </dxf>
  </dxfs>
  <tableStyles count="0" defaultTableStyle="TableStyleMedium2" defaultPivotStyle="PivotStyleLight16"/>
  <colors>
    <mruColors>
      <color rgb="FFA66BD3"/>
      <color rgb="FFA86ED4"/>
      <color rgb="FF9148C8"/>
      <color rgb="FF893BC3"/>
      <color rgb="FF8C3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9BA2-5FA0-47BC-B88F-AD5C45D85D62}" name="Table1" displayName="Table1" ref="A4:E29" totalsRowShown="0" dataDxfId="40">
  <autoFilter ref="A4:E29" xr:uid="{D7979BA2-5FA0-47BC-B88F-AD5C45D85D62}"/>
  <tableColumns count="5">
    <tableColumn id="2" xr3:uid="{99834B35-951E-4502-A771-3689BFB7D62F}" name="Name " dataDxfId="39"/>
    <tableColumn id="1" xr3:uid="{6AB9033E-F018-4C58-886E-9609663EFA86}" name="Role" dataDxfId="38"/>
    <tableColumn id="3" xr3:uid="{0419F9DE-D756-4638-A048-C435C33D4D34}" name="Title " dataDxfId="37"/>
    <tableColumn id="4" xr3:uid="{2F5FA33B-5CD4-42A0-9444-5EAD2A474103}" name="Email " dataDxfId="36"/>
    <tableColumn id="5" xr3:uid="{415C1599-E34E-4EAC-9960-CC647B2DD4C5}" name="Phone " dataDxfId="35"/>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ED83-D47B-4F41-B910-6D2A63C600F2}">
  <sheetPr codeName="Sheet1"/>
  <dimension ref="A1"/>
  <sheetViews>
    <sheetView workbookViewId="0"/>
  </sheetViews>
  <sheetFormatPr defaultRowHeight="14.4" x14ac:dyDescent="0.55000000000000004"/>
  <sheetData>
    <row r="1" spans="1:1" x14ac:dyDescent="0.55000000000000004">
      <c r="A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A51F-45BC-4E25-B367-60D0EF6583CD}">
  <sheetPr codeName="Sheet3"/>
  <dimension ref="A1:E96"/>
  <sheetViews>
    <sheetView zoomScale="140" zoomScaleNormal="140" workbookViewId="0">
      <selection activeCell="C7" sqref="C7"/>
    </sheetView>
  </sheetViews>
  <sheetFormatPr defaultRowHeight="14.4" x14ac:dyDescent="0.55000000000000004"/>
  <cols>
    <col min="1" max="1" width="7" style="53" bestFit="1" customWidth="1"/>
    <col min="2" max="2" width="30.578125" style="6" customWidth="1"/>
    <col min="3" max="3" width="82.83984375" style="184" customWidth="1"/>
    <col min="5" max="5" width="20.26171875" customWidth="1"/>
  </cols>
  <sheetData>
    <row r="1" spans="1:5" s="182" customFormat="1" ht="29.7" x14ac:dyDescent="0.55000000000000004">
      <c r="A1" s="304" t="s">
        <v>489</v>
      </c>
      <c r="B1" s="305"/>
      <c r="C1" s="305"/>
      <c r="D1" s="305"/>
    </row>
    <row r="2" spans="1:5" s="182" customFormat="1" x14ac:dyDescent="0.55000000000000004">
      <c r="A2" s="53"/>
      <c r="B2" s="6"/>
      <c r="C2" s="184"/>
    </row>
    <row r="3" spans="1:5" s="182" customFormat="1" x14ac:dyDescent="0.55000000000000004">
      <c r="A3" s="53"/>
      <c r="B3" s="6"/>
      <c r="C3" s="184"/>
    </row>
    <row r="4" spans="1:5" s="182" customFormat="1" ht="57.6" x14ac:dyDescent="0.55000000000000004">
      <c r="A4" s="53"/>
      <c r="B4" s="207" t="s">
        <v>468</v>
      </c>
      <c r="C4" s="191" t="s">
        <v>499</v>
      </c>
    </row>
    <row r="5" spans="1:5" s="182" customFormat="1" x14ac:dyDescent="0.55000000000000004">
      <c r="A5" s="53"/>
      <c r="B5" s="6"/>
      <c r="C5" s="184"/>
    </row>
    <row r="6" spans="1:5" s="182" customFormat="1" x14ac:dyDescent="0.55000000000000004">
      <c r="A6" s="53"/>
      <c r="B6" s="312" t="s">
        <v>481</v>
      </c>
      <c r="C6" s="312"/>
    </row>
    <row r="7" spans="1:5" s="182" customFormat="1" ht="172.8" x14ac:dyDescent="0.55000000000000004">
      <c r="A7" s="53"/>
      <c r="B7" s="193" t="s">
        <v>482</v>
      </c>
      <c r="C7" s="194" t="s">
        <v>500</v>
      </c>
    </row>
    <row r="8" spans="1:5" s="182" customFormat="1" ht="57.6" x14ac:dyDescent="0.55000000000000004">
      <c r="A8" s="53"/>
      <c r="B8" s="195" t="s">
        <v>483</v>
      </c>
      <c r="C8" s="196" t="s">
        <v>501</v>
      </c>
    </row>
    <row r="9" spans="1:5" s="182" customFormat="1" ht="129.6" x14ac:dyDescent="0.55000000000000004">
      <c r="A9" s="53"/>
      <c r="B9" s="197" t="s">
        <v>484</v>
      </c>
      <c r="C9" s="198" t="s">
        <v>502</v>
      </c>
    </row>
    <row r="10" spans="1:5" s="182" customFormat="1" x14ac:dyDescent="0.55000000000000004">
      <c r="A10" s="53"/>
      <c r="B10" s="192"/>
      <c r="C10" s="190"/>
    </row>
    <row r="11" spans="1:5" s="182" customFormat="1" x14ac:dyDescent="0.55000000000000004">
      <c r="A11" s="53"/>
      <c r="B11" s="313" t="s">
        <v>486</v>
      </c>
      <c r="C11" s="314"/>
    </row>
    <row r="12" spans="1:5" s="182" customFormat="1" ht="144" x14ac:dyDescent="0.55000000000000004">
      <c r="A12" s="53"/>
      <c r="B12" s="209" t="s">
        <v>487</v>
      </c>
      <c r="C12" s="210" t="s">
        <v>503</v>
      </c>
      <c r="E12" s="208"/>
    </row>
    <row r="13" spans="1:5" s="182" customFormat="1" ht="216" x14ac:dyDescent="0.55000000000000004">
      <c r="A13" s="53"/>
      <c r="B13" s="197" t="s">
        <v>488</v>
      </c>
      <c r="C13" s="211" t="s">
        <v>528</v>
      </c>
    </row>
    <row r="14" spans="1:5" s="182" customFormat="1" x14ac:dyDescent="0.55000000000000004">
      <c r="A14" s="53"/>
      <c r="B14" s="192"/>
      <c r="C14" s="190"/>
    </row>
    <row r="15" spans="1:5" s="182" customFormat="1" ht="29.7" x14ac:dyDescent="0.55000000000000004">
      <c r="A15" s="306" t="s">
        <v>516</v>
      </c>
      <c r="B15" s="307"/>
      <c r="C15" s="307"/>
      <c r="D15" s="308"/>
    </row>
    <row r="16" spans="1:5" s="214" customFormat="1" ht="29.7" x14ac:dyDescent="0.55000000000000004">
      <c r="A16" s="212"/>
      <c r="B16" s="212"/>
      <c r="C16" s="212"/>
    </row>
    <row r="17" spans="1:4" s="182" customFormat="1" x14ac:dyDescent="0.55000000000000004">
      <c r="A17" s="53"/>
      <c r="B17" s="312" t="s">
        <v>485</v>
      </c>
      <c r="C17" s="312"/>
    </row>
    <row r="18" spans="1:4" s="182" customFormat="1" ht="43.2" x14ac:dyDescent="0.55000000000000004">
      <c r="A18" s="53"/>
      <c r="B18" s="202" t="s">
        <v>469</v>
      </c>
      <c r="C18" s="199" t="s">
        <v>504</v>
      </c>
    </row>
    <row r="19" spans="1:4" s="182" customFormat="1" ht="28.8" x14ac:dyDescent="0.55000000000000004">
      <c r="A19" s="53"/>
      <c r="B19" s="203" t="s">
        <v>470</v>
      </c>
      <c r="C19" s="200" t="s">
        <v>505</v>
      </c>
    </row>
    <row r="20" spans="1:4" s="182" customFormat="1" ht="43.2" x14ac:dyDescent="0.55000000000000004">
      <c r="A20" s="53"/>
      <c r="B20" s="203" t="s">
        <v>471</v>
      </c>
      <c r="C20" s="200" t="s">
        <v>517</v>
      </c>
    </row>
    <row r="21" spans="1:4" s="182" customFormat="1" ht="28.8" x14ac:dyDescent="0.55000000000000004">
      <c r="A21" s="53"/>
      <c r="B21" s="203" t="s">
        <v>472</v>
      </c>
      <c r="C21" s="200" t="s">
        <v>480</v>
      </c>
    </row>
    <row r="22" spans="1:4" s="182" customFormat="1" ht="28.8" x14ac:dyDescent="0.55000000000000004">
      <c r="A22" s="53"/>
      <c r="B22" s="204" t="s">
        <v>473</v>
      </c>
      <c r="C22" s="201" t="s">
        <v>506</v>
      </c>
    </row>
    <row r="23" spans="1:4" s="182" customFormat="1" x14ac:dyDescent="0.55000000000000004">
      <c r="A23" s="53"/>
      <c r="B23" s="205"/>
      <c r="C23" s="206"/>
    </row>
    <row r="24" spans="1:4" s="182" customFormat="1" ht="22.5" x14ac:dyDescent="0.55000000000000004">
      <c r="A24" s="309" t="s">
        <v>508</v>
      </c>
      <c r="B24" s="310"/>
      <c r="C24" s="310"/>
      <c r="D24" s="311"/>
    </row>
    <row r="25" spans="1:4" s="182" customFormat="1" ht="11.25" customHeight="1" x14ac:dyDescent="0.55000000000000004">
      <c r="A25" s="213"/>
      <c r="B25" s="215"/>
      <c r="C25" s="215"/>
      <c r="D25" s="212"/>
    </row>
    <row r="26" spans="1:4" s="182" customFormat="1" x14ac:dyDescent="0.55000000000000004">
      <c r="A26" s="301" t="str">
        <f>'Basic Project Info'!A2</f>
        <v>Section 1: Project Details</v>
      </c>
      <c r="B26" s="302"/>
      <c r="C26" s="303"/>
    </row>
    <row r="27" spans="1:4" s="182" customFormat="1" ht="28.8" x14ac:dyDescent="0.55000000000000004">
      <c r="A27" s="37" t="s">
        <v>398</v>
      </c>
      <c r="B27" s="183" t="str">
        <f>_xlfn.XLOOKUP(A27,'Basic Project Info'!$A$3:$L$3, 'Basic Project Info'!$A$4:$L$4)</f>
        <v>Project ID</v>
      </c>
      <c r="C27" s="189" t="str">
        <f>C44</f>
        <v>Automatically generated and uneditable. Each project is assigned a unique ID for tracking throughout its lifecycle. The ID displayed here is the ID for the construction portion of the project.</v>
      </c>
    </row>
    <row r="28" spans="1:4" s="182" customFormat="1" ht="28.8" x14ac:dyDescent="0.55000000000000004">
      <c r="A28" s="37" t="str">
        <f t="shared" ref="A28:A36" si="0">"Col " &amp; ROW() -ROW($A$27)+1</f>
        <v>Col 2</v>
      </c>
      <c r="B28" s="183" t="str">
        <f>_xlfn.XLOOKUP(A28,'Basic Project Info'!$A$3:$L$3, 'Basic Project Info'!$A$4:$L$4)</f>
        <v>Project Name</v>
      </c>
      <c r="C28" s="189" t="s">
        <v>509</v>
      </c>
    </row>
    <row r="29" spans="1:4" s="182" customFormat="1" ht="57.6" x14ac:dyDescent="0.55000000000000004">
      <c r="A29" s="37" t="str">
        <f t="shared" si="0"/>
        <v>Col 3</v>
      </c>
      <c r="B29" s="183" t="str">
        <f>_xlfn.XLOOKUP(A29,'Basic Project Info'!$A$3:$L$3, 'Basic Project Info'!$A$4:$L$4)</f>
        <v>Official School Name</v>
      </c>
      <c r="C29" s="189" t="s">
        <v>518</v>
      </c>
    </row>
    <row r="30" spans="1:4" s="182" customFormat="1" ht="28.8" x14ac:dyDescent="0.55000000000000004">
      <c r="A30" s="37" t="str">
        <f t="shared" si="0"/>
        <v>Col 4</v>
      </c>
      <c r="B30" s="183" t="str">
        <f>_xlfn.XLOOKUP(A30,'Basic Project Info'!$A$3:$L$3, 'Basic Project Info'!$A$4:$L$4)</f>
        <v>Project Type</v>
      </c>
      <c r="C30" s="189" t="str">
        <f>C47</f>
        <v>Automatically generated and uneditable. Project types potentially included in this tracker are: New Construction, Retrofit, Addition, and Purchase.</v>
      </c>
    </row>
    <row r="31" spans="1:4" s="182" customFormat="1" ht="43.2" x14ac:dyDescent="0.55000000000000004">
      <c r="A31" s="37" t="str">
        <f t="shared" si="0"/>
        <v>Col 5</v>
      </c>
      <c r="B31" s="183" t="str">
        <f>_xlfn.XLOOKUP(A31,'Basic Project Info'!$A$3:$L$3, 'Basic Project Info'!$A$4:$L$4)</f>
        <v xml:space="preserve">Project Category </v>
      </c>
      <c r="C31" s="189" t="str">
        <f>C48</f>
        <v>Automatically generated and uneditable. This field identifies the need that is met by the project. Potential project categories that could be included on this tracker are: Accommodation Pressure, Child Care, Facility Condition, Consolidation, and French Language Access.</v>
      </c>
    </row>
    <row r="32" spans="1:4" s="182" customFormat="1" x14ac:dyDescent="0.55000000000000004">
      <c r="A32" s="37" t="str">
        <f t="shared" si="0"/>
        <v>Col 6</v>
      </c>
      <c r="B32" s="183" t="str">
        <f>_xlfn.XLOOKUP(A32,'Basic Project Info'!$A$3:$L$3, 'Basic Project Info'!$A$4:$L$4)</f>
        <v>Address</v>
      </c>
      <c r="C32" s="189" t="s">
        <v>492</v>
      </c>
    </row>
    <row r="33" spans="1:4" s="182" customFormat="1" ht="43.2" x14ac:dyDescent="0.55000000000000004">
      <c r="A33" s="37" t="str">
        <f t="shared" si="0"/>
        <v>Col 7</v>
      </c>
      <c r="B33" s="183" t="str">
        <f>_xlfn.XLOOKUP(A33,'Basic Project Info'!$A$3:$L$3, 'Basic Project Info'!$A$4:$L$4)</f>
        <v xml:space="preserve">City </v>
      </c>
      <c r="C33" s="189" t="s">
        <v>510</v>
      </c>
    </row>
    <row r="34" spans="1:4" s="182" customFormat="1" x14ac:dyDescent="0.55000000000000004">
      <c r="A34" s="37" t="str">
        <f t="shared" si="0"/>
        <v>Col 8</v>
      </c>
      <c r="B34" s="183" t="str">
        <f>_xlfn.XLOOKUP(A34,'Basic Project Info'!$A$3:$L$3, 'Basic Project Info'!$A$4:$L$4)</f>
        <v>Postal Code</v>
      </c>
      <c r="C34" s="189" t="s">
        <v>491</v>
      </c>
    </row>
    <row r="35" spans="1:4" s="182" customFormat="1" x14ac:dyDescent="0.55000000000000004">
      <c r="A35" s="37" t="str">
        <f t="shared" si="0"/>
        <v>Col 9</v>
      </c>
      <c r="B35" s="183" t="str">
        <f>_xlfn.XLOOKUP(A35,'Basic Project Info'!$A$3:$L$3, 'Basic Project Info'!$A$4:$L$4)</f>
        <v>Latitude</v>
      </c>
      <c r="C35" s="189" t="s">
        <v>494</v>
      </c>
    </row>
    <row r="36" spans="1:4" s="182" customFormat="1" x14ac:dyDescent="0.55000000000000004">
      <c r="A36" s="37" t="str">
        <f t="shared" si="0"/>
        <v>Col 10</v>
      </c>
      <c r="B36" s="183" t="str">
        <f>_xlfn.XLOOKUP(A36,'Basic Project Info'!$A$3:$L$3, 'Basic Project Info'!$A$4:$L$4)</f>
        <v>Longitude</v>
      </c>
      <c r="C36" s="189" t="s">
        <v>493</v>
      </c>
    </row>
    <row r="37" spans="1:4" s="182" customFormat="1" x14ac:dyDescent="0.55000000000000004">
      <c r="A37" s="301" t="str">
        <f>'Basic Project Info'!K2</f>
        <v>Section 2: Communications Issues</v>
      </c>
      <c r="B37" s="302"/>
      <c r="C37" s="303"/>
    </row>
    <row r="38" spans="1:4" s="182" customFormat="1" x14ac:dyDescent="0.55000000000000004">
      <c r="A38" s="37" t="str">
        <f>"Col " &amp; ROW() -ROW($A$27)</f>
        <v>Col 11</v>
      </c>
      <c r="B38" s="183" t="str">
        <f>_xlfn.XLOOKUP(A38,'Basic Project Info'!$A$3:$L$3, 'Basic Project Info'!$A$4:$L$4)</f>
        <v>Sign Installed</v>
      </c>
      <c r="C38" s="189" t="s">
        <v>495</v>
      </c>
    </row>
    <row r="39" spans="1:4" s="182" customFormat="1" ht="28.8" x14ac:dyDescent="0.55000000000000004">
      <c r="A39" s="37" t="str">
        <f>"Col " &amp; ROW() -ROW($A$27)</f>
        <v>Col 12</v>
      </c>
      <c r="B39" s="183" t="str">
        <f>_xlfn.XLOOKUP(A39,'Basic Project Info'!$A$3:$L$3, 'Basic Project Info'!$A$4:$L$4)</f>
        <v>Opening Ceremony - Date</v>
      </c>
      <c r="C39" s="189" t="s">
        <v>519</v>
      </c>
    </row>
    <row r="41" spans="1:4" s="182" customFormat="1" ht="22.5" x14ac:dyDescent="0.55000000000000004">
      <c r="A41" s="309" t="s">
        <v>507</v>
      </c>
      <c r="B41" s="310"/>
      <c r="C41" s="310"/>
      <c r="D41" s="311"/>
    </row>
    <row r="42" spans="1:4" s="182" customFormat="1" ht="11.25" customHeight="1" x14ac:dyDescent="0.55000000000000004">
      <c r="A42" s="213"/>
      <c r="B42" s="215"/>
      <c r="C42" s="215"/>
      <c r="D42" s="212"/>
    </row>
    <row r="43" spans="1:4" x14ac:dyDescent="0.55000000000000004">
      <c r="A43" s="301" t="str">
        <f>'Monthly Update'!A5</f>
        <v>Section 1: Project Details</v>
      </c>
      <c r="B43" s="302"/>
      <c r="C43" s="303"/>
    </row>
    <row r="44" spans="1:4" ht="28.8" x14ac:dyDescent="0.55000000000000004">
      <c r="A44" s="37" t="s">
        <v>398</v>
      </c>
      <c r="B44" s="71" t="str">
        <f>_xlfn.XLOOKUP(A44, 'Monthly Update'!$A$6:$AW$6, 'Monthly Update'!$A$7:$AW$7)</f>
        <v>Project ID</v>
      </c>
      <c r="C44" s="189" t="s">
        <v>520</v>
      </c>
    </row>
    <row r="45" spans="1:4" ht="43.2" x14ac:dyDescent="0.55000000000000004">
      <c r="A45" s="37" t="s">
        <v>399</v>
      </c>
      <c r="B45" s="183" t="str">
        <f>_xlfn.XLOOKUP(A45, 'Monthly Update'!$A$6:$AW$6, 'Monthly Update'!$A$7:$AW$7)</f>
        <v>Project Name</v>
      </c>
      <c r="C45" s="189" t="s">
        <v>521</v>
      </c>
    </row>
    <row r="46" spans="1:4" x14ac:dyDescent="0.55000000000000004">
      <c r="A46" s="37" t="s">
        <v>400</v>
      </c>
      <c r="B46" s="183" t="str">
        <f>_xlfn.XLOOKUP(A46, 'Monthly Update'!$A$6:$AW$6, 'Monthly Update'!$A$7:$AW$7)</f>
        <v>Meeting Minutes</v>
      </c>
      <c r="C46" s="189" t="s">
        <v>443</v>
      </c>
    </row>
    <row r="47" spans="1:4" ht="28.8" x14ac:dyDescent="0.55000000000000004">
      <c r="A47" s="37" t="s">
        <v>401</v>
      </c>
      <c r="B47" s="183" t="str">
        <f>_xlfn.XLOOKUP(A47, 'Monthly Update'!$A$6:$AW$6, 'Monthly Update'!$A$7:$AW$7)</f>
        <v>Project Type</v>
      </c>
      <c r="C47" s="189" t="s">
        <v>459</v>
      </c>
    </row>
    <row r="48" spans="1:4" ht="43.2" x14ac:dyDescent="0.55000000000000004">
      <c r="A48" s="37" t="s">
        <v>402</v>
      </c>
      <c r="B48" s="183" t="str">
        <f>_xlfn.XLOOKUP(A48, 'Monthly Update'!$A$6:$AW$6, 'Monthly Update'!$A$7:$AW$7)</f>
        <v xml:space="preserve">Project Category </v>
      </c>
      <c r="C48" s="189" t="s">
        <v>460</v>
      </c>
    </row>
    <row r="49" spans="1:3" ht="57.6" x14ac:dyDescent="0.55000000000000004">
      <c r="A49" s="37" t="s">
        <v>403</v>
      </c>
      <c r="B49" s="183" t="str">
        <f>_xlfn.XLOOKUP(A49, 'Monthly Update'!$A$6:$AW$6, 'Monthly Update'!$A$7:$AW$7)</f>
        <v>Record Status</v>
      </c>
      <c r="C49" s="189" t="s">
        <v>511</v>
      </c>
    </row>
    <row r="50" spans="1:3" ht="57.6" x14ac:dyDescent="0.55000000000000004">
      <c r="A50" s="37" t="s">
        <v>404</v>
      </c>
      <c r="B50" s="183" t="str">
        <f>_xlfn.XLOOKUP(A50, 'Monthly Update'!$A$6:$AW$6, 'Monthly Update'!$A$7:$AW$7)</f>
        <v>Project Status</v>
      </c>
      <c r="C50" s="189" t="s">
        <v>444</v>
      </c>
    </row>
    <row r="51" spans="1:3" x14ac:dyDescent="0.55000000000000004">
      <c r="A51" s="301" t="str">
        <f>'Monthly Update'!H5</f>
        <v>Section 2: Project Commitment Progress</v>
      </c>
      <c r="B51" s="302"/>
      <c r="C51" s="303"/>
    </row>
    <row r="52" spans="1:3" x14ac:dyDescent="0.55000000000000004">
      <c r="A52" s="37" t="s">
        <v>405</v>
      </c>
      <c r="B52" s="183" t="str">
        <f>_xlfn.XLOOKUP(A52, 'Monthly Update'!$A$6:$AW$6, 'Monthly Update'!$A$7:$AW$7)</f>
        <v>Pre-Tender Submission Date</v>
      </c>
      <c r="C52" s="189" t="s">
        <v>465</v>
      </c>
    </row>
    <row r="53" spans="1:3" ht="28.8" x14ac:dyDescent="0.55000000000000004">
      <c r="A53" s="37" t="s">
        <v>378</v>
      </c>
      <c r="B53" s="183" t="str">
        <f>_xlfn.XLOOKUP(A53, 'Monthly Update'!$A$6:$AW$6, 'Monthly Update'!$A$7:$AW$7)</f>
        <v>Pre-Tender Package Type</v>
      </c>
      <c r="C53" s="189" t="s">
        <v>445</v>
      </c>
    </row>
    <row r="54" spans="1:3" s="6" customFormat="1" ht="43.2" x14ac:dyDescent="0.55000000000000004">
      <c r="A54" s="37" t="s">
        <v>406</v>
      </c>
      <c r="B54" s="183" t="str">
        <f>_xlfn.XLOOKUP(A54, 'Monthly Update'!$A$6:$AW$6, 'Monthly Update'!$A$7:$AW$7)</f>
        <v>Pre-Tender Package Complete</v>
      </c>
      <c r="C54" s="189" t="s">
        <v>522</v>
      </c>
    </row>
    <row r="55" spans="1:3" x14ac:dyDescent="0.55000000000000004">
      <c r="A55" s="37" t="s">
        <v>379</v>
      </c>
      <c r="B55" s="183" t="str">
        <f>_xlfn.XLOOKUP(A55, 'Monthly Update'!$A$6:$AW$6, 'Monthly Update'!$A$7:$AW$7)</f>
        <v>CA Reviewed All Pre-Tender Documents</v>
      </c>
      <c r="C55" s="189" t="s">
        <v>448</v>
      </c>
    </row>
    <row r="56" spans="1:3" ht="28.8" x14ac:dyDescent="0.55000000000000004">
      <c r="A56" s="37" t="s">
        <v>380</v>
      </c>
      <c r="B56" s="183" t="str">
        <f>_xlfn.XLOOKUP(A56, 'Monthly Update'!$A$6:$AW$6, 'Monthly Update'!$A$7:$AW$7)</f>
        <v>Post-Tender Submission Date</v>
      </c>
      <c r="C56" s="189" t="s">
        <v>466</v>
      </c>
    </row>
    <row r="57" spans="1:3" ht="28.8" x14ac:dyDescent="0.55000000000000004">
      <c r="A57" s="37" t="s">
        <v>407</v>
      </c>
      <c r="B57" s="183" t="str">
        <f>_xlfn.XLOOKUP(A57, 'Monthly Update'!$A$6:$AW$6, 'Monthly Update'!$A$7:$AW$7)</f>
        <v>Post-Tender Package Type</v>
      </c>
      <c r="C57" s="189" t="s">
        <v>446</v>
      </c>
    </row>
    <row r="58" spans="1:3" ht="43.2" x14ac:dyDescent="0.55000000000000004">
      <c r="A58" s="37" t="s">
        <v>408</v>
      </c>
      <c r="B58" s="183" t="str">
        <f>_xlfn.XLOOKUP(A58, 'Monthly Update'!$A$6:$AW$6, 'Monthly Update'!$A$7:$AW$7)</f>
        <v>Post-Tender Package Complete</v>
      </c>
      <c r="C58" s="189" t="s">
        <v>523</v>
      </c>
    </row>
    <row r="59" spans="1:3" ht="27.6" x14ac:dyDescent="0.55000000000000004">
      <c r="A59" s="37" t="s">
        <v>409</v>
      </c>
      <c r="B59" s="183" t="str">
        <f>_xlfn.XLOOKUP(A59, 'Monthly Update'!$A$6:$AW$6, 'Monthly Update'!$A$7:$AW$7)</f>
        <v>CA Reviewed All Post-Tender Documents</v>
      </c>
      <c r="C59" s="189" t="s">
        <v>447</v>
      </c>
    </row>
    <row r="60" spans="1:3" x14ac:dyDescent="0.55000000000000004">
      <c r="A60" s="301" t="str">
        <f>'Monthly Update'!P5</f>
        <v xml:space="preserve">Section 3: Pre-Tender </v>
      </c>
      <c r="B60" s="302"/>
      <c r="C60" s="303"/>
    </row>
    <row r="61" spans="1:3" ht="28.8" x14ac:dyDescent="0.55000000000000004">
      <c r="A61" s="37" t="s">
        <v>410</v>
      </c>
      <c r="B61" s="183" t="str">
        <f>_xlfn.XLOOKUP(A61, 'Monthly Update'!$A$6:$AW$6, 'Monthly Update'!$A$7:$AW$7)</f>
        <v>Site Ownership Status</v>
      </c>
      <c r="C61" s="189" t="s">
        <v>449</v>
      </c>
    </row>
    <row r="62" spans="1:3" ht="28.8" x14ac:dyDescent="0.55000000000000004">
      <c r="A62" s="37" t="s">
        <v>411</v>
      </c>
      <c r="B62" s="183" t="str">
        <f>_xlfn.XLOOKUP(A62, 'Monthly Update'!$A$6:$AW$6, 'Monthly Update'!$A$7:$AW$7)</f>
        <v>Site Purchase Date</v>
      </c>
      <c r="C62" s="189" t="s">
        <v>461</v>
      </c>
    </row>
    <row r="63" spans="1:3" x14ac:dyDescent="0.55000000000000004">
      <c r="A63" s="37" t="s">
        <v>412</v>
      </c>
      <c r="B63" s="183" t="str">
        <f>_xlfn.XLOOKUP(A63, 'Monthly Update'!$A$6:$AW$6, 'Monthly Update'!$A$7:$AW$7)</f>
        <v>Site Purchase Date Error Explanation</v>
      </c>
      <c r="C63" s="189" t="s">
        <v>450</v>
      </c>
    </row>
    <row r="64" spans="1:3" x14ac:dyDescent="0.55000000000000004">
      <c r="A64" s="37" t="s">
        <v>413</v>
      </c>
      <c r="B64" s="183" t="str">
        <f>_xlfn.XLOOKUP(A64, 'Monthly Update'!$A$6:$AW$6, 'Monthly Update'!$A$7:$AW$7)</f>
        <v xml:space="preserve">Design Status </v>
      </c>
      <c r="C64" s="189" t="s">
        <v>462</v>
      </c>
    </row>
    <row r="65" spans="1:3" ht="28.8" x14ac:dyDescent="0.55000000000000004">
      <c r="A65" s="37" t="s">
        <v>414</v>
      </c>
      <c r="B65" s="183" t="str">
        <f>_xlfn.XLOOKUP(A65, 'Monthly Update'!$A$6:$AW$6, 'Monthly Update'!$A$7:$AW$7)</f>
        <v>Space Template Approval Date</v>
      </c>
      <c r="C65" s="189" t="s">
        <v>463</v>
      </c>
    </row>
    <row r="66" spans="1:3" x14ac:dyDescent="0.55000000000000004">
      <c r="A66" s="37" t="s">
        <v>415</v>
      </c>
      <c r="B66" s="183" t="str">
        <f>_xlfn.XLOOKUP(A66, 'Monthly Update'!$A$6:$AW$6, 'Monthly Update'!$A$7:$AW$7)</f>
        <v xml:space="preserve">Child Care Floorplan Approval Date </v>
      </c>
      <c r="C66" s="189" t="s">
        <v>453</v>
      </c>
    </row>
    <row r="67" spans="1:3" ht="27.6" x14ac:dyDescent="0.55000000000000004">
      <c r="A67" s="37" t="s">
        <v>416</v>
      </c>
      <c r="B67" s="183" t="str">
        <f>_xlfn.XLOOKUP(A67, 'Monthly Update'!$A$6:$AW$6, 'Monthly Update'!$A$7:$AW$7)</f>
        <v>Child Care Floorplan Approval Date  Error Explanation</v>
      </c>
      <c r="C67" s="189" t="s">
        <v>452</v>
      </c>
    </row>
    <row r="68" spans="1:3" ht="43.2" x14ac:dyDescent="0.55000000000000004">
      <c r="A68" s="37" t="s">
        <v>417</v>
      </c>
      <c r="B68" s="183" t="str">
        <f>_xlfn.XLOOKUP(A68, 'Monthly Update'!$A$6:$AW$6, 'Monthly Update'!$A$7:$AW$7)</f>
        <v>Initial Site Plan Submission Date</v>
      </c>
      <c r="C68" s="189" t="str">
        <f>"Use the field only if "&amp; A67&amp; " ("&amp;B67&amp;") indicates an error (cell is highlighted in purple) but you believe the information is correct, explain the descrpancy in this cell and it will remove the error formatting in "&amp;A67&amp;"."</f>
        <v>Use the field only if Col 22 (Child Care Floorplan Approval Date  Error Explanation) indicates an error (cell is highlighted in purple) but you believe the information is correct, explain the descrpancy in this cell and it will remove the error formatting in Col 22.</v>
      </c>
    </row>
    <row r="69" spans="1:3" ht="28.8" x14ac:dyDescent="0.55000000000000004">
      <c r="A69" s="37" t="s">
        <v>418</v>
      </c>
      <c r="B69" s="183" t="str">
        <f>_xlfn.XLOOKUP(A69, 'Monthly Update'!$A$6:$AW$6, 'Monthly Update'!$A$7:$AW$7)</f>
        <v>Site Plan Approval Date</v>
      </c>
      <c r="C69" s="189" t="s">
        <v>454</v>
      </c>
    </row>
    <row r="70" spans="1:3" ht="43.2" x14ac:dyDescent="0.55000000000000004">
      <c r="A70" s="37" t="s">
        <v>419</v>
      </c>
      <c r="B70" s="183" t="str">
        <f>_xlfn.XLOOKUP(A70, 'Monthly Update'!$A$6:$AW$6, 'Monthly Update'!$A$7:$AW$7)</f>
        <v>Site Plan Approval Date Error Explanation</v>
      </c>
      <c r="C70" s="189" t="str">
        <f>"Use the field only if "&amp; A69&amp; " ("&amp;B69&amp;") indicates an error (cell is highlighted in purple) but you believe the information is correct, explain the descrpancy in this cell and it will remove the error formatting in "&amp;A69&amp;"."</f>
        <v>Use the field only if Col 24 (Site Plan Approval Date) indicates an error (cell is highlighted in purple) but you believe the information is correct, explain the descrpancy in this cell and it will remove the error formatting in Col 24.</v>
      </c>
    </row>
    <row r="71" spans="1:3" x14ac:dyDescent="0.55000000000000004">
      <c r="A71" s="37" t="s">
        <v>420</v>
      </c>
      <c r="B71" s="183" t="str">
        <f>_xlfn.XLOOKUP(A71, 'Monthly Update'!$A$6:$AW$6, 'Monthly Update'!$A$7:$AW$7)</f>
        <v>Build Permit Obtained Date</v>
      </c>
      <c r="C71" s="189" t="s">
        <v>455</v>
      </c>
    </row>
    <row r="72" spans="1:3" ht="27.6" x14ac:dyDescent="0.55000000000000004">
      <c r="A72" s="37" t="s">
        <v>421</v>
      </c>
      <c r="B72" s="183" t="str">
        <f>_xlfn.XLOOKUP(A72, 'Monthly Update'!$A$6:$AW$6, 'Monthly Update'!$A$7:$AW$7)</f>
        <v>Build Permit Obtained Date Error Explanation</v>
      </c>
      <c r="C72" s="189" t="s">
        <v>456</v>
      </c>
    </row>
    <row r="73" spans="1:3" x14ac:dyDescent="0.55000000000000004">
      <c r="A73" s="301" t="str">
        <f>'Monthly Update'!AD5</f>
        <v>Section 4: Construction</v>
      </c>
      <c r="B73" s="302"/>
      <c r="C73" s="303"/>
    </row>
    <row r="74" spans="1:3" ht="28.8" x14ac:dyDescent="0.55000000000000004">
      <c r="A74" s="37" t="s">
        <v>422</v>
      </c>
      <c r="B74" s="183" t="str">
        <f>_xlfn.XLOOKUP(A74, 'Monthly Update'!$A$6:$AW$6, 'Monthly Update'!$A$7:$AW$7)</f>
        <v xml:space="preserve">Tender Issued Date </v>
      </c>
      <c r="C74" s="189" t="s">
        <v>490</v>
      </c>
    </row>
    <row r="75" spans="1:3" ht="28.8" x14ac:dyDescent="0.55000000000000004">
      <c r="A75" s="37" t="s">
        <v>423</v>
      </c>
      <c r="B75" s="183" t="str">
        <f>_xlfn.XLOOKUP(A75, 'Monthly Update'!$A$6:$AW$6, 'Monthly Update'!$A$7:$AW$7)</f>
        <v>Tender Closed Date</v>
      </c>
      <c r="C75" s="189" t="s">
        <v>512</v>
      </c>
    </row>
    <row r="76" spans="1:3" ht="43.2" x14ac:dyDescent="0.55000000000000004">
      <c r="A76" s="37" t="s">
        <v>424</v>
      </c>
      <c r="B76" s="183" t="str">
        <f>_xlfn.XLOOKUP(A76, 'Monthly Update'!$A$6:$AW$6, 'Monthly Update'!$A$7:$AW$7)</f>
        <v>Contract Awarded Date</v>
      </c>
      <c r="C76" s="189" t="str">
        <f>"Use the field only if "&amp; A75&amp; " ("&amp;B75&amp;") indicates an error (cell is highlighted in purple) but you believe the information is correct, explain the descrpancy in this cell and it will remove the error formatting in "&amp;A75&amp;"."</f>
        <v>Use the field only if Col 29 (Tender Closed Date) indicates an error (cell is highlighted in purple) but you believe the information is correct, explain the descrpancy in this cell and it will remove the error formatting in Col 29.</v>
      </c>
    </row>
    <row r="77" spans="1:3" ht="43.2" x14ac:dyDescent="0.55000000000000004">
      <c r="A77" s="37" t="s">
        <v>425</v>
      </c>
      <c r="B77" s="183" t="str">
        <f>_xlfn.XLOOKUP(A77, 'Monthly Update'!$A$6:$AW$6, 'Monthly Update'!$A$7:$AW$7)</f>
        <v>Construction Start Date</v>
      </c>
      <c r="C77" s="189" t="s">
        <v>524</v>
      </c>
    </row>
    <row r="78" spans="1:3" ht="43.2" x14ac:dyDescent="0.55000000000000004">
      <c r="A78" s="37" t="s">
        <v>426</v>
      </c>
      <c r="B78" s="183" t="str">
        <f>_xlfn.XLOOKUP(A78, 'Monthly Update'!$A$6:$AW$6, 'Monthly Update'!$A$7:$AW$7)</f>
        <v>Construction Start Date Error Explanation</v>
      </c>
      <c r="C78" s="189" t="str">
        <f>"Use the field only if "&amp; A77&amp; " ("&amp;B77&amp;") indicates an error (cell is highlighted in purple) but you believe the information is correct, explain the descrpancy in this cell and it will remove the error formatting in "&amp;A77&amp;"."</f>
        <v>Use the field only if Col 31 (Construction Start Date) indicates an error (cell is highlighted in purple) but you believe the information is correct, explain the descrpancy in this cell and it will remove the error formatting in Col 31.</v>
      </c>
    </row>
    <row r="79" spans="1:3" x14ac:dyDescent="0.55000000000000004">
      <c r="A79" s="301" t="str">
        <f>'Monthly Update'!AI5</f>
        <v>Section 5: Project Completion</v>
      </c>
      <c r="B79" s="302"/>
      <c r="C79" s="303"/>
    </row>
    <row r="80" spans="1:3" ht="29.5" customHeight="1" x14ac:dyDescent="0.55000000000000004">
      <c r="A80" s="37" t="s">
        <v>427</v>
      </c>
      <c r="B80" s="183" t="str">
        <f>_xlfn.XLOOKUP(A80, 'Monthly Update'!$A$6:$AW$6, 'Monthly Update'!$A$7:$AW$7)</f>
        <v>Substantial Completion Date</v>
      </c>
      <c r="C80" s="189" t="s">
        <v>525</v>
      </c>
    </row>
    <row r="81" spans="1:3" ht="43.2" x14ac:dyDescent="0.55000000000000004">
      <c r="A81" s="37" t="s">
        <v>428</v>
      </c>
      <c r="B81" s="183" t="str">
        <f>_xlfn.XLOOKUP(A81, 'Monthly Update'!$A$6:$AW$6, 'Monthly Update'!$A$7:$AW$7)</f>
        <v>Substantial Completion Date Error Explanation</v>
      </c>
      <c r="C81" s="189" t="str">
        <f>"Use the field only if "&amp; A80&amp; " ("&amp;B80&amp;") indicates an error (cell is highlighted in purple) but you believe the information is correct, explain the descrpancy in this cell and it will remove the error formatting in "&amp;A80&amp;"."</f>
        <v>Use the field only if Col 33 (Substantial Completion Date) indicates an error (cell is highlighted in purple) but you believe the information is correct, explain the descrpancy in this cell and it will remove the error formatting in Col 33.</v>
      </c>
    </row>
    <row r="82" spans="1:3" ht="43.2" x14ac:dyDescent="0.55000000000000004">
      <c r="A82" s="37" t="s">
        <v>429</v>
      </c>
      <c r="B82" s="183" t="str">
        <f>_xlfn.XLOOKUP(A82, 'Monthly Update'!$A$6:$AW$6, 'Monthly Update'!$A$7:$AW$7)</f>
        <v xml:space="preserve">School Opening Date </v>
      </c>
      <c r="C82" s="189" t="s">
        <v>526</v>
      </c>
    </row>
    <row r="83" spans="1:3" ht="43.2" x14ac:dyDescent="0.55000000000000004">
      <c r="A83" s="37" t="s">
        <v>430</v>
      </c>
      <c r="B83" s="183" t="str">
        <f>_xlfn.XLOOKUP(A83, 'Monthly Update'!$A$6:$AW$6, 'Monthly Update'!$A$7:$AW$7)</f>
        <v>School Opening Date  Error Explanation</v>
      </c>
      <c r="C83" s="189" t="str">
        <f>"Use the field only if "&amp; A82&amp; " ("&amp;B82&amp;") indicates an error (cell is highlighted in purple) but you believe the information is correct, explain the descrpancy in this cell and it will remove the error formatting in "&amp;A82&amp;"."</f>
        <v>Use the field only if Col 35 (School Opening Date ) indicates an error (cell is highlighted in purple) but you believe the information is correct, explain the descrpancy in this cell and it will remove the error formatting in Col 35.</v>
      </c>
    </row>
    <row r="84" spans="1:3" ht="57.6" x14ac:dyDescent="0.55000000000000004">
      <c r="A84" s="37" t="s">
        <v>431</v>
      </c>
      <c r="B84" s="183" t="str">
        <f>_xlfn.XLOOKUP(A84, 'Monthly Update'!$A$6:$AW$6, 'Monthly Update'!$A$7:$AW$7)</f>
        <v>Child Care Opening Date</v>
      </c>
      <c r="C84" s="189" t="s">
        <v>527</v>
      </c>
    </row>
    <row r="85" spans="1:3" x14ac:dyDescent="0.55000000000000004">
      <c r="A85" s="301" t="str">
        <f>'Monthly Update'!AN5</f>
        <v>Section 6: Approved Project Funding</v>
      </c>
      <c r="B85" s="302"/>
      <c r="C85" s="303"/>
    </row>
    <row r="86" spans="1:3" ht="27.6" x14ac:dyDescent="0.55000000000000004">
      <c r="A86" s="37" t="s">
        <v>432</v>
      </c>
      <c r="B86" s="183" t="str">
        <f>_xlfn.XLOOKUP(A86, 'Monthly Update'!$A$6:$AW$6, 'Monthly Update'!$A$7:$AW$7)</f>
        <v>Child Care Opening Date Error Explanation</v>
      </c>
      <c r="C86" s="189" t="s">
        <v>442</v>
      </c>
    </row>
    <row r="87" spans="1:3" x14ac:dyDescent="0.55000000000000004">
      <c r="A87" s="37" t="s">
        <v>433</v>
      </c>
      <c r="B87" s="183" t="str">
        <f>_xlfn.XLOOKUP(A87, 'Monthly Update'!$A$6:$AW$6, 'Monthly Update'!$A$7:$AW$7)</f>
        <v>Financial Close-Out Date</v>
      </c>
      <c r="C87" s="189" t="s">
        <v>442</v>
      </c>
    </row>
    <row r="88" spans="1:3" x14ac:dyDescent="0.55000000000000004">
      <c r="A88" s="37" t="s">
        <v>434</v>
      </c>
      <c r="B88" s="183" t="str">
        <f>_xlfn.XLOOKUP(A88, 'Monthly Update'!$A$6:$AW$6, 'Monthly Update'!$A$7:$AW$7)</f>
        <v>Funding - All Associated Projects</v>
      </c>
      <c r="C88" s="189" t="s">
        <v>442</v>
      </c>
    </row>
    <row r="89" spans="1:3" x14ac:dyDescent="0.55000000000000004">
      <c r="A89" s="37" t="s">
        <v>435</v>
      </c>
      <c r="B89" s="183" t="str">
        <f>_xlfn.XLOOKUP(A89, 'Monthly Update'!$A$6:$AW$6, 'Monthly Update'!$A$7:$AW$7)</f>
        <v>Funding - Construction Project</v>
      </c>
      <c r="C89" s="189" t="s">
        <v>442</v>
      </c>
    </row>
    <row r="90" spans="1:3" x14ac:dyDescent="0.55000000000000004">
      <c r="A90" s="37" t="s">
        <v>436</v>
      </c>
      <c r="B90" s="183" t="str">
        <f>_xlfn.XLOOKUP(A90, 'Monthly Update'!$A$6:$AW$6, 'Monthly Update'!$A$7:$AW$7)</f>
        <v>Funding - Site Acquisition</v>
      </c>
      <c r="C90" s="189" t="s">
        <v>442</v>
      </c>
    </row>
    <row r="91" spans="1:3" x14ac:dyDescent="0.55000000000000004">
      <c r="A91" s="301" t="str">
        <f>'Monthly Update'!AS5</f>
        <v xml:space="preserve">Section 7: Projected Cost </v>
      </c>
      <c r="B91" s="302"/>
      <c r="C91" s="303"/>
    </row>
    <row r="92" spans="1:3" x14ac:dyDescent="0.55000000000000004">
      <c r="A92" s="37" t="s">
        <v>437</v>
      </c>
      <c r="B92" s="183" t="str">
        <f>_xlfn.XLOOKUP(A92, 'Monthly Update'!$A$6:$AW$6, 'Monthly Update'!$A$7:$AW$7)</f>
        <v>Funding - Demolition</v>
      </c>
      <c r="C92" s="189" t="s">
        <v>513</v>
      </c>
    </row>
    <row r="93" spans="1:3" ht="28.8" x14ac:dyDescent="0.55000000000000004">
      <c r="A93" s="37" t="s">
        <v>438</v>
      </c>
      <c r="B93" s="183" t="str">
        <f>_xlfn.XLOOKUP(A93, 'Monthly Update'!$A$6:$AW$6, 'Monthly Update'!$A$7:$AW$7)</f>
        <v>Funding - All Other Associated Projects</v>
      </c>
      <c r="C93" s="189" t="s">
        <v>514</v>
      </c>
    </row>
    <row r="94" spans="1:3" ht="28.8" x14ac:dyDescent="0.55000000000000004">
      <c r="A94" s="37" t="s">
        <v>439</v>
      </c>
      <c r="B94" s="183" t="str">
        <f>_xlfn.XLOOKUP(A94, 'Monthly Update'!$A$6:$AW$6, 'Monthly Update'!$A$7:$AW$7)</f>
        <v xml:space="preserve">Basis of Cost Estimate </v>
      </c>
      <c r="C94" s="189" t="s">
        <v>457</v>
      </c>
    </row>
    <row r="95" spans="1:3" ht="28.8" x14ac:dyDescent="0.55000000000000004">
      <c r="A95" s="37" t="s">
        <v>440</v>
      </c>
      <c r="B95" s="183" t="str">
        <f>_xlfn.XLOOKUP(A95, 'Monthly Update'!$A$6:$AW$6, 'Monthly Update'!$A$7:$AW$7)</f>
        <v>Estimated Cost - Construction Project</v>
      </c>
      <c r="C95" s="189" t="s">
        <v>458</v>
      </c>
    </row>
    <row r="96" spans="1:3" ht="28.8" x14ac:dyDescent="0.55000000000000004">
      <c r="A96" s="37" t="s">
        <v>441</v>
      </c>
      <c r="B96" s="183" t="str">
        <f>_xlfn.XLOOKUP(A96, 'Monthly Update'!$A$6:$AW$6, 'Monthly Update'!$A$7:$AW$7)</f>
        <v>Estimated Cost - Land</v>
      </c>
      <c r="C96" s="189" t="s">
        <v>515</v>
      </c>
    </row>
  </sheetData>
  <sheetProtection sheet="1" objects="1" scenarios="1"/>
  <mergeCells count="16">
    <mergeCell ref="A1:D1"/>
    <mergeCell ref="A15:D15"/>
    <mergeCell ref="A24:D24"/>
    <mergeCell ref="A43:C43"/>
    <mergeCell ref="A51:C51"/>
    <mergeCell ref="A41:D41"/>
    <mergeCell ref="A26:C26"/>
    <mergeCell ref="A37:C37"/>
    <mergeCell ref="B6:C6"/>
    <mergeCell ref="B17:C17"/>
    <mergeCell ref="B11:C11"/>
    <mergeCell ref="A91:C91"/>
    <mergeCell ref="A85:C85"/>
    <mergeCell ref="A79:C79"/>
    <mergeCell ref="A73:C73"/>
    <mergeCell ref="A60:C6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87A5-FB4E-4910-9735-DDAC46808C30}">
  <sheetPr codeName="Sheet4"/>
  <dimension ref="A1:E29"/>
  <sheetViews>
    <sheetView workbookViewId="0">
      <selection activeCell="A29" sqref="A29"/>
    </sheetView>
  </sheetViews>
  <sheetFormatPr defaultRowHeight="14.4" x14ac:dyDescent="0.55000000000000004"/>
  <cols>
    <col min="1" max="1" width="47.578125" customWidth="1"/>
    <col min="2" max="2" width="35.26171875" customWidth="1"/>
    <col min="3" max="3" width="28.26171875" customWidth="1"/>
    <col min="4" max="4" width="27" customWidth="1"/>
    <col min="5" max="5" width="35.26171875" customWidth="1"/>
  </cols>
  <sheetData>
    <row r="1" spans="1:5" ht="24.9" x14ac:dyDescent="0.55000000000000004">
      <c r="A1" s="315" t="s">
        <v>319</v>
      </c>
      <c r="B1" s="315"/>
    </row>
    <row r="4" spans="1:5" x14ac:dyDescent="0.55000000000000004">
      <c r="A4" t="s">
        <v>96</v>
      </c>
      <c r="B4" t="s">
        <v>362</v>
      </c>
      <c r="C4" t="s">
        <v>97</v>
      </c>
      <c r="D4" t="s">
        <v>98</v>
      </c>
      <c r="E4" t="s">
        <v>99</v>
      </c>
    </row>
    <row r="5" spans="1:5" x14ac:dyDescent="0.55000000000000004">
      <c r="A5" s="78" t="s">
        <v>323</v>
      </c>
      <c r="B5" s="78" t="s">
        <v>363</v>
      </c>
      <c r="C5" s="78" t="s">
        <v>324</v>
      </c>
      <c r="D5" s="78" t="s">
        <v>325</v>
      </c>
      <c r="E5" s="78" t="s">
        <v>326</v>
      </c>
    </row>
    <row r="6" spans="1:5" x14ac:dyDescent="0.55000000000000004">
      <c r="A6" s="78"/>
      <c r="B6" s="78"/>
      <c r="C6" s="78"/>
      <c r="D6" s="78"/>
      <c r="E6" s="78"/>
    </row>
    <row r="7" spans="1:5" x14ac:dyDescent="0.55000000000000004">
      <c r="A7" s="78"/>
      <c r="B7" s="78"/>
      <c r="C7" s="78"/>
      <c r="D7" s="78"/>
      <c r="E7" s="78"/>
    </row>
    <row r="8" spans="1:5" x14ac:dyDescent="0.55000000000000004">
      <c r="A8" s="78"/>
      <c r="B8" s="78"/>
      <c r="C8" s="78"/>
      <c r="D8" s="78"/>
      <c r="E8" s="78"/>
    </row>
    <row r="9" spans="1:5" x14ac:dyDescent="0.55000000000000004">
      <c r="A9" s="78"/>
      <c r="B9" s="78"/>
      <c r="C9" s="78"/>
      <c r="D9" s="78"/>
      <c r="E9" s="78"/>
    </row>
    <row r="10" spans="1:5" x14ac:dyDescent="0.55000000000000004">
      <c r="A10" s="78"/>
      <c r="B10" s="78"/>
      <c r="C10" s="78"/>
      <c r="D10" s="78"/>
      <c r="E10" s="78"/>
    </row>
    <row r="11" spans="1:5" x14ac:dyDescent="0.55000000000000004">
      <c r="A11" s="78"/>
      <c r="B11" s="78"/>
      <c r="C11" s="78"/>
      <c r="D11" s="78"/>
      <c r="E11" s="78"/>
    </row>
    <row r="12" spans="1:5" x14ac:dyDescent="0.55000000000000004">
      <c r="A12" s="78"/>
      <c r="B12" s="78"/>
      <c r="C12" s="78"/>
      <c r="D12" s="78"/>
      <c r="E12" s="78"/>
    </row>
    <row r="13" spans="1:5" x14ac:dyDescent="0.55000000000000004">
      <c r="A13" s="78"/>
      <c r="B13" s="78"/>
      <c r="C13" s="78"/>
      <c r="D13" s="78"/>
      <c r="E13" s="78"/>
    </row>
    <row r="14" spans="1:5" x14ac:dyDescent="0.55000000000000004">
      <c r="A14" s="78"/>
      <c r="B14" s="78"/>
      <c r="C14" s="78"/>
      <c r="D14" s="78"/>
      <c r="E14" s="78"/>
    </row>
    <row r="15" spans="1:5" x14ac:dyDescent="0.55000000000000004">
      <c r="A15" s="78"/>
      <c r="B15" s="78"/>
      <c r="C15" s="78"/>
      <c r="D15" s="78"/>
      <c r="E15" s="78"/>
    </row>
    <row r="16" spans="1:5" x14ac:dyDescent="0.55000000000000004">
      <c r="A16" s="78"/>
      <c r="B16" s="78"/>
      <c r="C16" s="78"/>
      <c r="D16" s="78"/>
      <c r="E16" s="78"/>
    </row>
    <row r="17" spans="1:5" x14ac:dyDescent="0.55000000000000004">
      <c r="A17" s="78"/>
      <c r="B17" s="78"/>
      <c r="C17" s="78"/>
      <c r="D17" s="78"/>
      <c r="E17" s="78"/>
    </row>
    <row r="18" spans="1:5" x14ac:dyDescent="0.55000000000000004">
      <c r="A18" s="78"/>
      <c r="B18" s="78"/>
      <c r="C18" s="78"/>
      <c r="D18" s="78"/>
      <c r="E18" s="78"/>
    </row>
    <row r="19" spans="1:5" x14ac:dyDescent="0.55000000000000004">
      <c r="A19" s="78"/>
      <c r="B19" s="78"/>
      <c r="C19" s="78"/>
      <c r="D19" s="78"/>
      <c r="E19" s="78"/>
    </row>
    <row r="20" spans="1:5" x14ac:dyDescent="0.55000000000000004">
      <c r="A20" s="78"/>
      <c r="B20" s="78"/>
      <c r="C20" s="78"/>
      <c r="D20" s="78"/>
      <c r="E20" s="78"/>
    </row>
    <row r="21" spans="1:5" x14ac:dyDescent="0.55000000000000004">
      <c r="A21" s="78"/>
      <c r="B21" s="78"/>
      <c r="C21" s="78"/>
      <c r="D21" s="78"/>
      <c r="E21" s="78"/>
    </row>
    <row r="22" spans="1:5" x14ac:dyDescent="0.55000000000000004">
      <c r="A22" s="78"/>
      <c r="B22" s="78"/>
      <c r="C22" s="78"/>
      <c r="D22" s="78"/>
      <c r="E22" s="78"/>
    </row>
    <row r="23" spans="1:5" x14ac:dyDescent="0.55000000000000004">
      <c r="A23" s="78"/>
      <c r="B23" s="78"/>
      <c r="C23" s="78"/>
      <c r="D23" s="78"/>
      <c r="E23" s="78"/>
    </row>
    <row r="24" spans="1:5" x14ac:dyDescent="0.55000000000000004">
      <c r="A24" s="78"/>
      <c r="B24" s="78"/>
      <c r="C24" s="78"/>
      <c r="D24" s="78"/>
      <c r="E24" s="78"/>
    </row>
    <row r="25" spans="1:5" x14ac:dyDescent="0.55000000000000004">
      <c r="A25" s="78"/>
      <c r="B25" s="78"/>
      <c r="C25" s="78"/>
      <c r="D25" s="78"/>
      <c r="E25" s="78"/>
    </row>
    <row r="26" spans="1:5" x14ac:dyDescent="0.55000000000000004">
      <c r="A26" s="78"/>
      <c r="B26" s="78"/>
      <c r="C26" s="78"/>
      <c r="D26" s="78"/>
      <c r="E26" s="78"/>
    </row>
    <row r="27" spans="1:5" x14ac:dyDescent="0.55000000000000004">
      <c r="A27" s="78"/>
      <c r="B27" s="78"/>
      <c r="C27" s="78"/>
      <c r="D27" s="78"/>
      <c r="E27" s="78"/>
    </row>
    <row r="28" spans="1:5" x14ac:dyDescent="0.55000000000000004">
      <c r="A28" s="78"/>
      <c r="B28" s="78"/>
      <c r="C28" s="78"/>
      <c r="D28" s="78"/>
      <c r="E28" s="78"/>
    </row>
    <row r="29" spans="1:5" x14ac:dyDescent="0.55000000000000004">
      <c r="A29" s="78"/>
      <c r="B29" s="78"/>
      <c r="C29" s="78"/>
      <c r="D29" s="78"/>
      <c r="E29" s="78"/>
    </row>
  </sheetData>
  <sheetProtection sheet="1" formatColumns="0" formatRows="0"/>
  <mergeCells count="1">
    <mergeCell ref="A1:B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1B7FC53-60F4-4D32-9171-505B6887D568}">
          <x14:formula1>
            <xm:f>List!$B$32:$B$36</xm:f>
          </x14:formula1>
          <xm:sqref>B5:B29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2339-DB27-40BC-B3A6-1CB12E8DDF2E}">
  <sheetPr codeName="Sheet7"/>
  <dimension ref="A1:QX116"/>
  <sheetViews>
    <sheetView workbookViewId="0">
      <selection activeCell="A8" sqref="A8"/>
    </sheetView>
  </sheetViews>
  <sheetFormatPr defaultColWidth="10.41796875" defaultRowHeight="14.25" customHeight="1" x14ac:dyDescent="0.55000000000000004"/>
  <cols>
    <col min="1" max="1" width="13.41796875" style="2" customWidth="1"/>
    <col min="2" max="2" width="54.68359375" style="2" bestFit="1" customWidth="1"/>
    <col min="3" max="3" width="54.68359375" style="2" customWidth="1"/>
    <col min="4" max="4" width="25" style="2" customWidth="1"/>
    <col min="5" max="5" width="29.68359375" style="2" customWidth="1"/>
    <col min="6" max="8" width="14.41796875" style="2" customWidth="1"/>
    <col min="9" max="9" width="21.83984375" style="2" customWidth="1"/>
    <col min="10" max="10" width="14.41796875" style="2" customWidth="1"/>
    <col min="11" max="11" width="25" style="2" customWidth="1"/>
    <col min="12" max="12" width="20.578125" style="2" customWidth="1"/>
    <col min="467" max="16384" width="10.41796875" style="2"/>
  </cols>
  <sheetData>
    <row r="1" spans="1:466" s="23" customFormat="1" ht="43.5" customHeight="1" thickTop="1" thickBot="1" x14ac:dyDescent="0.6">
      <c r="A1" s="318" t="s">
        <v>358</v>
      </c>
      <c r="B1" s="319"/>
      <c r="E1" s="22"/>
      <c r="F1" s="59"/>
      <c r="G1" s="62"/>
      <c r="H1" s="62"/>
      <c r="I1" s="62"/>
      <c r="J1" s="62"/>
      <c r="K1" s="54"/>
      <c r="L1" s="54"/>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row>
    <row r="2" spans="1:466" s="24" customFormat="1" ht="24.75" customHeight="1" thickTop="1" thickBot="1" x14ac:dyDescent="0.6">
      <c r="A2" s="63" t="str">
        <f>Translation!A5</f>
        <v>Section 1: Project Details</v>
      </c>
      <c r="B2" s="64"/>
      <c r="C2" s="64"/>
      <c r="D2" s="64"/>
      <c r="E2" s="64"/>
      <c r="F2" s="64"/>
      <c r="G2" s="64"/>
      <c r="H2" s="64"/>
      <c r="I2" s="64"/>
      <c r="J2" s="64"/>
      <c r="K2" s="316" t="s">
        <v>479</v>
      </c>
      <c r="L2" s="317"/>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row>
    <row r="3" spans="1:466" s="1" customFormat="1" ht="14.4" x14ac:dyDescent="0.55000000000000004">
      <c r="A3" s="37" t="str">
        <f>"Col "&amp;COLUMN()</f>
        <v>Col 1</v>
      </c>
      <c r="B3" s="37" t="str">
        <f t="shared" ref="B3:L3" si="0">"Col "&amp;COLUMN()</f>
        <v>Col 2</v>
      </c>
      <c r="C3" s="37" t="str">
        <f t="shared" si="0"/>
        <v>Col 3</v>
      </c>
      <c r="D3" s="37" t="str">
        <f t="shared" si="0"/>
        <v>Col 4</v>
      </c>
      <c r="E3" s="37" t="str">
        <f t="shared" si="0"/>
        <v>Col 5</v>
      </c>
      <c r="F3" s="37" t="str">
        <f t="shared" si="0"/>
        <v>Col 6</v>
      </c>
      <c r="G3" s="37" t="str">
        <f t="shared" si="0"/>
        <v>Col 7</v>
      </c>
      <c r="H3" s="37" t="str">
        <f t="shared" si="0"/>
        <v>Col 8</v>
      </c>
      <c r="I3" s="37" t="str">
        <f t="shared" si="0"/>
        <v>Col 9</v>
      </c>
      <c r="J3" s="37" t="str">
        <f t="shared" si="0"/>
        <v>Col 10</v>
      </c>
      <c r="K3" s="37" t="str">
        <f t="shared" si="0"/>
        <v>Col 11</v>
      </c>
      <c r="L3" s="37" t="str">
        <f t="shared" si="0"/>
        <v>Col 12</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row>
    <row r="4" spans="1:466" s="42" customFormat="1" ht="60.75" customHeight="1" x14ac:dyDescent="0.55000000000000004">
      <c r="A4" s="39" t="str">
        <f>Translation!A6</f>
        <v>Project ID</v>
      </c>
      <c r="B4" s="39" t="str">
        <f>Translation!A7</f>
        <v>Project Name</v>
      </c>
      <c r="C4" s="39" t="s">
        <v>256</v>
      </c>
      <c r="D4" s="39" t="str">
        <f>Translation!A11</f>
        <v>Project Type</v>
      </c>
      <c r="E4" s="39" t="str">
        <f>Translation!A13</f>
        <v xml:space="preserve">Project Category </v>
      </c>
      <c r="F4" s="39" t="str">
        <f>Translation!A8</f>
        <v>Address</v>
      </c>
      <c r="G4" s="39" t="str">
        <f>Translation!A9</f>
        <v xml:space="preserve">City </v>
      </c>
      <c r="H4" s="39" t="str">
        <f>Translation!A10</f>
        <v>Postal Code</v>
      </c>
      <c r="I4" s="39" t="s">
        <v>315</v>
      </c>
      <c r="J4" s="39" t="s">
        <v>248</v>
      </c>
      <c r="K4" s="39" t="s">
        <v>249</v>
      </c>
      <c r="L4" s="39" t="str">
        <f>Translation!A70</f>
        <v>Opening Ceremony - Date</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row>
    <row r="5" spans="1:466" ht="62.25" hidden="1" customHeight="1" x14ac:dyDescent="0.55000000000000004">
      <c r="A5" s="27" t="s">
        <v>3</v>
      </c>
      <c r="B5" s="28" t="s">
        <v>4</v>
      </c>
      <c r="C5" s="28"/>
      <c r="D5" s="28" t="s">
        <v>101</v>
      </c>
      <c r="E5" s="29" t="s">
        <v>102</v>
      </c>
      <c r="F5" s="28"/>
      <c r="G5" s="28"/>
      <c r="H5" s="28"/>
      <c r="I5" s="28"/>
      <c r="J5" s="28"/>
      <c r="K5" s="31"/>
      <c r="L5" s="31"/>
    </row>
    <row r="6" spans="1:466" ht="5.25" customHeight="1" x14ac:dyDescent="0.55000000000000004">
      <c r="A6" s="11"/>
      <c r="B6" s="12"/>
      <c r="C6" s="12"/>
      <c r="D6" s="12"/>
      <c r="E6" s="13"/>
      <c r="F6" s="12"/>
      <c r="G6" s="12"/>
      <c r="H6" s="12"/>
      <c r="I6" s="12"/>
      <c r="J6" s="12"/>
      <c r="K6" s="11"/>
      <c r="L6" s="12"/>
    </row>
    <row r="7" spans="1:466" ht="15.6" customHeight="1" x14ac:dyDescent="0.55000000000000004">
      <c r="A7" s="15" t="s">
        <v>297</v>
      </c>
      <c r="B7" s="55" t="s">
        <v>288</v>
      </c>
      <c r="C7" s="66" t="s">
        <v>298</v>
      </c>
      <c r="D7" s="216" t="s">
        <v>263</v>
      </c>
      <c r="E7" s="216" t="s">
        <v>264</v>
      </c>
      <c r="F7" s="66" t="s">
        <v>299</v>
      </c>
      <c r="G7" s="66" t="s">
        <v>316</v>
      </c>
      <c r="H7" s="66" t="s">
        <v>300</v>
      </c>
      <c r="I7" s="66" t="s">
        <v>314</v>
      </c>
      <c r="J7" s="66" t="s">
        <v>301</v>
      </c>
      <c r="K7" s="66" t="s">
        <v>302</v>
      </c>
      <c r="L7" s="66" t="s">
        <v>303</v>
      </c>
    </row>
    <row r="8" spans="1:466" s="105" customFormat="1" ht="15.6" customHeight="1" x14ac:dyDescent="0.55000000000000004">
      <c r="A8" s="81"/>
      <c r="B8" s="56"/>
      <c r="C8" s="56"/>
      <c r="D8" s="82"/>
      <c r="E8" s="82"/>
      <c r="F8" s="56"/>
      <c r="G8" s="57"/>
      <c r="H8" s="56"/>
      <c r="I8" s="56"/>
      <c r="J8" s="56"/>
      <c r="K8" s="104"/>
      <c r="L8" s="56"/>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c r="CY8" s="83"/>
      <c r="CZ8" s="83"/>
      <c r="DA8" s="83"/>
      <c r="DB8" s="83"/>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c r="ED8" s="83"/>
      <c r="EE8" s="83"/>
      <c r="EF8" s="83"/>
      <c r="EG8" s="83"/>
      <c r="EH8" s="83"/>
      <c r="EI8" s="83"/>
      <c r="EJ8" s="83"/>
      <c r="EK8" s="83"/>
      <c r="EL8" s="83"/>
      <c r="EM8" s="83"/>
      <c r="EN8" s="83"/>
      <c r="EO8" s="83"/>
      <c r="EP8" s="83"/>
      <c r="EQ8" s="83"/>
      <c r="ER8" s="83"/>
      <c r="ES8" s="83"/>
      <c r="ET8" s="83"/>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c r="GL8" s="83"/>
      <c r="GM8" s="83"/>
      <c r="GN8" s="83"/>
      <c r="GO8" s="83"/>
      <c r="GP8" s="83"/>
      <c r="GQ8" s="83"/>
      <c r="GR8" s="83"/>
      <c r="GS8" s="83"/>
      <c r="GT8" s="83"/>
      <c r="GU8" s="83"/>
      <c r="GV8" s="83"/>
      <c r="GW8" s="83"/>
      <c r="GX8" s="83"/>
      <c r="GY8" s="83"/>
      <c r="GZ8" s="83"/>
      <c r="HA8" s="83"/>
      <c r="HB8" s="83"/>
      <c r="HC8" s="83"/>
      <c r="HD8" s="83"/>
      <c r="HE8" s="83"/>
      <c r="HF8" s="83"/>
      <c r="HG8" s="83"/>
      <c r="HH8" s="83"/>
      <c r="HI8" s="83"/>
      <c r="HJ8" s="83"/>
      <c r="HK8" s="83"/>
      <c r="HL8" s="83"/>
      <c r="HM8" s="83"/>
      <c r="HN8" s="83"/>
      <c r="HO8" s="83"/>
      <c r="HP8" s="83"/>
      <c r="HQ8" s="83"/>
      <c r="HR8" s="83"/>
      <c r="HS8" s="83"/>
      <c r="HT8" s="83"/>
      <c r="HU8" s="83"/>
      <c r="HV8" s="83"/>
      <c r="HW8" s="83"/>
      <c r="HX8" s="83"/>
      <c r="HY8" s="83"/>
      <c r="HZ8" s="83"/>
      <c r="IA8" s="83"/>
      <c r="IB8" s="83"/>
      <c r="IC8" s="83"/>
      <c r="ID8" s="83"/>
      <c r="IE8" s="83"/>
      <c r="IF8" s="83"/>
      <c r="IG8" s="83"/>
      <c r="IH8" s="83"/>
      <c r="II8" s="83"/>
      <c r="IJ8" s="83"/>
      <c r="IK8" s="83"/>
      <c r="IL8" s="83"/>
      <c r="IM8" s="83"/>
      <c r="IN8" s="83"/>
      <c r="IO8" s="83"/>
      <c r="IP8" s="83"/>
      <c r="IQ8" s="83"/>
      <c r="IR8" s="83"/>
      <c r="IS8" s="83"/>
      <c r="IT8" s="83"/>
      <c r="IU8" s="83"/>
      <c r="IV8" s="83"/>
      <c r="IW8" s="83"/>
      <c r="IX8" s="83"/>
      <c r="IY8" s="83"/>
      <c r="IZ8" s="83"/>
      <c r="JA8" s="83"/>
      <c r="JB8" s="83"/>
      <c r="JC8" s="83"/>
      <c r="JD8" s="83"/>
      <c r="JE8" s="83"/>
      <c r="JF8" s="83"/>
      <c r="JG8" s="83"/>
      <c r="JH8" s="83"/>
      <c r="JI8" s="83"/>
      <c r="JJ8" s="83"/>
      <c r="JK8" s="83"/>
      <c r="JL8" s="83"/>
      <c r="JM8" s="83"/>
      <c r="JN8" s="83"/>
      <c r="JO8" s="83"/>
      <c r="JP8" s="83"/>
      <c r="JQ8" s="83"/>
      <c r="JR8" s="83"/>
      <c r="JS8" s="83"/>
      <c r="JT8" s="83"/>
      <c r="JU8" s="83"/>
      <c r="JV8" s="83"/>
      <c r="JW8" s="83"/>
      <c r="JX8" s="83"/>
      <c r="JY8" s="83"/>
      <c r="JZ8" s="83"/>
      <c r="KA8" s="83"/>
      <c r="KB8" s="83"/>
      <c r="KC8" s="83"/>
      <c r="KD8" s="83"/>
      <c r="KE8" s="83"/>
      <c r="KF8" s="83"/>
      <c r="KG8" s="83"/>
      <c r="KH8" s="83"/>
      <c r="KI8" s="83"/>
      <c r="KJ8" s="83"/>
      <c r="KK8" s="83"/>
      <c r="KL8" s="83"/>
      <c r="KM8" s="83"/>
      <c r="KN8" s="83"/>
      <c r="KO8" s="83"/>
      <c r="KP8" s="83"/>
      <c r="KQ8" s="83"/>
      <c r="KR8" s="83"/>
      <c r="KS8" s="83"/>
      <c r="KT8" s="83"/>
      <c r="KU8" s="83"/>
      <c r="KV8" s="83"/>
      <c r="KW8" s="83"/>
      <c r="KX8" s="83"/>
      <c r="KY8" s="83"/>
      <c r="KZ8" s="83"/>
      <c r="LA8" s="83"/>
      <c r="LB8" s="83"/>
      <c r="LC8" s="83"/>
      <c r="LD8" s="83"/>
      <c r="LE8" s="83"/>
      <c r="LF8" s="83"/>
      <c r="LG8" s="83"/>
      <c r="LH8" s="83"/>
      <c r="LI8" s="83"/>
      <c r="LJ8" s="83"/>
      <c r="LK8" s="83"/>
      <c r="LL8" s="83"/>
      <c r="LM8" s="83"/>
      <c r="LN8" s="83"/>
      <c r="LO8" s="83"/>
      <c r="LP8" s="83"/>
      <c r="LQ8" s="83"/>
      <c r="LR8" s="83"/>
      <c r="LS8" s="83"/>
      <c r="LT8" s="83"/>
      <c r="LU8" s="83"/>
      <c r="LV8" s="83"/>
      <c r="LW8" s="83"/>
      <c r="LX8" s="83"/>
      <c r="LY8" s="83"/>
      <c r="LZ8" s="83"/>
      <c r="MA8" s="83"/>
      <c r="MB8" s="83"/>
      <c r="MC8" s="83"/>
      <c r="MD8" s="83"/>
      <c r="ME8" s="83"/>
      <c r="MF8" s="83"/>
      <c r="MG8" s="83"/>
      <c r="MH8" s="83"/>
      <c r="MI8" s="83"/>
      <c r="MJ8" s="83"/>
      <c r="MK8" s="83"/>
      <c r="ML8" s="83"/>
      <c r="MM8" s="83"/>
      <c r="MN8" s="83"/>
      <c r="MO8" s="83"/>
      <c r="MP8" s="83"/>
      <c r="MQ8" s="83"/>
      <c r="MR8" s="83"/>
      <c r="MS8" s="83"/>
      <c r="MT8" s="83"/>
      <c r="MU8" s="83"/>
      <c r="MV8" s="83"/>
      <c r="MW8" s="83"/>
      <c r="MX8" s="83"/>
      <c r="MY8" s="83"/>
      <c r="MZ8" s="83"/>
      <c r="NA8" s="83"/>
      <c r="NB8" s="83"/>
      <c r="NC8" s="83"/>
      <c r="ND8" s="83"/>
      <c r="NE8" s="83"/>
      <c r="NF8" s="83"/>
      <c r="NG8" s="83"/>
      <c r="NH8" s="83"/>
      <c r="NI8" s="83"/>
      <c r="NJ8" s="83"/>
      <c r="NK8" s="83"/>
      <c r="NL8" s="83"/>
      <c r="NM8" s="83"/>
      <c r="NN8" s="83"/>
      <c r="NO8" s="83"/>
      <c r="NP8" s="83"/>
      <c r="NQ8" s="83"/>
      <c r="NR8" s="83"/>
      <c r="NS8" s="83"/>
      <c r="NT8" s="83"/>
      <c r="NU8" s="83"/>
      <c r="NV8" s="83"/>
      <c r="NW8" s="83"/>
      <c r="NX8" s="83"/>
      <c r="NY8" s="83"/>
      <c r="NZ8" s="83"/>
      <c r="OA8" s="83"/>
      <c r="OB8" s="83"/>
      <c r="OC8" s="83"/>
      <c r="OD8" s="83"/>
      <c r="OE8" s="83"/>
      <c r="OF8" s="83"/>
      <c r="OG8" s="83"/>
      <c r="OH8" s="83"/>
      <c r="OI8" s="83"/>
      <c r="OJ8" s="83"/>
      <c r="OK8" s="83"/>
      <c r="OL8" s="83"/>
      <c r="OM8" s="83"/>
      <c r="ON8" s="83"/>
      <c r="OO8" s="83"/>
      <c r="OP8" s="83"/>
      <c r="OQ8" s="83"/>
      <c r="OR8" s="83"/>
      <c r="OS8" s="83"/>
      <c r="OT8" s="83"/>
      <c r="OU8" s="83"/>
      <c r="OV8" s="83"/>
      <c r="OW8" s="83"/>
      <c r="OX8" s="83"/>
      <c r="OY8" s="83"/>
      <c r="OZ8" s="83"/>
      <c r="PA8" s="83"/>
      <c r="PB8" s="83"/>
      <c r="PC8" s="83"/>
      <c r="PD8" s="83"/>
      <c r="PE8" s="83"/>
      <c r="PF8" s="83"/>
      <c r="PG8" s="83"/>
      <c r="PH8" s="83"/>
      <c r="PI8" s="83"/>
      <c r="PJ8" s="83"/>
      <c r="PK8" s="83"/>
      <c r="PL8" s="83"/>
      <c r="PM8" s="83"/>
      <c r="PN8" s="83"/>
      <c r="PO8" s="83"/>
      <c r="PP8" s="83"/>
      <c r="PQ8" s="83"/>
      <c r="PR8" s="83"/>
      <c r="PS8" s="83"/>
      <c r="PT8" s="83"/>
      <c r="PU8" s="83"/>
      <c r="PV8" s="83"/>
      <c r="PW8" s="83"/>
      <c r="PX8" s="83"/>
      <c r="PY8" s="83"/>
      <c r="PZ8" s="83"/>
      <c r="QA8" s="83"/>
      <c r="QB8" s="83"/>
      <c r="QC8" s="83"/>
      <c r="QD8" s="83"/>
      <c r="QE8" s="83"/>
      <c r="QF8" s="83"/>
      <c r="QG8" s="83"/>
      <c r="QH8" s="83"/>
      <c r="QI8" s="83"/>
      <c r="QJ8" s="83"/>
      <c r="QK8" s="83"/>
      <c r="QL8" s="83"/>
      <c r="QM8" s="83"/>
      <c r="QN8" s="83"/>
      <c r="QO8" s="83"/>
      <c r="QP8" s="83"/>
      <c r="QQ8" s="83"/>
      <c r="QR8" s="83"/>
      <c r="QS8" s="83"/>
      <c r="QT8" s="83"/>
      <c r="QU8" s="83"/>
      <c r="QV8" s="83"/>
      <c r="QW8" s="83"/>
      <c r="QX8" s="83"/>
    </row>
    <row r="9" spans="1:466" s="105" customFormat="1" ht="15.6" customHeight="1" x14ac:dyDescent="0.55000000000000004">
      <c r="A9" s="81"/>
      <c r="B9" s="56"/>
      <c r="C9" s="56"/>
      <c r="D9" s="82"/>
      <c r="E9" s="82"/>
      <c r="F9" s="56"/>
      <c r="G9" s="57"/>
      <c r="H9" s="56"/>
      <c r="I9" s="56"/>
      <c r="J9" s="56"/>
      <c r="K9" s="56"/>
      <c r="L9" s="56"/>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c r="CY9" s="83"/>
      <c r="CZ9" s="83"/>
      <c r="DA9" s="83"/>
      <c r="DB9" s="83"/>
      <c r="DC9" s="83"/>
      <c r="DD9" s="83"/>
      <c r="DE9" s="83"/>
      <c r="DF9" s="83"/>
      <c r="DG9" s="83"/>
      <c r="DH9" s="83"/>
      <c r="DI9" s="83"/>
      <c r="DJ9" s="83"/>
      <c r="DK9" s="83"/>
      <c r="DL9" s="83"/>
      <c r="DM9" s="83"/>
      <c r="DN9" s="83"/>
      <c r="DO9" s="83"/>
      <c r="DP9" s="83"/>
      <c r="DQ9" s="83"/>
      <c r="DR9" s="83"/>
      <c r="DS9" s="83"/>
      <c r="DT9" s="83"/>
      <c r="DU9" s="83"/>
      <c r="DV9" s="83"/>
      <c r="DW9" s="83"/>
      <c r="DX9" s="83"/>
      <c r="DY9" s="83"/>
      <c r="DZ9" s="83"/>
      <c r="EA9" s="83"/>
      <c r="EB9" s="83"/>
      <c r="EC9" s="83"/>
      <c r="ED9" s="83"/>
      <c r="EE9" s="83"/>
      <c r="EF9" s="83"/>
      <c r="EG9" s="83"/>
      <c r="EH9" s="83"/>
      <c r="EI9" s="83"/>
      <c r="EJ9" s="83"/>
      <c r="EK9" s="83"/>
      <c r="EL9" s="83"/>
      <c r="EM9" s="83"/>
      <c r="EN9" s="83"/>
      <c r="EO9" s="83"/>
      <c r="EP9" s="83"/>
      <c r="EQ9" s="83"/>
      <c r="ER9" s="83"/>
      <c r="ES9" s="83"/>
      <c r="ET9" s="83"/>
      <c r="EU9" s="83"/>
      <c r="EV9" s="83"/>
      <c r="EW9" s="83"/>
      <c r="EX9" s="83"/>
      <c r="EY9" s="83"/>
      <c r="EZ9" s="83"/>
      <c r="FA9" s="83"/>
      <c r="FB9" s="83"/>
      <c r="FC9" s="83"/>
      <c r="FD9" s="83"/>
      <c r="FE9" s="83"/>
      <c r="FF9" s="83"/>
      <c r="FG9" s="83"/>
      <c r="FH9" s="83"/>
      <c r="FI9" s="83"/>
      <c r="FJ9" s="83"/>
      <c r="FK9" s="83"/>
      <c r="FL9" s="83"/>
      <c r="FM9" s="83"/>
      <c r="FN9" s="83"/>
      <c r="FO9" s="83"/>
      <c r="FP9" s="83"/>
      <c r="FQ9" s="83"/>
      <c r="FR9" s="83"/>
      <c r="FS9" s="83"/>
      <c r="FT9" s="83"/>
      <c r="FU9" s="83"/>
      <c r="FV9" s="83"/>
      <c r="FW9" s="83"/>
      <c r="FX9" s="83"/>
      <c r="FY9" s="83"/>
      <c r="FZ9" s="83"/>
      <c r="GA9" s="83"/>
      <c r="GB9" s="83"/>
      <c r="GC9" s="83"/>
      <c r="GD9" s="83"/>
      <c r="GE9" s="83"/>
      <c r="GF9" s="83"/>
      <c r="GG9" s="83"/>
      <c r="GH9" s="83"/>
      <c r="GI9" s="83"/>
      <c r="GJ9" s="83"/>
      <c r="GK9" s="83"/>
      <c r="GL9" s="83"/>
      <c r="GM9" s="83"/>
      <c r="GN9" s="83"/>
      <c r="GO9" s="83"/>
      <c r="GP9" s="83"/>
      <c r="GQ9" s="83"/>
      <c r="GR9" s="83"/>
      <c r="GS9" s="83"/>
      <c r="GT9" s="83"/>
      <c r="GU9" s="83"/>
      <c r="GV9" s="83"/>
      <c r="GW9" s="83"/>
      <c r="GX9" s="83"/>
      <c r="GY9" s="83"/>
      <c r="GZ9" s="83"/>
      <c r="HA9" s="83"/>
      <c r="HB9" s="83"/>
      <c r="HC9" s="83"/>
      <c r="HD9" s="83"/>
      <c r="HE9" s="83"/>
      <c r="HF9" s="83"/>
      <c r="HG9" s="83"/>
      <c r="HH9" s="83"/>
      <c r="HI9" s="83"/>
      <c r="HJ9" s="83"/>
      <c r="HK9" s="83"/>
      <c r="HL9" s="83"/>
      <c r="HM9" s="83"/>
      <c r="HN9" s="83"/>
      <c r="HO9" s="83"/>
      <c r="HP9" s="83"/>
      <c r="HQ9" s="83"/>
      <c r="HR9" s="83"/>
      <c r="HS9" s="83"/>
      <c r="HT9" s="83"/>
      <c r="HU9" s="83"/>
      <c r="HV9" s="83"/>
      <c r="HW9" s="83"/>
      <c r="HX9" s="83"/>
      <c r="HY9" s="83"/>
      <c r="HZ9" s="83"/>
      <c r="IA9" s="83"/>
      <c r="IB9" s="83"/>
      <c r="IC9" s="83"/>
      <c r="ID9" s="83"/>
      <c r="IE9" s="83"/>
      <c r="IF9" s="83"/>
      <c r="IG9" s="83"/>
      <c r="IH9" s="83"/>
      <c r="II9" s="83"/>
      <c r="IJ9" s="83"/>
      <c r="IK9" s="83"/>
      <c r="IL9" s="83"/>
      <c r="IM9" s="83"/>
      <c r="IN9" s="83"/>
      <c r="IO9" s="83"/>
      <c r="IP9" s="83"/>
      <c r="IQ9" s="83"/>
      <c r="IR9" s="83"/>
      <c r="IS9" s="83"/>
      <c r="IT9" s="83"/>
      <c r="IU9" s="83"/>
      <c r="IV9" s="83"/>
      <c r="IW9" s="83"/>
      <c r="IX9" s="83"/>
      <c r="IY9" s="83"/>
      <c r="IZ9" s="83"/>
      <c r="JA9" s="83"/>
      <c r="JB9" s="83"/>
      <c r="JC9" s="83"/>
      <c r="JD9" s="83"/>
      <c r="JE9" s="83"/>
      <c r="JF9" s="83"/>
      <c r="JG9" s="83"/>
      <c r="JH9" s="83"/>
      <c r="JI9" s="83"/>
      <c r="JJ9" s="83"/>
      <c r="JK9" s="83"/>
      <c r="JL9" s="83"/>
      <c r="JM9" s="83"/>
      <c r="JN9" s="83"/>
      <c r="JO9" s="83"/>
      <c r="JP9" s="83"/>
      <c r="JQ9" s="83"/>
      <c r="JR9" s="83"/>
      <c r="JS9" s="83"/>
      <c r="JT9" s="83"/>
      <c r="JU9" s="83"/>
      <c r="JV9" s="83"/>
      <c r="JW9" s="83"/>
      <c r="JX9" s="83"/>
      <c r="JY9" s="83"/>
      <c r="JZ9" s="83"/>
      <c r="KA9" s="83"/>
      <c r="KB9" s="83"/>
      <c r="KC9" s="83"/>
      <c r="KD9" s="83"/>
      <c r="KE9" s="83"/>
      <c r="KF9" s="83"/>
      <c r="KG9" s="83"/>
      <c r="KH9" s="83"/>
      <c r="KI9" s="83"/>
      <c r="KJ9" s="83"/>
      <c r="KK9" s="83"/>
      <c r="KL9" s="83"/>
      <c r="KM9" s="83"/>
      <c r="KN9" s="83"/>
      <c r="KO9" s="83"/>
      <c r="KP9" s="83"/>
      <c r="KQ9" s="83"/>
      <c r="KR9" s="83"/>
      <c r="KS9" s="83"/>
      <c r="KT9" s="83"/>
      <c r="KU9" s="83"/>
      <c r="KV9" s="83"/>
      <c r="KW9" s="83"/>
      <c r="KX9" s="83"/>
      <c r="KY9" s="83"/>
      <c r="KZ9" s="83"/>
      <c r="LA9" s="83"/>
      <c r="LB9" s="83"/>
      <c r="LC9" s="83"/>
      <c r="LD9" s="83"/>
      <c r="LE9" s="83"/>
      <c r="LF9" s="83"/>
      <c r="LG9" s="83"/>
      <c r="LH9" s="83"/>
      <c r="LI9" s="83"/>
      <c r="LJ9" s="83"/>
      <c r="LK9" s="83"/>
      <c r="LL9" s="83"/>
      <c r="LM9" s="83"/>
      <c r="LN9" s="83"/>
      <c r="LO9" s="83"/>
      <c r="LP9" s="83"/>
      <c r="LQ9" s="83"/>
      <c r="LR9" s="83"/>
      <c r="LS9" s="83"/>
      <c r="LT9" s="83"/>
      <c r="LU9" s="83"/>
      <c r="LV9" s="83"/>
      <c r="LW9" s="83"/>
      <c r="LX9" s="83"/>
      <c r="LY9" s="83"/>
      <c r="LZ9" s="83"/>
      <c r="MA9" s="83"/>
      <c r="MB9" s="83"/>
      <c r="MC9" s="83"/>
      <c r="MD9" s="83"/>
      <c r="ME9" s="83"/>
      <c r="MF9" s="83"/>
      <c r="MG9" s="83"/>
      <c r="MH9" s="83"/>
      <c r="MI9" s="83"/>
      <c r="MJ9" s="83"/>
      <c r="MK9" s="83"/>
      <c r="ML9" s="83"/>
      <c r="MM9" s="83"/>
      <c r="MN9" s="83"/>
      <c r="MO9" s="83"/>
      <c r="MP9" s="83"/>
      <c r="MQ9" s="83"/>
      <c r="MR9" s="83"/>
      <c r="MS9" s="83"/>
      <c r="MT9" s="83"/>
      <c r="MU9" s="83"/>
      <c r="MV9" s="83"/>
      <c r="MW9" s="83"/>
      <c r="MX9" s="83"/>
      <c r="MY9" s="83"/>
      <c r="MZ9" s="83"/>
      <c r="NA9" s="83"/>
      <c r="NB9" s="83"/>
      <c r="NC9" s="83"/>
      <c r="ND9" s="83"/>
      <c r="NE9" s="83"/>
      <c r="NF9" s="83"/>
      <c r="NG9" s="83"/>
      <c r="NH9" s="83"/>
      <c r="NI9" s="83"/>
      <c r="NJ9" s="83"/>
      <c r="NK9" s="83"/>
      <c r="NL9" s="83"/>
      <c r="NM9" s="83"/>
      <c r="NN9" s="83"/>
      <c r="NO9" s="83"/>
      <c r="NP9" s="83"/>
      <c r="NQ9" s="83"/>
      <c r="NR9" s="83"/>
      <c r="NS9" s="83"/>
      <c r="NT9" s="83"/>
      <c r="NU9" s="83"/>
      <c r="NV9" s="83"/>
      <c r="NW9" s="83"/>
      <c r="NX9" s="83"/>
      <c r="NY9" s="83"/>
      <c r="NZ9" s="83"/>
      <c r="OA9" s="83"/>
      <c r="OB9" s="83"/>
      <c r="OC9" s="83"/>
      <c r="OD9" s="83"/>
      <c r="OE9" s="83"/>
      <c r="OF9" s="83"/>
      <c r="OG9" s="83"/>
      <c r="OH9" s="83"/>
      <c r="OI9" s="83"/>
      <c r="OJ9" s="83"/>
      <c r="OK9" s="83"/>
      <c r="OL9" s="83"/>
      <c r="OM9" s="83"/>
      <c r="ON9" s="83"/>
      <c r="OO9" s="83"/>
      <c r="OP9" s="83"/>
      <c r="OQ9" s="83"/>
      <c r="OR9" s="83"/>
      <c r="OS9" s="83"/>
      <c r="OT9" s="83"/>
      <c r="OU9" s="83"/>
      <c r="OV9" s="83"/>
      <c r="OW9" s="83"/>
      <c r="OX9" s="83"/>
      <c r="OY9" s="83"/>
      <c r="OZ9" s="83"/>
      <c r="PA9" s="83"/>
      <c r="PB9" s="83"/>
      <c r="PC9" s="83"/>
      <c r="PD9" s="83"/>
      <c r="PE9" s="83"/>
      <c r="PF9" s="83"/>
      <c r="PG9" s="83"/>
      <c r="PH9" s="83"/>
      <c r="PI9" s="83"/>
      <c r="PJ9" s="83"/>
      <c r="PK9" s="83"/>
      <c r="PL9" s="83"/>
      <c r="PM9" s="83"/>
      <c r="PN9" s="83"/>
      <c r="PO9" s="83"/>
      <c r="PP9" s="83"/>
      <c r="PQ9" s="83"/>
      <c r="PR9" s="83"/>
      <c r="PS9" s="83"/>
      <c r="PT9" s="83"/>
      <c r="PU9" s="83"/>
      <c r="PV9" s="83"/>
      <c r="PW9" s="83"/>
      <c r="PX9" s="83"/>
      <c r="PY9" s="83"/>
      <c r="PZ9" s="83"/>
      <c r="QA9" s="83"/>
      <c r="QB9" s="83"/>
      <c r="QC9" s="83"/>
      <c r="QD9" s="83"/>
      <c r="QE9" s="83"/>
      <c r="QF9" s="83"/>
      <c r="QG9" s="83"/>
      <c r="QH9" s="83"/>
      <c r="QI9" s="83"/>
      <c r="QJ9" s="83"/>
      <c r="QK9" s="83"/>
      <c r="QL9" s="83"/>
      <c r="QM9" s="83"/>
      <c r="QN9" s="83"/>
      <c r="QO9" s="83"/>
      <c r="QP9" s="83"/>
      <c r="QQ9" s="83"/>
      <c r="QR9" s="83"/>
      <c r="QS9" s="83"/>
      <c r="QT9" s="83"/>
      <c r="QU9" s="83"/>
      <c r="QV9" s="83"/>
      <c r="QW9" s="83"/>
      <c r="QX9" s="83"/>
    </row>
    <row r="10" spans="1:466" s="105" customFormat="1" ht="15.6" customHeight="1" x14ac:dyDescent="0.55000000000000004">
      <c r="A10" s="81"/>
      <c r="B10" s="56"/>
      <c r="C10" s="56"/>
      <c r="D10" s="82"/>
      <c r="E10" s="82"/>
      <c r="F10" s="56"/>
      <c r="G10" s="57"/>
      <c r="H10" s="56"/>
      <c r="I10" s="56"/>
      <c r="J10" s="56"/>
      <c r="K10" s="56"/>
      <c r="L10" s="56"/>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c r="ED10" s="83"/>
      <c r="EE10" s="83"/>
      <c r="EF10" s="83"/>
      <c r="EG10" s="83"/>
      <c r="EH10" s="83"/>
      <c r="EI10" s="83"/>
      <c r="EJ10" s="83"/>
      <c r="EK10" s="83"/>
      <c r="EL10" s="83"/>
      <c r="EM10" s="83"/>
      <c r="EN10" s="83"/>
      <c r="EO10" s="83"/>
      <c r="EP10" s="83"/>
      <c r="EQ10" s="83"/>
      <c r="ER10" s="83"/>
      <c r="ES10" s="83"/>
      <c r="ET10" s="83"/>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c r="GL10" s="83"/>
      <c r="GM10" s="83"/>
      <c r="GN10" s="83"/>
      <c r="GO10" s="83"/>
      <c r="GP10" s="83"/>
      <c r="GQ10" s="83"/>
      <c r="GR10" s="83"/>
      <c r="GS10" s="83"/>
      <c r="GT10" s="83"/>
      <c r="GU10" s="83"/>
      <c r="GV10" s="83"/>
      <c r="GW10" s="83"/>
      <c r="GX10" s="83"/>
      <c r="GY10" s="83"/>
      <c r="GZ10" s="83"/>
      <c r="HA10" s="83"/>
      <c r="HB10" s="83"/>
      <c r="HC10" s="83"/>
      <c r="HD10" s="83"/>
      <c r="HE10" s="83"/>
      <c r="HF10" s="83"/>
      <c r="HG10" s="83"/>
      <c r="HH10" s="83"/>
      <c r="HI10" s="83"/>
      <c r="HJ10" s="83"/>
      <c r="HK10" s="83"/>
      <c r="HL10" s="83"/>
      <c r="HM10" s="83"/>
      <c r="HN10" s="83"/>
      <c r="HO10" s="83"/>
      <c r="HP10" s="83"/>
      <c r="HQ10" s="83"/>
      <c r="HR10" s="83"/>
      <c r="HS10" s="83"/>
      <c r="HT10" s="83"/>
      <c r="HU10" s="83"/>
      <c r="HV10" s="83"/>
      <c r="HW10" s="83"/>
      <c r="HX10" s="83"/>
      <c r="HY10" s="83"/>
      <c r="HZ10" s="83"/>
      <c r="IA10" s="83"/>
      <c r="IB10" s="83"/>
      <c r="IC10" s="83"/>
      <c r="ID10" s="83"/>
      <c r="IE10" s="83"/>
      <c r="IF10" s="83"/>
      <c r="IG10" s="83"/>
      <c r="IH10" s="83"/>
      <c r="II10" s="83"/>
      <c r="IJ10" s="83"/>
      <c r="IK10" s="83"/>
      <c r="IL10" s="83"/>
      <c r="IM10" s="83"/>
      <c r="IN10" s="83"/>
      <c r="IO10" s="83"/>
      <c r="IP10" s="83"/>
      <c r="IQ10" s="83"/>
      <c r="IR10" s="83"/>
      <c r="IS10" s="83"/>
      <c r="IT10" s="83"/>
      <c r="IU10" s="83"/>
      <c r="IV10" s="83"/>
      <c r="IW10" s="83"/>
      <c r="IX10" s="83"/>
      <c r="IY10" s="83"/>
      <c r="IZ10" s="83"/>
      <c r="JA10" s="83"/>
      <c r="JB10" s="83"/>
      <c r="JC10" s="83"/>
      <c r="JD10" s="83"/>
      <c r="JE10" s="83"/>
      <c r="JF10" s="83"/>
      <c r="JG10" s="83"/>
      <c r="JH10" s="83"/>
      <c r="JI10" s="83"/>
      <c r="JJ10" s="83"/>
      <c r="JK10" s="83"/>
      <c r="JL10" s="83"/>
      <c r="JM10" s="83"/>
      <c r="JN10" s="83"/>
      <c r="JO10" s="83"/>
      <c r="JP10" s="83"/>
      <c r="JQ10" s="83"/>
      <c r="JR10" s="83"/>
      <c r="JS10" s="83"/>
      <c r="JT10" s="83"/>
      <c r="JU10" s="83"/>
      <c r="JV10" s="83"/>
      <c r="JW10" s="83"/>
      <c r="JX10" s="83"/>
      <c r="JY10" s="83"/>
      <c r="JZ10" s="83"/>
      <c r="KA10" s="83"/>
      <c r="KB10" s="83"/>
      <c r="KC10" s="83"/>
      <c r="KD10" s="83"/>
      <c r="KE10" s="83"/>
      <c r="KF10" s="83"/>
      <c r="KG10" s="83"/>
      <c r="KH10" s="83"/>
      <c r="KI10" s="83"/>
      <c r="KJ10" s="83"/>
      <c r="KK10" s="83"/>
      <c r="KL10" s="83"/>
      <c r="KM10" s="83"/>
      <c r="KN10" s="83"/>
      <c r="KO10" s="83"/>
      <c r="KP10" s="83"/>
      <c r="KQ10" s="83"/>
      <c r="KR10" s="83"/>
      <c r="KS10" s="83"/>
      <c r="KT10" s="83"/>
      <c r="KU10" s="83"/>
      <c r="KV10" s="83"/>
      <c r="KW10" s="83"/>
      <c r="KX10" s="83"/>
      <c r="KY10" s="83"/>
      <c r="KZ10" s="83"/>
      <c r="LA10" s="83"/>
      <c r="LB10" s="83"/>
      <c r="LC10" s="83"/>
      <c r="LD10" s="83"/>
      <c r="LE10" s="83"/>
      <c r="LF10" s="83"/>
      <c r="LG10" s="83"/>
      <c r="LH10" s="83"/>
      <c r="LI10" s="83"/>
      <c r="LJ10" s="83"/>
      <c r="LK10" s="83"/>
      <c r="LL10" s="83"/>
      <c r="LM10" s="83"/>
      <c r="LN10" s="83"/>
      <c r="LO10" s="83"/>
      <c r="LP10" s="83"/>
      <c r="LQ10" s="83"/>
      <c r="LR10" s="83"/>
      <c r="LS10" s="83"/>
      <c r="LT10" s="83"/>
      <c r="LU10" s="83"/>
      <c r="LV10" s="83"/>
      <c r="LW10" s="83"/>
      <c r="LX10" s="83"/>
      <c r="LY10" s="83"/>
      <c r="LZ10" s="83"/>
      <c r="MA10" s="83"/>
      <c r="MB10" s="83"/>
      <c r="MC10" s="83"/>
      <c r="MD10" s="83"/>
      <c r="ME10" s="83"/>
      <c r="MF10" s="83"/>
      <c r="MG10" s="83"/>
      <c r="MH10" s="83"/>
      <c r="MI10" s="83"/>
      <c r="MJ10" s="83"/>
      <c r="MK10" s="83"/>
      <c r="ML10" s="83"/>
      <c r="MM10" s="83"/>
      <c r="MN10" s="83"/>
      <c r="MO10" s="83"/>
      <c r="MP10" s="83"/>
      <c r="MQ10" s="83"/>
      <c r="MR10" s="83"/>
      <c r="MS10" s="83"/>
      <c r="MT10" s="83"/>
      <c r="MU10" s="83"/>
      <c r="MV10" s="83"/>
      <c r="MW10" s="83"/>
      <c r="MX10" s="83"/>
      <c r="MY10" s="83"/>
      <c r="MZ10" s="83"/>
      <c r="NA10" s="83"/>
      <c r="NB10" s="83"/>
      <c r="NC10" s="83"/>
      <c r="ND10" s="83"/>
      <c r="NE10" s="83"/>
      <c r="NF10" s="83"/>
      <c r="NG10" s="83"/>
      <c r="NH10" s="83"/>
      <c r="NI10" s="83"/>
      <c r="NJ10" s="83"/>
      <c r="NK10" s="83"/>
      <c r="NL10" s="83"/>
      <c r="NM10" s="83"/>
      <c r="NN10" s="83"/>
      <c r="NO10" s="83"/>
      <c r="NP10" s="83"/>
      <c r="NQ10" s="83"/>
      <c r="NR10" s="83"/>
      <c r="NS10" s="83"/>
      <c r="NT10" s="83"/>
      <c r="NU10" s="83"/>
      <c r="NV10" s="83"/>
      <c r="NW10" s="83"/>
      <c r="NX10" s="83"/>
      <c r="NY10" s="83"/>
      <c r="NZ10" s="83"/>
      <c r="OA10" s="83"/>
      <c r="OB10" s="83"/>
      <c r="OC10" s="83"/>
      <c r="OD10" s="83"/>
      <c r="OE10" s="83"/>
      <c r="OF10" s="83"/>
      <c r="OG10" s="83"/>
      <c r="OH10" s="83"/>
      <c r="OI10" s="83"/>
      <c r="OJ10" s="83"/>
      <c r="OK10" s="83"/>
      <c r="OL10" s="83"/>
      <c r="OM10" s="83"/>
      <c r="ON10" s="83"/>
      <c r="OO10" s="83"/>
      <c r="OP10" s="83"/>
      <c r="OQ10" s="83"/>
      <c r="OR10" s="83"/>
      <c r="OS10" s="83"/>
      <c r="OT10" s="83"/>
      <c r="OU10" s="83"/>
      <c r="OV10" s="83"/>
      <c r="OW10" s="83"/>
      <c r="OX10" s="83"/>
      <c r="OY10" s="83"/>
      <c r="OZ10" s="83"/>
      <c r="PA10" s="83"/>
      <c r="PB10" s="83"/>
      <c r="PC10" s="83"/>
      <c r="PD10" s="83"/>
      <c r="PE10" s="83"/>
      <c r="PF10" s="83"/>
      <c r="PG10" s="83"/>
      <c r="PH10" s="83"/>
      <c r="PI10" s="83"/>
      <c r="PJ10" s="83"/>
      <c r="PK10" s="83"/>
      <c r="PL10" s="83"/>
      <c r="PM10" s="83"/>
      <c r="PN10" s="83"/>
      <c r="PO10" s="83"/>
      <c r="PP10" s="83"/>
      <c r="PQ10" s="83"/>
      <c r="PR10" s="83"/>
      <c r="PS10" s="83"/>
      <c r="PT10" s="83"/>
      <c r="PU10" s="83"/>
      <c r="PV10" s="83"/>
      <c r="PW10" s="83"/>
      <c r="PX10" s="83"/>
      <c r="PY10" s="83"/>
      <c r="PZ10" s="83"/>
      <c r="QA10" s="83"/>
      <c r="QB10" s="83"/>
      <c r="QC10" s="83"/>
      <c r="QD10" s="83"/>
      <c r="QE10" s="83"/>
      <c r="QF10" s="83"/>
      <c r="QG10" s="83"/>
      <c r="QH10" s="83"/>
      <c r="QI10" s="83"/>
      <c r="QJ10" s="83"/>
      <c r="QK10" s="83"/>
      <c r="QL10" s="83"/>
      <c r="QM10" s="83"/>
      <c r="QN10" s="83"/>
      <c r="QO10" s="83"/>
      <c r="QP10" s="83"/>
      <c r="QQ10" s="83"/>
      <c r="QR10" s="83"/>
      <c r="QS10" s="83"/>
      <c r="QT10" s="83"/>
      <c r="QU10" s="83"/>
      <c r="QV10" s="83"/>
      <c r="QW10" s="83"/>
      <c r="QX10" s="83"/>
    </row>
    <row r="11" spans="1:466" ht="15.6" customHeight="1" x14ac:dyDescent="0.55000000000000004">
      <c r="A11" s="7"/>
      <c r="B11" s="8"/>
      <c r="C11" s="8"/>
      <c r="D11" s="8"/>
      <c r="E11" s="8"/>
      <c r="F11" s="8"/>
      <c r="G11" s="8"/>
      <c r="H11" s="8"/>
      <c r="I11" s="8"/>
      <c r="J11" s="8"/>
      <c r="K11" s="8"/>
      <c r="L11" s="8"/>
    </row>
    <row r="12" spans="1:466" ht="15.6" customHeight="1" x14ac:dyDescent="0.55000000000000004">
      <c r="A12" s="7"/>
      <c r="B12" s="8"/>
      <c r="C12" s="8"/>
      <c r="D12" s="8"/>
      <c r="E12" s="8"/>
      <c r="F12" s="8"/>
      <c r="G12" s="8"/>
      <c r="H12" s="8"/>
      <c r="I12" s="8"/>
      <c r="J12" s="8"/>
      <c r="K12" s="8"/>
      <c r="L12" s="8"/>
    </row>
    <row r="13" spans="1:466" ht="15.6" customHeight="1" x14ac:dyDescent="0.55000000000000004">
      <c r="A13" s="7"/>
      <c r="B13" s="8"/>
      <c r="C13" s="8"/>
      <c r="D13" s="8"/>
      <c r="E13" s="8"/>
      <c r="F13" s="8"/>
      <c r="G13" s="8"/>
      <c r="H13" s="8"/>
      <c r="I13" s="8"/>
      <c r="J13" s="8"/>
      <c r="K13" s="8"/>
      <c r="L13" s="8"/>
    </row>
    <row r="14" spans="1:466" ht="15.6" customHeight="1" x14ac:dyDescent="0.55000000000000004">
      <c r="A14" s="7"/>
      <c r="B14" s="8"/>
      <c r="C14" s="8"/>
      <c r="D14" s="8"/>
      <c r="E14" s="8"/>
      <c r="F14" s="8"/>
      <c r="G14" s="8"/>
      <c r="H14" s="8"/>
      <c r="I14" s="8"/>
      <c r="J14" s="8"/>
      <c r="K14" s="8"/>
      <c r="L14" s="8"/>
    </row>
    <row r="15" spans="1:466" ht="15.6" customHeight="1" x14ac:dyDescent="0.55000000000000004">
      <c r="A15" s="7"/>
      <c r="B15" s="8"/>
      <c r="C15" s="8"/>
      <c r="D15" s="8"/>
      <c r="E15" s="8"/>
      <c r="F15" s="8"/>
      <c r="G15" s="8"/>
      <c r="H15" s="8"/>
      <c r="I15" s="8"/>
      <c r="J15" s="8"/>
      <c r="K15" s="8"/>
      <c r="L15" s="8"/>
    </row>
    <row r="16" spans="1:466" ht="15.6" customHeight="1" x14ac:dyDescent="0.55000000000000004">
      <c r="A16" s="7"/>
      <c r="B16" s="8"/>
      <c r="C16" s="8"/>
      <c r="D16" s="8"/>
      <c r="E16" s="8"/>
      <c r="F16" s="8"/>
      <c r="G16" s="8"/>
      <c r="H16" s="8"/>
      <c r="I16" s="8"/>
      <c r="J16" s="8"/>
      <c r="K16" s="8"/>
      <c r="L16" s="8"/>
    </row>
    <row r="17" spans="1:12" ht="15.6" customHeight="1" x14ac:dyDescent="0.55000000000000004">
      <c r="A17" s="7"/>
      <c r="B17" s="8"/>
      <c r="C17" s="8"/>
      <c r="D17" s="8"/>
      <c r="E17" s="8"/>
      <c r="F17" s="8"/>
      <c r="G17" s="8"/>
      <c r="H17" s="8"/>
      <c r="I17" s="8"/>
      <c r="J17" s="8"/>
      <c r="K17" s="8"/>
      <c r="L17" s="8"/>
    </row>
    <row r="18" spans="1:12" ht="15.6" customHeight="1" x14ac:dyDescent="0.55000000000000004">
      <c r="A18" s="7"/>
      <c r="B18" s="8"/>
      <c r="C18" s="8"/>
      <c r="D18" s="8"/>
      <c r="E18" s="8"/>
      <c r="F18" s="8"/>
      <c r="G18" s="8"/>
      <c r="H18" s="8"/>
      <c r="I18" s="8"/>
      <c r="J18" s="8"/>
      <c r="K18" s="8"/>
      <c r="L18" s="8"/>
    </row>
    <row r="19" spans="1:12" ht="15.6" customHeight="1" x14ac:dyDescent="0.55000000000000004">
      <c r="A19" s="7"/>
      <c r="B19" s="8"/>
      <c r="C19" s="8"/>
      <c r="D19" s="8"/>
      <c r="E19" s="8"/>
      <c r="F19" s="8"/>
      <c r="G19" s="8"/>
      <c r="H19" s="8"/>
      <c r="I19" s="8"/>
      <c r="J19" s="8"/>
      <c r="K19" s="8"/>
      <c r="L19" s="8"/>
    </row>
    <row r="20" spans="1:12" ht="15.6" customHeight="1" x14ac:dyDescent="0.55000000000000004">
      <c r="A20" s="7"/>
      <c r="B20" s="8"/>
      <c r="C20" s="8"/>
      <c r="D20" s="8"/>
      <c r="E20" s="8"/>
      <c r="F20" s="8"/>
      <c r="G20" s="8"/>
      <c r="H20" s="8"/>
      <c r="I20" s="8"/>
      <c r="J20" s="8"/>
      <c r="K20" s="8"/>
      <c r="L20" s="8"/>
    </row>
    <row r="21" spans="1:12" ht="15.6" customHeight="1" x14ac:dyDescent="0.55000000000000004">
      <c r="A21" s="7"/>
      <c r="B21" s="8"/>
      <c r="C21" s="8"/>
      <c r="D21" s="8"/>
      <c r="E21" s="8"/>
      <c r="F21" s="8"/>
      <c r="G21" s="8"/>
      <c r="H21" s="8"/>
      <c r="I21" s="8"/>
      <c r="J21" s="8"/>
      <c r="K21" s="8"/>
      <c r="L21" s="8"/>
    </row>
    <row r="22" spans="1:12" ht="15.6" customHeight="1" x14ac:dyDescent="0.55000000000000004">
      <c r="A22" s="7"/>
      <c r="B22" s="8"/>
      <c r="C22" s="8"/>
      <c r="D22" s="8"/>
      <c r="E22" s="8"/>
      <c r="F22" s="8"/>
      <c r="G22" s="8"/>
      <c r="H22" s="8"/>
      <c r="I22" s="8"/>
      <c r="J22" s="8"/>
      <c r="K22" s="8"/>
      <c r="L22" s="8"/>
    </row>
    <row r="23" spans="1:12" ht="15.6" customHeight="1" x14ac:dyDescent="0.55000000000000004">
      <c r="A23" s="7"/>
      <c r="B23" s="8"/>
      <c r="C23" s="8"/>
      <c r="D23" s="8"/>
      <c r="E23" s="8"/>
      <c r="F23" s="8"/>
      <c r="G23" s="8"/>
      <c r="H23" s="8"/>
      <c r="I23" s="8"/>
      <c r="J23" s="8"/>
      <c r="K23" s="8"/>
      <c r="L23" s="8"/>
    </row>
    <row r="24" spans="1:12" ht="15.6" customHeight="1" x14ac:dyDescent="0.55000000000000004">
      <c r="A24" s="7"/>
      <c r="B24" s="8"/>
      <c r="C24" s="8"/>
      <c r="D24" s="8"/>
      <c r="E24" s="8"/>
      <c r="F24" s="8"/>
      <c r="G24" s="8"/>
      <c r="H24" s="8"/>
      <c r="I24" s="8"/>
      <c r="J24" s="8"/>
      <c r="K24" s="8"/>
      <c r="L24" s="8"/>
    </row>
    <row r="25" spans="1:12" ht="15.6" customHeight="1" x14ac:dyDescent="0.55000000000000004">
      <c r="A25" s="7"/>
      <c r="B25" s="8"/>
      <c r="C25" s="8"/>
      <c r="D25" s="8"/>
      <c r="E25" s="8"/>
      <c r="F25" s="8"/>
      <c r="G25" s="8"/>
      <c r="H25" s="8"/>
      <c r="I25" s="8"/>
      <c r="J25" s="8"/>
      <c r="K25" s="8"/>
      <c r="L25" s="8"/>
    </row>
    <row r="26" spans="1:12" ht="15.6" customHeight="1" x14ac:dyDescent="0.55000000000000004">
      <c r="A26" s="7"/>
      <c r="B26" s="8"/>
      <c r="C26" s="8"/>
      <c r="D26" s="8"/>
      <c r="E26" s="8"/>
      <c r="F26" s="8"/>
      <c r="G26" s="8"/>
      <c r="H26" s="8"/>
      <c r="I26" s="8"/>
      <c r="J26" s="8"/>
      <c r="K26" s="8"/>
      <c r="L26" s="8"/>
    </row>
    <row r="27" spans="1:12" ht="15.6" customHeight="1" x14ac:dyDescent="0.55000000000000004">
      <c r="A27" s="7"/>
      <c r="B27" s="8"/>
      <c r="C27" s="8"/>
      <c r="D27" s="8"/>
      <c r="E27" s="8"/>
      <c r="F27" s="8"/>
      <c r="G27" s="8"/>
      <c r="H27" s="8"/>
      <c r="I27" s="8"/>
      <c r="J27" s="8"/>
      <c r="K27" s="8"/>
      <c r="L27" s="8"/>
    </row>
    <row r="28" spans="1:12" ht="15.6" customHeight="1" x14ac:dyDescent="0.55000000000000004">
      <c r="A28" s="7"/>
      <c r="B28" s="8"/>
      <c r="C28" s="8"/>
      <c r="D28" s="8"/>
      <c r="E28" s="8"/>
      <c r="F28" s="8"/>
      <c r="G28" s="8"/>
      <c r="H28" s="8"/>
      <c r="I28" s="8"/>
      <c r="J28" s="8"/>
      <c r="K28" s="8"/>
      <c r="L28" s="8"/>
    </row>
    <row r="29" spans="1:12" ht="15.6" customHeight="1" x14ac:dyDescent="0.55000000000000004">
      <c r="A29" s="7"/>
      <c r="B29" s="8"/>
      <c r="C29" s="8"/>
      <c r="D29" s="8"/>
      <c r="E29" s="8"/>
      <c r="F29" s="8"/>
      <c r="G29" s="8"/>
      <c r="H29" s="8"/>
      <c r="I29" s="8"/>
      <c r="J29" s="8"/>
      <c r="K29" s="8"/>
      <c r="L29" s="8"/>
    </row>
    <row r="30" spans="1:12" ht="15.6" customHeight="1" x14ac:dyDescent="0.55000000000000004">
      <c r="A30" s="7"/>
      <c r="B30" s="8"/>
      <c r="C30" s="8"/>
      <c r="D30" s="8"/>
      <c r="E30" s="8"/>
      <c r="F30" s="8"/>
      <c r="G30" s="8"/>
      <c r="H30" s="8"/>
      <c r="I30" s="8"/>
      <c r="J30" s="8"/>
      <c r="K30" s="8"/>
      <c r="L30" s="8"/>
    </row>
    <row r="31" spans="1:12" ht="15.6" customHeight="1" x14ac:dyDescent="0.55000000000000004">
      <c r="A31" s="7"/>
      <c r="B31" s="8"/>
      <c r="C31" s="8"/>
      <c r="D31" s="8"/>
      <c r="E31" s="8"/>
      <c r="F31" s="8"/>
      <c r="G31" s="8"/>
      <c r="H31" s="8"/>
      <c r="I31" s="8"/>
      <c r="J31" s="8"/>
      <c r="K31" s="8"/>
      <c r="L31" s="8"/>
    </row>
    <row r="32" spans="1:12" ht="15.6" customHeight="1" x14ac:dyDescent="0.55000000000000004">
      <c r="A32" s="7"/>
      <c r="B32" s="8"/>
      <c r="C32" s="8"/>
      <c r="D32" s="8"/>
      <c r="E32" s="8"/>
      <c r="F32" s="8"/>
      <c r="G32" s="8"/>
      <c r="H32" s="8"/>
      <c r="I32" s="8"/>
      <c r="J32" s="8"/>
      <c r="K32" s="8"/>
      <c r="L32" s="8"/>
    </row>
    <row r="33" spans="1:12" ht="15.6" customHeight="1" x14ac:dyDescent="0.55000000000000004">
      <c r="A33" s="7"/>
      <c r="B33" s="8"/>
      <c r="C33" s="8"/>
      <c r="D33" s="8"/>
      <c r="E33" s="8"/>
      <c r="F33" s="8"/>
      <c r="G33" s="8"/>
      <c r="H33" s="8"/>
      <c r="I33" s="8"/>
      <c r="J33" s="8"/>
      <c r="K33" s="8"/>
      <c r="L33" s="8"/>
    </row>
    <row r="34" spans="1:12" ht="15.6" customHeight="1" x14ac:dyDescent="0.55000000000000004">
      <c r="A34" s="7"/>
      <c r="B34" s="8"/>
      <c r="C34" s="8"/>
      <c r="D34" s="8"/>
      <c r="E34" s="8"/>
      <c r="F34" s="8"/>
      <c r="G34" s="8"/>
      <c r="H34" s="8"/>
      <c r="I34" s="8"/>
      <c r="J34" s="8"/>
      <c r="K34" s="8"/>
      <c r="L34" s="8"/>
    </row>
    <row r="35" spans="1:12" ht="15.6" customHeight="1" x14ac:dyDescent="0.55000000000000004">
      <c r="A35" s="7"/>
      <c r="B35" s="8"/>
      <c r="C35" s="8"/>
      <c r="D35" s="8"/>
      <c r="E35" s="8"/>
      <c r="F35" s="8"/>
      <c r="G35" s="8"/>
      <c r="H35" s="8"/>
      <c r="I35" s="8"/>
      <c r="J35" s="8"/>
      <c r="K35" s="8"/>
      <c r="L35" s="8"/>
    </row>
    <row r="36" spans="1:12" ht="15.6" customHeight="1" x14ac:dyDescent="0.55000000000000004">
      <c r="A36" s="7"/>
      <c r="B36" s="8"/>
      <c r="C36" s="8"/>
      <c r="D36" s="8"/>
      <c r="E36" s="8"/>
      <c r="F36" s="8"/>
      <c r="G36" s="8"/>
      <c r="H36" s="8"/>
      <c r="I36" s="8"/>
      <c r="J36" s="8"/>
      <c r="K36" s="8"/>
      <c r="L36" s="8"/>
    </row>
    <row r="37" spans="1:12" ht="15.6" customHeight="1" x14ac:dyDescent="0.55000000000000004">
      <c r="A37" s="7"/>
      <c r="B37" s="8"/>
      <c r="C37" s="8"/>
      <c r="D37" s="8"/>
      <c r="E37" s="8"/>
      <c r="F37" s="8"/>
      <c r="G37" s="8"/>
      <c r="H37" s="8"/>
      <c r="I37" s="8"/>
      <c r="J37" s="8"/>
      <c r="K37" s="8"/>
      <c r="L37" s="8"/>
    </row>
    <row r="38" spans="1:12" ht="15.6" customHeight="1" x14ac:dyDescent="0.55000000000000004">
      <c r="A38" s="7"/>
      <c r="B38" s="8"/>
      <c r="C38" s="8"/>
      <c r="D38" s="8"/>
      <c r="E38" s="8"/>
      <c r="F38" s="8"/>
      <c r="G38" s="8"/>
      <c r="H38" s="8"/>
      <c r="I38" s="8"/>
      <c r="J38" s="8"/>
      <c r="K38" s="8"/>
      <c r="L38" s="8"/>
    </row>
    <row r="39" spans="1:12" ht="15.6" customHeight="1" x14ac:dyDescent="0.55000000000000004">
      <c r="A39" s="7"/>
      <c r="B39" s="8"/>
      <c r="C39" s="8"/>
      <c r="D39" s="8"/>
      <c r="E39" s="8"/>
      <c r="F39" s="8"/>
      <c r="G39" s="8"/>
      <c r="H39" s="8"/>
      <c r="I39" s="8"/>
      <c r="J39" s="8"/>
      <c r="K39" s="8"/>
      <c r="L39" s="8"/>
    </row>
    <row r="40" spans="1:12" ht="15.6" customHeight="1" x14ac:dyDescent="0.55000000000000004">
      <c r="A40" s="7"/>
      <c r="B40" s="8"/>
      <c r="C40" s="8"/>
      <c r="D40" s="8"/>
      <c r="E40" s="8"/>
      <c r="F40" s="8"/>
      <c r="G40" s="8"/>
      <c r="H40" s="8"/>
      <c r="I40" s="8"/>
      <c r="J40" s="8"/>
      <c r="K40" s="8"/>
      <c r="L40" s="8"/>
    </row>
    <row r="41" spans="1:12" ht="15.6" customHeight="1" x14ac:dyDescent="0.55000000000000004">
      <c r="A41" s="7"/>
      <c r="B41" s="8"/>
      <c r="C41" s="8"/>
      <c r="D41" s="8"/>
      <c r="E41" s="8"/>
      <c r="F41" s="8"/>
      <c r="G41" s="8"/>
      <c r="H41" s="8"/>
      <c r="I41" s="8"/>
      <c r="J41" s="8"/>
      <c r="K41" s="8"/>
      <c r="L41" s="8"/>
    </row>
    <row r="42" spans="1:12" ht="15.6" customHeight="1" x14ac:dyDescent="0.55000000000000004">
      <c r="A42" s="7"/>
      <c r="B42" s="8"/>
      <c r="C42" s="8"/>
      <c r="D42" s="8"/>
      <c r="E42" s="8"/>
      <c r="F42" s="8"/>
      <c r="G42" s="8"/>
      <c r="H42" s="8"/>
      <c r="I42" s="8"/>
      <c r="J42" s="8"/>
      <c r="K42" s="8"/>
      <c r="L42" s="8"/>
    </row>
    <row r="43" spans="1:12" ht="15.6" customHeight="1" x14ac:dyDescent="0.55000000000000004">
      <c r="A43" s="7"/>
      <c r="B43" s="8"/>
      <c r="C43" s="8"/>
      <c r="D43" s="8"/>
      <c r="E43" s="8"/>
      <c r="F43" s="8"/>
      <c r="G43" s="8"/>
      <c r="H43" s="8"/>
      <c r="I43" s="8"/>
      <c r="J43" s="8"/>
      <c r="K43" s="8"/>
      <c r="L43" s="8"/>
    </row>
    <row r="44" spans="1:12" ht="15.6" customHeight="1" x14ac:dyDescent="0.55000000000000004">
      <c r="A44" s="7"/>
      <c r="B44" s="8"/>
      <c r="C44" s="8"/>
      <c r="D44" s="8"/>
      <c r="E44" s="8"/>
      <c r="F44" s="8"/>
      <c r="G44" s="8"/>
      <c r="H44" s="8"/>
      <c r="I44" s="8"/>
      <c r="J44" s="8"/>
      <c r="K44" s="8"/>
      <c r="L44" s="8"/>
    </row>
    <row r="45" spans="1:12" ht="15.6" customHeight="1" x14ac:dyDescent="0.55000000000000004">
      <c r="A45" s="7"/>
      <c r="B45" s="8"/>
      <c r="C45" s="8"/>
      <c r="D45" s="8"/>
      <c r="E45" s="8"/>
      <c r="F45" s="8"/>
      <c r="G45" s="8"/>
      <c r="H45" s="8"/>
      <c r="I45" s="8"/>
      <c r="J45" s="8"/>
      <c r="K45" s="8"/>
      <c r="L45" s="8"/>
    </row>
    <row r="46" spans="1:12" ht="15.6" customHeight="1" x14ac:dyDescent="0.55000000000000004">
      <c r="A46" s="7"/>
      <c r="B46" s="8"/>
      <c r="C46" s="8"/>
      <c r="D46" s="8"/>
      <c r="E46" s="8"/>
      <c r="F46" s="8"/>
      <c r="G46" s="8"/>
      <c r="H46" s="8"/>
      <c r="I46" s="8"/>
      <c r="J46" s="8"/>
      <c r="K46" s="8"/>
      <c r="L46" s="8"/>
    </row>
    <row r="47" spans="1:12" ht="15.6" customHeight="1" x14ac:dyDescent="0.55000000000000004">
      <c r="A47" s="7"/>
      <c r="B47" s="8"/>
      <c r="C47" s="8"/>
      <c r="D47" s="8"/>
      <c r="E47" s="8"/>
      <c r="F47" s="8"/>
      <c r="G47" s="8"/>
      <c r="H47" s="8"/>
      <c r="I47" s="8"/>
      <c r="J47" s="8"/>
      <c r="K47" s="8"/>
      <c r="L47" s="8"/>
    </row>
    <row r="48" spans="1:12" ht="15.6" customHeight="1" x14ac:dyDescent="0.55000000000000004">
      <c r="A48" s="7"/>
      <c r="B48" s="8"/>
      <c r="C48" s="8"/>
      <c r="D48" s="8"/>
      <c r="E48" s="8"/>
      <c r="F48" s="8"/>
      <c r="G48" s="8"/>
      <c r="H48" s="8"/>
      <c r="I48" s="8"/>
      <c r="J48" s="8"/>
      <c r="K48" s="8"/>
      <c r="L48" s="8"/>
    </row>
    <row r="49" spans="1:12" ht="15.6" customHeight="1" x14ac:dyDescent="0.55000000000000004">
      <c r="A49" s="7"/>
      <c r="B49" s="8"/>
      <c r="C49" s="8"/>
      <c r="D49" s="8"/>
      <c r="E49" s="8"/>
      <c r="F49" s="8"/>
      <c r="G49" s="8"/>
      <c r="H49" s="8"/>
      <c r="I49" s="8"/>
      <c r="J49" s="8"/>
      <c r="K49" s="8"/>
      <c r="L49" s="8"/>
    </row>
    <row r="50" spans="1:12" ht="15.6" customHeight="1" x14ac:dyDescent="0.55000000000000004">
      <c r="A50" s="7"/>
      <c r="B50" s="8"/>
      <c r="C50" s="8"/>
      <c r="D50" s="8"/>
      <c r="E50" s="8"/>
      <c r="F50" s="8"/>
      <c r="G50" s="8"/>
      <c r="H50" s="8"/>
      <c r="I50" s="8"/>
      <c r="J50" s="8"/>
      <c r="K50" s="8"/>
      <c r="L50" s="8"/>
    </row>
    <row r="51" spans="1:12" ht="14.4" x14ac:dyDescent="0.55000000000000004">
      <c r="A51" s="7"/>
      <c r="B51" s="8"/>
      <c r="C51" s="8"/>
      <c r="D51" s="8"/>
      <c r="E51" s="8"/>
      <c r="F51" s="8"/>
      <c r="G51" s="8"/>
      <c r="H51" s="8"/>
      <c r="I51" s="8"/>
      <c r="J51" s="8"/>
      <c r="K51" s="8"/>
      <c r="L51" s="8"/>
    </row>
    <row r="52" spans="1:12" ht="15.6" customHeight="1" x14ac:dyDescent="0.55000000000000004">
      <c r="A52" s="7"/>
      <c r="B52" s="8"/>
      <c r="C52" s="8"/>
      <c r="D52" s="8"/>
      <c r="E52" s="8"/>
      <c r="F52" s="8"/>
      <c r="G52" s="8"/>
      <c r="H52" s="8"/>
      <c r="I52" s="8"/>
      <c r="J52" s="8"/>
      <c r="K52" s="8"/>
      <c r="L52" s="8"/>
    </row>
    <row r="53" spans="1:12" ht="15.6" customHeight="1" x14ac:dyDescent="0.55000000000000004">
      <c r="A53" s="7"/>
      <c r="B53" s="8"/>
      <c r="C53" s="8"/>
      <c r="D53" s="8"/>
      <c r="E53" s="8"/>
      <c r="F53" s="8"/>
      <c r="G53" s="8"/>
      <c r="H53" s="8"/>
      <c r="I53" s="8"/>
      <c r="J53" s="8"/>
      <c r="K53" s="8"/>
      <c r="L53" s="8"/>
    </row>
    <row r="54" spans="1:12" ht="15.6" customHeight="1" x14ac:dyDescent="0.55000000000000004">
      <c r="A54" s="7"/>
      <c r="B54" s="8"/>
      <c r="C54" s="8"/>
      <c r="D54" s="8"/>
      <c r="E54" s="8"/>
      <c r="F54" s="8"/>
      <c r="G54" s="8"/>
      <c r="H54" s="8"/>
      <c r="I54" s="8"/>
      <c r="J54" s="8"/>
      <c r="K54" s="8"/>
      <c r="L54" s="8"/>
    </row>
    <row r="55" spans="1:12" ht="15.6" customHeight="1" x14ac:dyDescent="0.55000000000000004">
      <c r="A55" s="7"/>
      <c r="B55" s="8"/>
      <c r="C55" s="8"/>
      <c r="D55" s="8"/>
      <c r="E55" s="8"/>
      <c r="F55" s="8"/>
      <c r="G55" s="8"/>
      <c r="H55" s="8"/>
      <c r="I55" s="8"/>
      <c r="J55" s="8"/>
      <c r="K55" s="8"/>
      <c r="L55" s="8"/>
    </row>
    <row r="56" spans="1:12" ht="15.6" customHeight="1" x14ac:dyDescent="0.55000000000000004">
      <c r="A56" s="7"/>
      <c r="B56" s="8"/>
      <c r="C56" s="8"/>
      <c r="D56" s="8"/>
      <c r="E56" s="8"/>
      <c r="F56" s="8"/>
      <c r="G56" s="8"/>
      <c r="H56" s="8"/>
      <c r="I56" s="8"/>
      <c r="J56" s="8"/>
      <c r="K56" s="8"/>
      <c r="L56" s="8"/>
    </row>
    <row r="57" spans="1:12" ht="15.6" customHeight="1" x14ac:dyDescent="0.55000000000000004">
      <c r="A57" s="7"/>
      <c r="B57" s="8"/>
      <c r="C57" s="8"/>
      <c r="D57" s="8"/>
      <c r="E57" s="8"/>
      <c r="F57" s="8"/>
      <c r="G57" s="8"/>
      <c r="H57" s="8"/>
      <c r="I57" s="8"/>
      <c r="J57" s="8"/>
      <c r="K57" s="8"/>
      <c r="L57" s="8"/>
    </row>
    <row r="58" spans="1:12" ht="15.6" customHeight="1" x14ac:dyDescent="0.55000000000000004">
      <c r="A58" s="7"/>
      <c r="B58" s="8"/>
      <c r="C58" s="8"/>
      <c r="D58" s="8"/>
      <c r="E58" s="8"/>
      <c r="F58" s="8"/>
      <c r="G58" s="8"/>
      <c r="H58" s="8"/>
      <c r="I58" s="8"/>
      <c r="J58" s="8"/>
      <c r="K58" s="8"/>
      <c r="L58" s="8"/>
    </row>
    <row r="59" spans="1:12" ht="15.6" customHeight="1" x14ac:dyDescent="0.55000000000000004">
      <c r="A59" s="7"/>
      <c r="B59" s="8"/>
      <c r="C59" s="8"/>
      <c r="D59" s="8"/>
      <c r="E59" s="8"/>
      <c r="F59" s="8"/>
      <c r="G59" s="8"/>
      <c r="H59" s="8"/>
      <c r="I59" s="8"/>
      <c r="J59" s="8"/>
      <c r="K59" s="8"/>
      <c r="L59" s="8"/>
    </row>
    <row r="60" spans="1:12" ht="15.6" customHeight="1" x14ac:dyDescent="0.55000000000000004">
      <c r="A60" s="7"/>
      <c r="B60" s="8"/>
      <c r="C60" s="8"/>
      <c r="D60" s="8"/>
      <c r="E60" s="8"/>
      <c r="F60" s="8"/>
      <c r="G60" s="8"/>
      <c r="H60" s="8"/>
      <c r="I60" s="8"/>
      <c r="J60" s="8"/>
      <c r="K60" s="8"/>
      <c r="L60" s="8"/>
    </row>
    <row r="61" spans="1:12" ht="15.6" customHeight="1" x14ac:dyDescent="0.55000000000000004">
      <c r="A61" s="7"/>
      <c r="B61" s="8"/>
      <c r="C61" s="8"/>
      <c r="D61" s="8"/>
      <c r="E61" s="8"/>
      <c r="F61" s="8"/>
      <c r="G61" s="8"/>
      <c r="H61" s="8"/>
      <c r="I61" s="8"/>
      <c r="J61" s="8"/>
      <c r="K61" s="8"/>
      <c r="L61" s="8"/>
    </row>
    <row r="62" spans="1:12" ht="15.6" customHeight="1" x14ac:dyDescent="0.55000000000000004">
      <c r="A62" s="7"/>
      <c r="B62" s="8"/>
      <c r="C62" s="8"/>
      <c r="D62" s="8"/>
      <c r="E62" s="8"/>
      <c r="F62" s="8"/>
      <c r="G62" s="8"/>
      <c r="H62" s="8"/>
      <c r="I62" s="8"/>
      <c r="J62" s="8"/>
      <c r="K62" s="8"/>
      <c r="L62" s="8"/>
    </row>
    <row r="63" spans="1:12" ht="15.6" customHeight="1" x14ac:dyDescent="0.55000000000000004">
      <c r="A63" s="7"/>
      <c r="B63" s="8"/>
      <c r="C63" s="8"/>
      <c r="D63" s="8"/>
      <c r="E63" s="8"/>
      <c r="F63" s="8"/>
      <c r="G63" s="8"/>
      <c r="H63" s="8"/>
      <c r="I63" s="8"/>
      <c r="J63" s="8"/>
      <c r="K63" s="8"/>
      <c r="L63" s="8"/>
    </row>
    <row r="64" spans="1:12" ht="15.6" customHeight="1" x14ac:dyDescent="0.55000000000000004">
      <c r="A64" s="7"/>
      <c r="B64" s="8"/>
      <c r="C64" s="8"/>
      <c r="D64" s="8"/>
      <c r="E64" s="8"/>
      <c r="F64" s="8"/>
      <c r="G64" s="8"/>
      <c r="H64" s="8"/>
      <c r="I64" s="8"/>
      <c r="J64" s="8"/>
      <c r="K64" s="8"/>
      <c r="L64" s="8"/>
    </row>
    <row r="65" spans="1:12" ht="15.6" customHeight="1" x14ac:dyDescent="0.55000000000000004">
      <c r="A65" s="7"/>
      <c r="B65" s="8"/>
      <c r="C65" s="8"/>
      <c r="D65" s="8"/>
      <c r="E65" s="8"/>
      <c r="F65" s="8"/>
      <c r="G65" s="8"/>
      <c r="H65" s="8"/>
      <c r="I65" s="8"/>
      <c r="J65" s="8"/>
      <c r="K65" s="8"/>
      <c r="L65" s="8"/>
    </row>
    <row r="66" spans="1:12" ht="15.6" customHeight="1" x14ac:dyDescent="0.55000000000000004">
      <c r="A66" s="7"/>
      <c r="B66" s="8"/>
      <c r="C66" s="8"/>
      <c r="D66" s="8"/>
      <c r="E66" s="8"/>
      <c r="F66" s="8"/>
      <c r="G66" s="8"/>
      <c r="H66" s="8"/>
      <c r="I66" s="8"/>
      <c r="J66" s="8"/>
      <c r="K66" s="8"/>
      <c r="L66" s="8"/>
    </row>
    <row r="67" spans="1:12" ht="15.6" customHeight="1" x14ac:dyDescent="0.55000000000000004">
      <c r="A67" s="7"/>
      <c r="B67" s="8"/>
      <c r="C67" s="8"/>
      <c r="D67" s="8"/>
      <c r="E67" s="8"/>
      <c r="F67" s="8"/>
      <c r="G67" s="8"/>
      <c r="H67" s="8"/>
      <c r="I67" s="8"/>
      <c r="J67" s="8"/>
      <c r="K67" s="8"/>
      <c r="L67" s="8"/>
    </row>
    <row r="68" spans="1:12" ht="15.6" customHeight="1" x14ac:dyDescent="0.55000000000000004">
      <c r="A68" s="7"/>
      <c r="B68" s="8"/>
      <c r="C68" s="8"/>
      <c r="D68" s="8"/>
      <c r="E68" s="8"/>
      <c r="F68" s="8"/>
      <c r="G68" s="8"/>
      <c r="H68" s="8"/>
      <c r="I68" s="8"/>
      <c r="J68" s="8"/>
      <c r="K68" s="8"/>
      <c r="L68" s="8"/>
    </row>
    <row r="69" spans="1:12" ht="15.6" customHeight="1" x14ac:dyDescent="0.55000000000000004">
      <c r="A69" s="7"/>
      <c r="B69" s="8"/>
      <c r="C69" s="8"/>
      <c r="D69" s="8"/>
      <c r="E69" s="8"/>
      <c r="F69" s="8"/>
      <c r="G69" s="8"/>
      <c r="H69" s="8"/>
      <c r="I69" s="8"/>
      <c r="J69" s="8"/>
      <c r="K69" s="8"/>
      <c r="L69" s="8"/>
    </row>
    <row r="70" spans="1:12" ht="15.6" customHeight="1" x14ac:dyDescent="0.55000000000000004">
      <c r="A70" s="7"/>
      <c r="B70" s="8"/>
      <c r="C70" s="8"/>
      <c r="D70" s="8"/>
      <c r="E70" s="8"/>
      <c r="F70" s="8"/>
      <c r="G70" s="8"/>
      <c r="H70" s="8"/>
      <c r="I70" s="8"/>
      <c r="J70" s="8"/>
      <c r="K70" s="8"/>
      <c r="L70" s="8"/>
    </row>
    <row r="71" spans="1:12" ht="15.6" customHeight="1" x14ac:dyDescent="0.55000000000000004">
      <c r="A71" s="7"/>
      <c r="B71" s="8"/>
      <c r="C71" s="8"/>
      <c r="D71" s="8"/>
      <c r="E71" s="8"/>
      <c r="F71" s="8"/>
      <c r="G71" s="8"/>
      <c r="H71" s="8"/>
      <c r="I71" s="8"/>
      <c r="J71" s="8"/>
      <c r="K71" s="8"/>
      <c r="L71" s="8"/>
    </row>
    <row r="72" spans="1:12" ht="15.6" customHeight="1" x14ac:dyDescent="0.55000000000000004">
      <c r="A72" s="7"/>
      <c r="B72" s="8"/>
      <c r="C72" s="8"/>
      <c r="D72" s="8"/>
      <c r="E72" s="8"/>
      <c r="F72" s="8"/>
      <c r="G72" s="8"/>
      <c r="H72" s="8"/>
      <c r="I72" s="8"/>
      <c r="J72" s="8"/>
      <c r="K72" s="8"/>
      <c r="L72" s="8"/>
    </row>
    <row r="73" spans="1:12" ht="15.6" customHeight="1" x14ac:dyDescent="0.55000000000000004">
      <c r="A73" s="7"/>
      <c r="B73" s="8"/>
      <c r="C73" s="8"/>
      <c r="D73" s="8"/>
      <c r="E73" s="8"/>
      <c r="F73" s="8"/>
      <c r="G73" s="8"/>
      <c r="H73" s="8"/>
      <c r="I73" s="8"/>
      <c r="J73" s="8"/>
      <c r="K73" s="8"/>
      <c r="L73" s="8"/>
    </row>
    <row r="74" spans="1:12" ht="15.6" customHeight="1" x14ac:dyDescent="0.55000000000000004">
      <c r="A74" s="7"/>
      <c r="B74" s="8"/>
      <c r="C74" s="8"/>
      <c r="D74" s="8"/>
      <c r="E74" s="8"/>
      <c r="F74" s="8"/>
      <c r="G74" s="8"/>
      <c r="H74" s="8"/>
      <c r="I74" s="8"/>
      <c r="J74" s="8"/>
      <c r="K74" s="8"/>
      <c r="L74" s="8"/>
    </row>
    <row r="75" spans="1:12" ht="15.6" customHeight="1" x14ac:dyDescent="0.55000000000000004">
      <c r="A75" s="7"/>
      <c r="B75" s="8"/>
      <c r="C75" s="8"/>
      <c r="D75" s="8"/>
      <c r="E75" s="8"/>
      <c r="F75" s="8"/>
      <c r="G75" s="8"/>
      <c r="H75" s="8"/>
      <c r="I75" s="8"/>
      <c r="J75" s="8"/>
      <c r="K75" s="8"/>
      <c r="L75" s="8"/>
    </row>
    <row r="76" spans="1:12" ht="15.6" customHeight="1" x14ac:dyDescent="0.55000000000000004">
      <c r="A76" s="7"/>
      <c r="B76" s="8"/>
      <c r="C76" s="8"/>
      <c r="D76" s="8"/>
      <c r="E76" s="8"/>
      <c r="F76" s="8"/>
      <c r="G76" s="8"/>
      <c r="H76" s="8"/>
      <c r="I76" s="8"/>
      <c r="J76" s="8"/>
      <c r="K76" s="8"/>
      <c r="L76" s="8"/>
    </row>
    <row r="77" spans="1:12" ht="15.6" customHeight="1" x14ac:dyDescent="0.55000000000000004">
      <c r="A77" s="7"/>
      <c r="B77" s="8"/>
      <c r="C77" s="8"/>
      <c r="D77" s="8"/>
      <c r="E77" s="8"/>
      <c r="F77" s="8"/>
      <c r="G77" s="8"/>
      <c r="H77" s="8"/>
      <c r="I77" s="8"/>
      <c r="J77" s="8"/>
      <c r="K77" s="8"/>
      <c r="L77" s="8"/>
    </row>
    <row r="78" spans="1:12" ht="15.6" customHeight="1" x14ac:dyDescent="0.55000000000000004">
      <c r="A78" s="7"/>
      <c r="B78" s="8"/>
      <c r="C78" s="8"/>
      <c r="D78" s="8"/>
      <c r="E78" s="8"/>
      <c r="F78" s="8"/>
      <c r="G78" s="8"/>
      <c r="H78" s="8"/>
      <c r="I78" s="8"/>
      <c r="J78" s="8"/>
      <c r="K78" s="8"/>
      <c r="L78" s="8"/>
    </row>
    <row r="79" spans="1:12" ht="15.6" customHeight="1" x14ac:dyDescent="0.55000000000000004">
      <c r="A79" s="7"/>
      <c r="B79" s="8"/>
      <c r="C79" s="8"/>
      <c r="D79" s="8"/>
      <c r="E79" s="8"/>
      <c r="F79" s="8"/>
      <c r="G79" s="8"/>
      <c r="H79" s="8"/>
      <c r="I79" s="8"/>
      <c r="J79" s="8"/>
      <c r="K79" s="8"/>
      <c r="L79" s="8"/>
    </row>
    <row r="80" spans="1:12" ht="15.6" customHeight="1" x14ac:dyDescent="0.55000000000000004">
      <c r="A80" s="7"/>
      <c r="B80" s="8"/>
      <c r="C80" s="8"/>
      <c r="D80" s="8"/>
      <c r="E80" s="8"/>
      <c r="F80" s="8"/>
      <c r="G80" s="8"/>
      <c r="H80" s="8"/>
      <c r="I80" s="8"/>
      <c r="J80" s="8"/>
      <c r="K80" s="8"/>
      <c r="L80" s="8"/>
    </row>
    <row r="81" spans="1:12" ht="15.6" customHeight="1" x14ac:dyDescent="0.55000000000000004">
      <c r="A81" s="7"/>
      <c r="B81" s="8"/>
      <c r="C81" s="8"/>
      <c r="D81" s="8"/>
      <c r="E81" s="8"/>
      <c r="F81" s="8"/>
      <c r="G81" s="8"/>
      <c r="H81" s="8"/>
      <c r="I81" s="8"/>
      <c r="J81" s="8"/>
      <c r="K81" s="8"/>
      <c r="L81" s="8"/>
    </row>
    <row r="82" spans="1:12" ht="15.6" customHeight="1" x14ac:dyDescent="0.55000000000000004">
      <c r="A82" s="7"/>
      <c r="B82" s="8"/>
      <c r="C82" s="8"/>
      <c r="D82" s="8"/>
      <c r="E82" s="8"/>
      <c r="F82" s="8"/>
      <c r="G82" s="8"/>
      <c r="H82" s="8"/>
      <c r="I82" s="8"/>
      <c r="J82" s="8"/>
      <c r="K82" s="8"/>
      <c r="L82" s="8"/>
    </row>
    <row r="83" spans="1:12" ht="15.6" customHeight="1" x14ac:dyDescent="0.55000000000000004">
      <c r="A83" s="7"/>
      <c r="B83" s="8"/>
      <c r="C83" s="8"/>
      <c r="D83" s="8"/>
      <c r="E83" s="8"/>
      <c r="F83" s="8"/>
      <c r="G83" s="8"/>
      <c r="H83" s="8"/>
      <c r="I83" s="8"/>
      <c r="J83" s="8"/>
      <c r="K83" s="8"/>
      <c r="L83" s="8"/>
    </row>
    <row r="84" spans="1:12" ht="15.6" customHeight="1" x14ac:dyDescent="0.55000000000000004">
      <c r="A84" s="7"/>
      <c r="B84" s="8"/>
      <c r="C84" s="8"/>
      <c r="D84" s="8"/>
      <c r="E84" s="8"/>
      <c r="F84" s="8"/>
      <c r="G84" s="8"/>
      <c r="H84" s="8"/>
      <c r="I84" s="8"/>
      <c r="J84" s="8"/>
      <c r="K84" s="8"/>
      <c r="L84" s="8"/>
    </row>
    <row r="85" spans="1:12" ht="15.6" customHeight="1" x14ac:dyDescent="0.55000000000000004">
      <c r="A85" s="7"/>
      <c r="B85" s="8"/>
      <c r="C85" s="8"/>
      <c r="D85" s="8"/>
      <c r="E85" s="8"/>
      <c r="F85" s="8"/>
      <c r="G85" s="8"/>
      <c r="H85" s="8"/>
      <c r="I85" s="8"/>
      <c r="J85" s="8"/>
      <c r="K85" s="8"/>
      <c r="L85" s="8"/>
    </row>
    <row r="86" spans="1:12" ht="15.6" customHeight="1" x14ac:dyDescent="0.55000000000000004">
      <c r="A86" s="7"/>
      <c r="B86" s="8"/>
      <c r="C86" s="8"/>
      <c r="D86" s="8"/>
      <c r="E86" s="8"/>
      <c r="F86" s="8"/>
      <c r="G86" s="8"/>
      <c r="H86" s="8"/>
      <c r="I86" s="8"/>
      <c r="J86" s="8"/>
      <c r="K86" s="8"/>
      <c r="L86" s="8"/>
    </row>
    <row r="87" spans="1:12" ht="15.6" customHeight="1" x14ac:dyDescent="0.55000000000000004">
      <c r="A87" s="7"/>
      <c r="B87" s="8"/>
      <c r="C87" s="8"/>
      <c r="D87" s="8"/>
      <c r="E87" s="8"/>
      <c r="F87" s="8"/>
      <c r="G87" s="8"/>
      <c r="H87" s="8"/>
      <c r="I87" s="8"/>
      <c r="J87" s="8"/>
      <c r="K87" s="8"/>
      <c r="L87" s="8"/>
    </row>
    <row r="88" spans="1:12" ht="15.6" customHeight="1" x14ac:dyDescent="0.55000000000000004">
      <c r="A88" s="7"/>
      <c r="B88" s="8"/>
      <c r="C88" s="8"/>
      <c r="D88" s="8"/>
      <c r="E88" s="8"/>
      <c r="F88" s="8"/>
      <c r="G88" s="8"/>
      <c r="H88" s="8"/>
      <c r="I88" s="8"/>
      <c r="J88" s="8"/>
      <c r="K88" s="8"/>
      <c r="L88" s="8"/>
    </row>
    <row r="89" spans="1:12" ht="15.6" customHeight="1" x14ac:dyDescent="0.55000000000000004">
      <c r="A89" s="7"/>
      <c r="B89" s="8"/>
      <c r="C89" s="8"/>
      <c r="D89" s="8"/>
      <c r="E89" s="8"/>
      <c r="F89" s="8"/>
      <c r="G89" s="8"/>
      <c r="H89" s="8"/>
      <c r="I89" s="8"/>
      <c r="J89" s="8"/>
      <c r="K89" s="8"/>
      <c r="L89" s="8"/>
    </row>
    <row r="90" spans="1:12" ht="15.6" customHeight="1" x14ac:dyDescent="0.55000000000000004">
      <c r="A90" s="7"/>
      <c r="B90" s="8"/>
      <c r="C90" s="8"/>
      <c r="D90" s="8"/>
      <c r="E90" s="8"/>
      <c r="F90" s="8"/>
      <c r="G90" s="8"/>
      <c r="H90" s="8"/>
      <c r="I90" s="8"/>
      <c r="J90" s="8"/>
      <c r="K90" s="8"/>
      <c r="L90" s="8"/>
    </row>
    <row r="91" spans="1:12" ht="15.6" customHeight="1" x14ac:dyDescent="0.55000000000000004">
      <c r="A91" s="7"/>
      <c r="B91" s="8"/>
      <c r="C91" s="8"/>
      <c r="D91" s="8"/>
      <c r="E91" s="8"/>
      <c r="F91" s="8"/>
      <c r="G91" s="8"/>
      <c r="H91" s="8"/>
      <c r="I91" s="8"/>
      <c r="J91" s="8"/>
      <c r="K91" s="8"/>
      <c r="L91" s="8"/>
    </row>
    <row r="92" spans="1:12" ht="15.6" customHeight="1" x14ac:dyDescent="0.55000000000000004">
      <c r="A92" s="7"/>
      <c r="B92" s="8"/>
      <c r="C92" s="8"/>
      <c r="D92" s="8"/>
      <c r="E92" s="8"/>
      <c r="F92" s="8"/>
      <c r="G92" s="8"/>
      <c r="H92" s="8"/>
      <c r="I92" s="8"/>
      <c r="J92" s="8"/>
      <c r="K92" s="8"/>
      <c r="L92" s="8"/>
    </row>
    <row r="93" spans="1:12" ht="15.6" customHeight="1" x14ac:dyDescent="0.55000000000000004">
      <c r="A93" s="7"/>
      <c r="B93" s="8"/>
      <c r="C93" s="8"/>
      <c r="D93" s="8"/>
      <c r="E93" s="8"/>
      <c r="F93" s="8"/>
      <c r="G93" s="8"/>
      <c r="H93" s="8"/>
      <c r="I93" s="8"/>
      <c r="J93" s="8"/>
      <c r="K93" s="8"/>
      <c r="L93" s="8"/>
    </row>
    <row r="94" spans="1:12" ht="15.6" customHeight="1" x14ac:dyDescent="0.55000000000000004">
      <c r="A94" s="7"/>
      <c r="B94" s="8"/>
      <c r="C94" s="8"/>
      <c r="D94" s="8"/>
      <c r="E94" s="8"/>
      <c r="F94" s="8"/>
      <c r="G94" s="8"/>
      <c r="H94" s="8"/>
      <c r="I94" s="8"/>
      <c r="J94" s="8"/>
      <c r="K94" s="8"/>
      <c r="L94" s="8"/>
    </row>
    <row r="95" spans="1:12" ht="15.6" customHeight="1" x14ac:dyDescent="0.55000000000000004">
      <c r="A95" s="7"/>
      <c r="B95" s="8"/>
      <c r="C95" s="8"/>
      <c r="D95" s="8"/>
      <c r="E95" s="8"/>
      <c r="F95" s="8"/>
      <c r="G95" s="8"/>
      <c r="H95" s="8"/>
      <c r="I95" s="8"/>
      <c r="J95" s="8"/>
      <c r="K95" s="8"/>
      <c r="L95" s="8"/>
    </row>
    <row r="96" spans="1:12" ht="15.6" customHeight="1" x14ac:dyDescent="0.55000000000000004">
      <c r="A96" s="7"/>
      <c r="B96" s="8"/>
      <c r="C96" s="8"/>
      <c r="D96" s="8"/>
      <c r="E96" s="8"/>
      <c r="F96" s="8"/>
      <c r="G96" s="8"/>
      <c r="H96" s="8"/>
      <c r="I96" s="8"/>
      <c r="J96" s="8"/>
      <c r="K96" s="8"/>
      <c r="L96" s="8"/>
    </row>
    <row r="97" spans="1:12" ht="15.6" customHeight="1" x14ac:dyDescent="0.55000000000000004">
      <c r="A97" s="7"/>
      <c r="B97" s="8"/>
      <c r="C97" s="8"/>
      <c r="D97" s="8"/>
      <c r="E97" s="8"/>
      <c r="F97" s="8"/>
      <c r="G97" s="8"/>
      <c r="H97" s="8"/>
      <c r="I97" s="8"/>
      <c r="J97" s="8"/>
      <c r="K97" s="8"/>
      <c r="L97" s="8"/>
    </row>
    <row r="98" spans="1:12" ht="15.6" customHeight="1" x14ac:dyDescent="0.55000000000000004">
      <c r="A98" s="7"/>
      <c r="B98" s="8"/>
      <c r="C98" s="8"/>
      <c r="D98" s="8"/>
      <c r="E98" s="8"/>
      <c r="F98" s="8"/>
      <c r="G98" s="8"/>
      <c r="H98" s="8"/>
      <c r="I98" s="8"/>
      <c r="J98" s="8"/>
      <c r="K98" s="8"/>
      <c r="L98" s="8"/>
    </row>
    <row r="99" spans="1:12" ht="15.6" customHeight="1" x14ac:dyDescent="0.55000000000000004">
      <c r="A99" s="7"/>
      <c r="B99" s="8"/>
      <c r="C99" s="8"/>
      <c r="D99" s="8"/>
      <c r="E99" s="8"/>
      <c r="F99" s="8"/>
      <c r="G99" s="8"/>
      <c r="H99" s="8"/>
      <c r="I99" s="8"/>
      <c r="J99" s="8"/>
      <c r="K99" s="8"/>
      <c r="L99" s="8"/>
    </row>
    <row r="100" spans="1:12" ht="15.6" customHeight="1" x14ac:dyDescent="0.55000000000000004">
      <c r="A100" s="122">
        <v>1</v>
      </c>
      <c r="B100" s="122">
        <v>1</v>
      </c>
      <c r="C100" s="122">
        <v>1</v>
      </c>
      <c r="D100" s="122">
        <v>1</v>
      </c>
      <c r="E100" s="122">
        <v>1</v>
      </c>
      <c r="F100" s="122">
        <v>1</v>
      </c>
      <c r="G100" s="122">
        <v>1</v>
      </c>
      <c r="H100" s="122">
        <v>1</v>
      </c>
      <c r="I100" s="122">
        <v>1</v>
      </c>
      <c r="J100" s="122">
        <v>1</v>
      </c>
      <c r="K100" s="122">
        <v>1</v>
      </c>
      <c r="L100" s="122">
        <v>1</v>
      </c>
    </row>
    <row r="101" spans="1:12" ht="15.6" customHeight="1" x14ac:dyDescent="0.55000000000000004">
      <c r="A101" s="7"/>
      <c r="B101" s="8"/>
      <c r="C101" s="8"/>
      <c r="D101" s="8"/>
      <c r="E101" s="8"/>
      <c r="F101" s="8"/>
      <c r="G101" s="8"/>
      <c r="H101" s="8"/>
      <c r="I101" s="8"/>
      <c r="J101" s="8"/>
      <c r="K101" s="8"/>
      <c r="L101" s="8"/>
    </row>
    <row r="102" spans="1:12" ht="15.6" customHeight="1" x14ac:dyDescent="0.55000000000000004">
      <c r="A102" s="7"/>
      <c r="B102" s="8"/>
      <c r="C102" s="8"/>
      <c r="D102" s="8"/>
      <c r="E102" s="8"/>
      <c r="F102" s="8"/>
      <c r="G102" s="8"/>
      <c r="H102" s="8"/>
      <c r="I102" s="8"/>
      <c r="J102" s="8"/>
      <c r="K102" s="8"/>
      <c r="L102" s="8"/>
    </row>
    <row r="103" spans="1:12" ht="15.6" customHeight="1" x14ac:dyDescent="0.55000000000000004">
      <c r="A103" s="7"/>
      <c r="B103" s="8"/>
      <c r="C103" s="8"/>
      <c r="D103" s="8"/>
      <c r="E103" s="8"/>
      <c r="F103" s="8"/>
      <c r="G103" s="8"/>
      <c r="H103" s="8"/>
      <c r="I103" s="8"/>
      <c r="J103" s="8"/>
      <c r="K103" s="8"/>
      <c r="L103" s="8"/>
    </row>
    <row r="104" spans="1:12" ht="15.6" customHeight="1" x14ac:dyDescent="0.55000000000000004">
      <c r="A104" s="7"/>
      <c r="B104" s="8"/>
      <c r="C104" s="8"/>
      <c r="D104" s="8"/>
      <c r="E104" s="8"/>
      <c r="F104" s="8"/>
      <c r="G104" s="8"/>
      <c r="H104" s="8"/>
      <c r="I104" s="8"/>
      <c r="J104" s="8"/>
      <c r="K104" s="8"/>
      <c r="L104" s="8"/>
    </row>
    <row r="105" spans="1:12" ht="15.6" customHeight="1" x14ac:dyDescent="0.55000000000000004">
      <c r="A105" s="7"/>
      <c r="B105" s="8"/>
      <c r="C105" s="8"/>
      <c r="D105" s="8"/>
      <c r="E105" s="8"/>
      <c r="F105" s="8"/>
      <c r="G105" s="8"/>
      <c r="H105" s="8"/>
      <c r="I105" s="8"/>
      <c r="J105" s="8"/>
      <c r="K105" s="8"/>
      <c r="L105" s="8"/>
    </row>
    <row r="106" spans="1:12" ht="15.6" customHeight="1" x14ac:dyDescent="0.55000000000000004">
      <c r="A106" s="7"/>
      <c r="B106" s="8"/>
      <c r="C106" s="8"/>
      <c r="D106" s="8"/>
      <c r="E106" s="8"/>
      <c r="F106" s="8"/>
      <c r="G106" s="8"/>
      <c r="H106" s="8"/>
      <c r="I106" s="8"/>
      <c r="J106" s="8"/>
      <c r="K106" s="8"/>
      <c r="L106" s="8"/>
    </row>
    <row r="107" spans="1:12" ht="15.6" customHeight="1" x14ac:dyDescent="0.55000000000000004">
      <c r="A107" s="7"/>
      <c r="B107" s="8"/>
      <c r="C107" s="8"/>
      <c r="D107" s="8"/>
      <c r="E107" s="8"/>
      <c r="F107" s="8"/>
      <c r="G107" s="8"/>
      <c r="H107" s="8"/>
      <c r="I107" s="8"/>
      <c r="J107" s="8"/>
      <c r="K107" s="8"/>
      <c r="L107" s="8"/>
    </row>
    <row r="108" spans="1:12" ht="15.6" customHeight="1" x14ac:dyDescent="0.55000000000000004">
      <c r="A108" s="7"/>
      <c r="B108" s="8"/>
      <c r="C108" s="8"/>
      <c r="D108" s="8"/>
      <c r="E108" s="8"/>
      <c r="F108" s="8"/>
      <c r="G108" s="8"/>
      <c r="H108" s="8"/>
      <c r="I108" s="8"/>
      <c r="J108" s="8"/>
      <c r="K108" s="8"/>
      <c r="L108" s="8"/>
    </row>
    <row r="109" spans="1:12" ht="15.6" customHeight="1" x14ac:dyDescent="0.55000000000000004">
      <c r="A109" s="7"/>
      <c r="B109" s="8"/>
      <c r="C109" s="8"/>
      <c r="D109" s="8"/>
      <c r="E109" s="8"/>
      <c r="F109" s="8"/>
      <c r="G109" s="8"/>
      <c r="H109" s="8"/>
      <c r="I109" s="8"/>
      <c r="J109" s="8"/>
      <c r="K109" s="8"/>
      <c r="L109" s="8"/>
    </row>
    <row r="110" spans="1:12" ht="15.6" customHeight="1" x14ac:dyDescent="0.55000000000000004">
      <c r="A110" s="7"/>
      <c r="B110" s="8"/>
      <c r="C110" s="8"/>
      <c r="D110" s="8"/>
      <c r="E110" s="8"/>
      <c r="F110" s="8"/>
      <c r="G110" s="8"/>
      <c r="H110" s="8"/>
      <c r="I110" s="8"/>
      <c r="J110" s="8"/>
      <c r="K110" s="8"/>
      <c r="L110" s="8"/>
    </row>
    <row r="111" spans="1:12" ht="15.6" customHeight="1" x14ac:dyDescent="0.55000000000000004">
      <c r="A111" s="7"/>
      <c r="B111" s="8"/>
      <c r="C111" s="8"/>
      <c r="D111" s="8"/>
      <c r="E111" s="8"/>
      <c r="F111" s="8"/>
      <c r="G111" s="8"/>
      <c r="H111" s="8"/>
      <c r="I111" s="8"/>
      <c r="J111" s="8"/>
      <c r="K111" s="8"/>
      <c r="L111" s="8"/>
    </row>
    <row r="112" spans="1:12" ht="15.6" customHeight="1" x14ac:dyDescent="0.55000000000000004">
      <c r="A112" s="7"/>
      <c r="B112" s="8"/>
      <c r="C112" s="8"/>
      <c r="D112" s="8"/>
      <c r="E112" s="8"/>
      <c r="F112" s="8"/>
      <c r="G112" s="8"/>
      <c r="H112" s="8"/>
      <c r="I112" s="8"/>
      <c r="J112" s="8"/>
      <c r="K112" s="8"/>
      <c r="L112" s="8"/>
    </row>
    <row r="113" spans="1:12" ht="15.6" customHeight="1" x14ac:dyDescent="0.55000000000000004">
      <c r="A113" s="7"/>
      <c r="B113" s="8"/>
      <c r="C113" s="8"/>
      <c r="D113" s="8"/>
      <c r="E113" s="8"/>
      <c r="F113" s="8"/>
      <c r="G113" s="8"/>
      <c r="H113" s="8"/>
      <c r="I113" s="8"/>
      <c r="J113" s="8"/>
      <c r="K113" s="8"/>
      <c r="L113" s="8"/>
    </row>
    <row r="114" spans="1:12" ht="15.6" customHeight="1" x14ac:dyDescent="0.55000000000000004">
      <c r="A114" s="7"/>
      <c r="B114" s="8"/>
      <c r="C114" s="8"/>
      <c r="D114" s="8"/>
      <c r="E114" s="8"/>
      <c r="F114" s="8"/>
      <c r="G114" s="8"/>
      <c r="H114" s="8"/>
      <c r="I114" s="8"/>
      <c r="J114" s="8"/>
      <c r="K114" s="8"/>
      <c r="L114" s="8"/>
    </row>
    <row r="115" spans="1:12" ht="15.6" customHeight="1" x14ac:dyDescent="0.55000000000000004">
      <c r="A115" s="7"/>
      <c r="B115" s="8"/>
      <c r="C115" s="8"/>
      <c r="D115" s="8"/>
      <c r="E115" s="8"/>
      <c r="F115" s="8"/>
      <c r="G115" s="8"/>
      <c r="H115" s="8"/>
      <c r="I115" s="8"/>
      <c r="J115" s="8"/>
      <c r="K115" s="8"/>
      <c r="L115" s="8"/>
    </row>
    <row r="116" spans="1:12" ht="15.6" customHeight="1" x14ac:dyDescent="0.55000000000000004">
      <c r="A116" s="7"/>
      <c r="B116" s="8"/>
      <c r="C116" s="8"/>
      <c r="D116" s="8"/>
      <c r="E116" s="8"/>
      <c r="F116" s="8"/>
      <c r="G116" s="8"/>
      <c r="H116" s="8"/>
      <c r="I116" s="8"/>
      <c r="J116" s="8"/>
      <c r="K116" s="8"/>
      <c r="L116" s="8"/>
    </row>
  </sheetData>
  <sheetProtection sheet="1" formatCells="0" formatColumns="0" formatRows="0"/>
  <mergeCells count="2">
    <mergeCell ref="K2:L2"/>
    <mergeCell ref="A1:B1"/>
  </mergeCells>
  <conditionalFormatting sqref="A2:XFD1048576 A1:B1 E1:XFD1">
    <cfRule type="expression" dxfId="34" priority="88">
      <formula>#REF!&lt;TODAY()</formula>
    </cfRule>
  </conditionalFormatting>
  <conditionalFormatting sqref="K7">
    <cfRule type="expression" dxfId="33" priority="7">
      <formula>AND($K$7 ="No/Non", TODAY()-#REF!&gt;60)</formula>
    </cfRule>
  </conditionalFormatting>
  <dataValidations count="2">
    <dataValidation type="date" operator="greaterThan" allowBlank="1" showInputMessage="1" showErrorMessage="1" sqref="L7:L100" xr:uid="{01376DE6-0BCA-4456-913D-959B5E9B1F0C}">
      <formula1>36161</formula1>
    </dataValidation>
    <dataValidation type="decimal" operator="notEqual" allowBlank="1" showInputMessage="1" showErrorMessage="1" sqref="I7:J100" xr:uid="{E0A97787-1C1C-4FD1-9570-3171A3EE959D}">
      <formula1>10^66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47BFC4-E937-44FA-9883-49C751301937}">
          <x14:formula1>
            <xm:f>List!$J$14:$J$16</xm:f>
          </x14:formula1>
          <xm:sqref>K7:K100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088B-80A4-45E3-8E27-8F767BFD2D92}">
  <sheetPr codeName="Sheet2">
    <outlinePr summaryRight="0"/>
  </sheetPr>
  <dimension ref="A1:SN105"/>
  <sheetViews>
    <sheetView tabSelected="1" workbookViewId="0">
      <pane xSplit="3" ySplit="9" topLeftCell="D10" activePane="bottomRight" state="frozen"/>
      <selection pane="topRight" activeCell="D1" sqref="D1"/>
      <selection pane="bottomLeft" activeCell="A10" sqref="A10"/>
      <selection pane="bottomRight" activeCell="G9" sqref="G9"/>
    </sheetView>
  </sheetViews>
  <sheetFormatPr defaultColWidth="10.41796875" defaultRowHeight="14.25" customHeight="1" outlineLevelCol="1" x14ac:dyDescent="0.55000000000000004"/>
  <cols>
    <col min="1" max="1" width="9.26171875" style="2" customWidth="1"/>
    <col min="2" max="2" width="42" style="2" customWidth="1"/>
    <col min="3" max="3" width="51" style="25" customWidth="1" collapsed="1"/>
    <col min="4" max="4" width="25" style="2" customWidth="1"/>
    <col min="5" max="5" width="29.68359375" style="2" customWidth="1"/>
    <col min="6" max="6" width="33.83984375" style="2" bestFit="1" customWidth="1"/>
    <col min="7" max="7" width="29.68359375" style="2" customWidth="1"/>
    <col min="8" max="8" width="14.83984375" style="137" customWidth="1" collapsed="1"/>
    <col min="9" max="9" width="14.83984375" style="171" customWidth="1"/>
    <col min="10" max="10" width="29.68359375" style="171" customWidth="1"/>
    <col min="11" max="11" width="29.68359375" style="2" customWidth="1"/>
    <col min="12" max="13" width="14.83984375" style="2" customWidth="1"/>
    <col min="14" max="15" width="29.68359375" style="2" customWidth="1"/>
    <col min="16" max="16" width="15" style="137" customWidth="1"/>
    <col min="17" max="17" width="17.68359375" style="2" customWidth="1" collapsed="1"/>
    <col min="18" max="18" width="17.68359375" style="2" hidden="1" customWidth="1" outlineLevel="1"/>
    <col min="19" max="20" width="15" style="2" customWidth="1"/>
    <col min="21" max="21" width="17.578125" style="2" customWidth="1" collapsed="1"/>
    <col min="22" max="22" width="17.578125" style="2" hidden="1" customWidth="1" outlineLevel="1"/>
    <col min="23" max="23" width="15" style="171" customWidth="1"/>
    <col min="24" max="24" width="14.83984375" style="2" customWidth="1" collapsed="1"/>
    <col min="25" max="25" width="36.7890625" style="2" hidden="1" customWidth="1" outlineLevel="1"/>
    <col min="26" max="26" width="14.83984375" style="2" customWidth="1" collapsed="1"/>
    <col min="27" max="27" width="14.83984375" style="2" hidden="1" customWidth="1" outlineLevel="1"/>
    <col min="28" max="28" width="14.83984375" style="2" customWidth="1" collapsed="1"/>
    <col min="29" max="29" width="14.83984375" style="2" customWidth="1"/>
    <col min="30" max="30" width="14.83984375" style="137" customWidth="1"/>
    <col min="31" max="31" width="14.83984375" style="2" customWidth="1" collapsed="1"/>
    <col min="32" max="32" width="14.83984375" style="2" hidden="1" customWidth="1" outlineLevel="1"/>
    <col min="33" max="33" width="14.83984375" style="2" customWidth="1" collapsed="1"/>
    <col min="34" max="34" width="14.83984375" style="2" hidden="1" customWidth="1" outlineLevel="1"/>
    <col min="35" max="35" width="18.15625" style="137" customWidth="1" collapsed="1"/>
    <col min="36" max="36" width="18.15625" style="2" hidden="1" customWidth="1" outlineLevel="1"/>
    <col min="37" max="37" width="14.83984375" style="2" customWidth="1" collapsed="1"/>
    <col min="38" max="38" width="14.83984375" style="2" hidden="1" customWidth="1" outlineLevel="1"/>
    <col min="39" max="39" width="14.83984375" style="2" customWidth="1"/>
    <col min="40" max="40" width="23.41796875" style="137" customWidth="1"/>
    <col min="41" max="41" width="23.41796875" style="2" customWidth="1"/>
    <col min="42" max="42" width="17.68359375" style="19" customWidth="1"/>
    <col min="43" max="43" width="39.15625" style="19" customWidth="1"/>
    <col min="44" max="44" width="28.578125" style="19" customWidth="1"/>
    <col min="45" max="45" width="23.83984375" style="160" customWidth="1"/>
    <col min="46" max="46" width="16.83984375" style="18" customWidth="1"/>
    <col min="47" max="47" width="16.26171875" style="18" customWidth="1"/>
    <col min="48" max="48" width="15.578125" style="18" customWidth="1"/>
    <col min="49" max="49" width="16.26171875" style="18" customWidth="1" collapsed="1"/>
    <col min="50" max="50" width="50.578125" style="166" customWidth="1" collapsed="1"/>
    <col min="51" max="73" width="42.68359375" hidden="1" customWidth="1" outlineLevel="1"/>
    <col min="74" max="74" width="10.41796875" style="95" customWidth="1" collapsed="1"/>
    <col min="75" max="76" width="10.41796875" style="95" hidden="1" customWidth="1"/>
    <col min="77" max="77" width="27.9453125" style="95" hidden="1" customWidth="1"/>
    <col min="78" max="87" width="10.41796875" style="95" hidden="1" customWidth="1"/>
    <col min="88" max="88" width="8.9453125" style="95" hidden="1" customWidth="1"/>
    <col min="89" max="89" width="9.89453125" style="95" hidden="1" customWidth="1"/>
    <col min="90" max="90" width="10.7890625" style="95" hidden="1" customWidth="1"/>
    <col min="91" max="91" width="10.9453125" style="95" hidden="1" customWidth="1"/>
    <col min="92" max="92" width="7.5234375" style="95" hidden="1" customWidth="1"/>
    <col min="93" max="93" width="6.83984375" style="95" hidden="1" customWidth="1"/>
    <col min="94" max="94" width="9.3671875" style="95" hidden="1" customWidth="1"/>
    <col min="95" max="97" width="10.41796875" style="95"/>
    <col min="98" max="98" width="12.15625" style="95" bestFit="1" customWidth="1"/>
    <col min="99" max="99" width="20.15625" style="95" customWidth="1"/>
    <col min="100" max="100" width="11.578125" style="95" bestFit="1" customWidth="1"/>
    <col min="101" max="101" width="15.83984375" style="95" bestFit="1" customWidth="1"/>
    <col min="102" max="102" width="13.15625" style="95" bestFit="1" customWidth="1"/>
    <col min="103" max="103" width="18.15625" style="95" bestFit="1" customWidth="1"/>
    <col min="104" max="104" width="30.83984375" style="95" customWidth="1"/>
    <col min="105" max="105" width="23.15625" style="95" bestFit="1" customWidth="1"/>
    <col min="106" max="106" width="27.15625" style="95" bestFit="1" customWidth="1"/>
    <col min="107" max="107" width="36.578125" style="95" customWidth="1"/>
    <col min="108" max="108" width="41.15625" style="95" bestFit="1" customWidth="1"/>
    <col min="109" max="109" width="24.15625" style="95" bestFit="1" customWidth="1"/>
    <col min="110" max="110" width="28.15625" style="95" bestFit="1" customWidth="1"/>
    <col min="111" max="111" width="38.41796875" style="95" customWidth="1"/>
    <col min="112" max="112" width="22.41796875" style="95" customWidth="1"/>
    <col min="113" max="114" width="20.26171875" style="95" customWidth="1"/>
    <col min="115" max="115" width="17.26171875" style="95" customWidth="1"/>
    <col min="116" max="116" width="28.41796875" style="95" customWidth="1"/>
    <col min="117" max="118" width="33" style="95" customWidth="1"/>
    <col min="119" max="119" width="26.83984375" style="95" customWidth="1"/>
    <col min="120" max="120" width="22" style="95" customWidth="1"/>
    <col min="121" max="121" width="37.68359375" style="95" bestFit="1" customWidth="1"/>
    <col min="122" max="122" width="41.15625" style="95" bestFit="1" customWidth="1"/>
    <col min="123" max="123" width="40.41796875" style="95" bestFit="1" customWidth="1"/>
    <col min="124" max="124" width="23.41796875" style="95" customWidth="1"/>
    <col min="125" max="125" width="20.68359375" style="95" customWidth="1"/>
    <col min="126" max="127" width="41.15625" style="95" bestFit="1" customWidth="1"/>
    <col min="128" max="128" width="38.83984375" style="95" bestFit="1" customWidth="1"/>
    <col min="129" max="129" width="41.15625" style="95" bestFit="1" customWidth="1"/>
    <col min="130" max="130" width="37.41796875" style="95" bestFit="1" customWidth="1"/>
    <col min="131" max="131" width="41.15625" style="95" bestFit="1" customWidth="1"/>
    <col min="132" max="132" width="36.26171875" style="95" bestFit="1" customWidth="1"/>
    <col min="133" max="133" width="41.15625" style="95" bestFit="1" customWidth="1"/>
    <col min="134" max="134" width="38.578125" style="95" bestFit="1" customWidth="1"/>
    <col min="135" max="135" width="41.15625" style="95" bestFit="1" customWidth="1"/>
    <col min="136" max="136" width="30.578125" style="95" bestFit="1" customWidth="1"/>
    <col min="137" max="137" width="28.41796875" style="95" bestFit="1" customWidth="1"/>
    <col min="138" max="138" width="24.41796875" style="95" bestFit="1" customWidth="1"/>
    <col min="139" max="139" width="19.578125" style="95" bestFit="1" customWidth="1"/>
    <col min="140" max="140" width="36" style="95" bestFit="1" customWidth="1"/>
    <col min="141" max="144" width="41.15625" style="95" bestFit="1" customWidth="1"/>
    <col min="145" max="145" width="41.83984375" style="95" customWidth="1"/>
    <col min="146" max="156" width="10.41796875" style="95"/>
    <col min="157" max="157" width="88.68359375" style="95" bestFit="1" customWidth="1"/>
    <col min="158" max="158" width="10.41796875" style="95"/>
    <col min="159" max="159" width="6.26171875" style="95" bestFit="1" customWidth="1"/>
    <col min="160" max="508" width="10.41796875" style="95"/>
    <col min="509" max="16384" width="10.41796875" style="97"/>
  </cols>
  <sheetData>
    <row r="1" spans="1:508" s="94" customFormat="1" ht="29.7" x14ac:dyDescent="0.55000000000000004">
      <c r="A1" s="77" t="s">
        <v>100</v>
      </c>
      <c r="B1" s="72"/>
      <c r="C1" s="76" t="s">
        <v>357</v>
      </c>
      <c r="D1" s="23"/>
      <c r="E1" s="23"/>
      <c r="F1" s="23"/>
      <c r="G1" s="23"/>
      <c r="H1" s="130"/>
      <c r="I1" s="167"/>
      <c r="J1" s="167"/>
      <c r="K1" s="23"/>
      <c r="L1" s="23"/>
      <c r="M1" s="23"/>
      <c r="N1" s="23"/>
      <c r="O1" s="23"/>
      <c r="P1" s="130"/>
      <c r="Q1" s="23"/>
      <c r="R1" s="23"/>
      <c r="S1" s="23"/>
      <c r="T1" s="23"/>
      <c r="U1" s="23"/>
      <c r="V1" s="23"/>
      <c r="W1" s="167"/>
      <c r="X1" s="23"/>
      <c r="Y1" s="23"/>
      <c r="Z1" s="23"/>
      <c r="AA1" s="23"/>
      <c r="AB1" s="23"/>
      <c r="AC1" s="23"/>
      <c r="AD1" s="130"/>
      <c r="AE1" s="23"/>
      <c r="AF1" s="23"/>
      <c r="AG1" s="23"/>
      <c r="AH1" s="23"/>
      <c r="AI1" s="130"/>
      <c r="AJ1" s="23"/>
      <c r="AK1" s="23"/>
      <c r="AL1" s="23"/>
      <c r="AM1" s="23"/>
      <c r="AN1" s="130"/>
      <c r="AO1" s="23"/>
      <c r="AP1" s="23"/>
      <c r="AQ1" s="23"/>
      <c r="AR1" s="23"/>
      <c r="AS1" s="130"/>
      <c r="AT1" s="23"/>
      <c r="AU1" s="23"/>
      <c r="AV1" s="23"/>
      <c r="AW1" s="23"/>
      <c r="AX1" s="130"/>
      <c r="AY1" s="23"/>
      <c r="AZ1" s="23"/>
      <c r="BA1" s="23"/>
      <c r="BB1" s="23"/>
      <c r="BC1" s="23"/>
      <c r="BD1" s="23"/>
      <c r="BE1" s="23"/>
      <c r="BF1" s="23"/>
      <c r="BG1" s="23"/>
      <c r="BH1" s="23"/>
      <c r="BI1" s="23"/>
      <c r="BJ1" s="23"/>
      <c r="BK1" s="23"/>
      <c r="BL1" s="23"/>
      <c r="BM1" s="23"/>
      <c r="BN1" s="23"/>
      <c r="BO1" s="23"/>
      <c r="BP1" s="23"/>
      <c r="BQ1" s="23"/>
      <c r="BR1" s="23"/>
      <c r="BS1" s="23"/>
      <c r="BT1" s="23"/>
      <c r="BU1" s="23"/>
      <c r="CR1" s="180"/>
    </row>
    <row r="2" spans="1:508" s="94" customFormat="1" ht="30" hidden="1" customHeight="1" x14ac:dyDescent="0.55000000000000004">
      <c r="A2" s="75"/>
      <c r="B2" s="76"/>
      <c r="C2" s="76"/>
      <c r="D2" s="23"/>
      <c r="E2" s="80" t="s">
        <v>359</v>
      </c>
      <c r="F2" s="80">
        <f>COLUMNS($D$3:$AW$3) - COUNTIF($D$3:$AW$3, "")</f>
        <v>0</v>
      </c>
      <c r="G2" s="23"/>
      <c r="H2" s="130"/>
      <c r="I2" s="167"/>
      <c r="J2" s="167"/>
      <c r="K2" s="23"/>
      <c r="L2" s="23"/>
      <c r="M2" s="23"/>
      <c r="N2" s="23"/>
      <c r="O2" s="23"/>
      <c r="P2" s="130"/>
      <c r="Q2" s="84"/>
      <c r="R2" s="84"/>
      <c r="S2" s="23"/>
      <c r="T2" s="23"/>
      <c r="U2" s="23"/>
      <c r="V2" s="23"/>
      <c r="W2" s="167"/>
      <c r="X2" s="23"/>
      <c r="Y2" s="23"/>
      <c r="Z2" s="23"/>
      <c r="AA2" s="23"/>
      <c r="AB2" s="23"/>
      <c r="AC2" s="23"/>
      <c r="AD2" s="130"/>
      <c r="AE2" s="23"/>
      <c r="AF2" s="23"/>
      <c r="AG2" s="23"/>
      <c r="AH2" s="23"/>
      <c r="AI2" s="130"/>
      <c r="AJ2" s="23"/>
      <c r="AK2" s="23"/>
      <c r="AL2" s="23"/>
      <c r="AM2" s="23"/>
      <c r="AN2" s="130"/>
      <c r="AO2" s="23"/>
      <c r="AP2" s="23"/>
      <c r="AQ2" s="23"/>
      <c r="AR2" s="23"/>
      <c r="AS2" s="130"/>
      <c r="AT2" s="23"/>
      <c r="AU2" s="23"/>
      <c r="AV2" s="23"/>
      <c r="AW2" s="23"/>
      <c r="AX2" s="130"/>
      <c r="AY2" s="23"/>
      <c r="AZ2" s="23"/>
      <c r="BA2" s="23"/>
      <c r="BB2" s="23"/>
      <c r="BC2" s="23"/>
      <c r="BD2" s="23"/>
      <c r="BE2" s="23"/>
      <c r="BF2" s="23"/>
      <c r="BG2" s="23"/>
      <c r="BH2" s="23"/>
      <c r="BI2" s="23"/>
      <c r="BJ2" s="23"/>
      <c r="BK2" s="23"/>
      <c r="BL2" s="23"/>
      <c r="BM2" s="23"/>
      <c r="BN2" s="23"/>
      <c r="BO2" s="23"/>
      <c r="BP2" s="23"/>
      <c r="BQ2" s="23"/>
      <c r="BR2" s="23"/>
      <c r="BS2" s="23"/>
      <c r="BT2" s="23"/>
      <c r="BU2" s="23"/>
    </row>
    <row r="3" spans="1:508" s="94" customFormat="1" ht="22.8" thickBot="1" x14ac:dyDescent="0.6">
      <c r="A3" s="326" t="s">
        <v>123</v>
      </c>
      <c r="B3" s="326"/>
      <c r="C3" s="101" t="s">
        <v>262</v>
      </c>
      <c r="D3" s="23"/>
      <c r="E3" s="23"/>
      <c r="F3" s="23"/>
      <c r="G3" s="23"/>
      <c r="H3" s="131"/>
      <c r="I3" s="168"/>
      <c r="J3" s="167"/>
      <c r="K3" s="23"/>
      <c r="L3" s="79"/>
      <c r="M3" s="79"/>
      <c r="N3" s="23"/>
      <c r="O3" s="23"/>
      <c r="P3" s="131"/>
      <c r="Q3" s="86"/>
      <c r="R3" s="86"/>
      <c r="S3" s="79"/>
      <c r="T3" s="79"/>
      <c r="U3" s="79"/>
      <c r="V3" s="79"/>
      <c r="W3" s="168"/>
      <c r="X3" s="79"/>
      <c r="Y3" s="79"/>
      <c r="Z3" s="79"/>
      <c r="AA3" s="79"/>
      <c r="AB3" s="79"/>
      <c r="AC3" s="79"/>
      <c r="AD3" s="131"/>
      <c r="AE3" s="79"/>
      <c r="AF3" s="79"/>
      <c r="AG3" s="79"/>
      <c r="AH3" s="79"/>
      <c r="AI3" s="131"/>
      <c r="AJ3" s="79"/>
      <c r="AK3" s="79"/>
      <c r="AL3" s="79"/>
      <c r="AM3" s="79"/>
      <c r="AN3" s="130"/>
      <c r="AO3" s="23"/>
      <c r="AP3" s="23"/>
      <c r="AQ3" s="23"/>
      <c r="AR3" s="23"/>
      <c r="AS3" s="131"/>
      <c r="AT3" s="79"/>
      <c r="AU3" s="79"/>
      <c r="AV3" s="79"/>
      <c r="AW3" s="79"/>
      <c r="AX3" s="130"/>
      <c r="AY3" s="23"/>
      <c r="AZ3" s="23"/>
      <c r="BA3" s="23"/>
      <c r="BB3" s="23"/>
      <c r="BC3" s="23"/>
      <c r="BD3" s="23"/>
      <c r="BE3" s="23"/>
      <c r="BF3" s="23"/>
      <c r="BG3" s="23"/>
      <c r="BH3" s="23"/>
      <c r="BI3" s="23"/>
      <c r="BJ3" s="23"/>
      <c r="BK3" s="23"/>
      <c r="BL3" s="23"/>
      <c r="BM3" s="23"/>
      <c r="BN3" s="23"/>
      <c r="BO3" s="23"/>
      <c r="BP3" s="23"/>
      <c r="BQ3" s="23"/>
      <c r="BR3" s="23"/>
      <c r="BS3" s="23"/>
      <c r="BT3" s="23"/>
      <c r="BU3" s="23"/>
      <c r="CR3" s="180" t="s">
        <v>397</v>
      </c>
      <c r="CS3" s="180" t="b">
        <f>AND(CR3, ISBLANK(CS11))</f>
        <v>1</v>
      </c>
      <c r="CT3" s="180" t="b">
        <f t="shared" ref="CT3:EO3" si="0">AND(CT4, ISBLANK(CT11))</f>
        <v>0</v>
      </c>
      <c r="CU3" s="180" t="b">
        <f t="shared" si="0"/>
        <v>0</v>
      </c>
      <c r="CV3" s="180" t="b">
        <f t="shared" si="0"/>
        <v>0</v>
      </c>
      <c r="CW3" s="180" t="b">
        <f t="shared" si="0"/>
        <v>0</v>
      </c>
      <c r="CX3" s="180" t="b">
        <f t="shared" si="0"/>
        <v>0</v>
      </c>
      <c r="CY3" s="180" t="b">
        <f t="shared" ca="1" si="0"/>
        <v>0</v>
      </c>
      <c r="CZ3" s="180" t="b">
        <f t="shared" si="0"/>
        <v>0</v>
      </c>
      <c r="DA3" s="180" t="b">
        <f t="shared" ca="1" si="0"/>
        <v>0</v>
      </c>
      <c r="DB3" s="180" t="b">
        <f t="shared" si="0"/>
        <v>0</v>
      </c>
      <c r="DC3" s="180" t="b">
        <f t="shared" si="0"/>
        <v>0</v>
      </c>
      <c r="DD3" s="180" t="b">
        <f t="shared" si="0"/>
        <v>0</v>
      </c>
      <c r="DE3" s="180" t="b">
        <f t="shared" ca="1" si="0"/>
        <v>0</v>
      </c>
      <c r="DF3" s="180" t="b">
        <f t="shared" si="0"/>
        <v>0</v>
      </c>
      <c r="DG3" s="180" t="b">
        <f t="shared" si="0"/>
        <v>0</v>
      </c>
      <c r="DH3" s="180" t="b">
        <f t="shared" ca="1" si="0"/>
        <v>0</v>
      </c>
      <c r="DI3" s="180" t="b">
        <f t="shared" si="0"/>
        <v>0</v>
      </c>
      <c r="DJ3" s="180"/>
      <c r="DK3" s="180" t="b">
        <f t="shared" si="0"/>
        <v>0</v>
      </c>
      <c r="DL3" s="180" t="b">
        <f t="shared" ca="1" si="0"/>
        <v>0</v>
      </c>
      <c r="DM3" s="180" t="b">
        <f t="shared" si="0"/>
        <v>0</v>
      </c>
      <c r="DN3" s="180"/>
      <c r="DO3" s="180" t="b">
        <f t="shared" si="0"/>
        <v>0</v>
      </c>
      <c r="DP3" s="180" t="b">
        <f t="shared" si="0"/>
        <v>0</v>
      </c>
      <c r="DQ3" s="180" t="b">
        <f t="shared" si="0"/>
        <v>0</v>
      </c>
      <c r="DR3" s="180" t="b">
        <f t="shared" si="0"/>
        <v>0</v>
      </c>
      <c r="DS3" s="180" t="b">
        <f t="shared" si="0"/>
        <v>0</v>
      </c>
      <c r="DT3" s="180" t="b">
        <f t="shared" si="0"/>
        <v>0</v>
      </c>
      <c r="DU3" s="180" t="b">
        <f t="shared" si="0"/>
        <v>0</v>
      </c>
      <c r="DV3" s="180" t="b">
        <f t="shared" si="0"/>
        <v>0</v>
      </c>
      <c r="DW3" s="180" t="b">
        <f t="shared" si="0"/>
        <v>0</v>
      </c>
      <c r="DX3" s="180" t="b">
        <f t="shared" si="0"/>
        <v>0</v>
      </c>
      <c r="DY3" s="180" t="b">
        <f t="shared" si="0"/>
        <v>0</v>
      </c>
      <c r="DZ3" s="180" t="b">
        <f t="shared" si="0"/>
        <v>0</v>
      </c>
      <c r="EA3" s="180" t="b">
        <f t="shared" si="0"/>
        <v>0</v>
      </c>
      <c r="EB3" s="180" t="b">
        <f t="shared" si="0"/>
        <v>0</v>
      </c>
      <c r="EC3" s="180" t="b">
        <f t="shared" si="0"/>
        <v>0</v>
      </c>
      <c r="ED3" s="180" t="b">
        <f t="shared" si="0"/>
        <v>0</v>
      </c>
      <c r="EE3" s="180" t="b">
        <f t="shared" si="0"/>
        <v>0</v>
      </c>
      <c r="EF3" s="180" t="b">
        <f t="shared" si="0"/>
        <v>0</v>
      </c>
      <c r="EG3" s="180" t="b">
        <f t="shared" si="0"/>
        <v>0</v>
      </c>
      <c r="EH3" s="180" t="b">
        <f t="shared" si="0"/>
        <v>0</v>
      </c>
      <c r="EI3" s="180" t="b">
        <f t="shared" si="0"/>
        <v>0</v>
      </c>
      <c r="EJ3" s="180" t="b">
        <f t="shared" si="0"/>
        <v>0</v>
      </c>
      <c r="EK3" s="180" t="b">
        <f t="shared" ca="1" si="0"/>
        <v>0</v>
      </c>
      <c r="EL3" s="180" t="b">
        <f t="shared" si="0"/>
        <v>0</v>
      </c>
      <c r="EM3" s="180" t="b">
        <f t="shared" si="0"/>
        <v>0</v>
      </c>
      <c r="EN3" s="180" t="b">
        <f t="shared" si="0"/>
        <v>0</v>
      </c>
      <c r="EO3" s="180" t="b">
        <f t="shared" si="0"/>
        <v>0</v>
      </c>
    </row>
    <row r="4" spans="1:508" s="94" customFormat="1" ht="42" customHeight="1" thickBot="1" x14ac:dyDescent="0.6">
      <c r="A4" s="115"/>
      <c r="B4" s="116" t="s">
        <v>365</v>
      </c>
      <c r="C4" s="117" t="s">
        <v>367</v>
      </c>
      <c r="D4" s="23"/>
      <c r="E4" s="23"/>
      <c r="F4" s="23"/>
      <c r="G4" s="23"/>
      <c r="H4" s="131"/>
      <c r="I4" s="168"/>
      <c r="J4" s="167"/>
      <c r="K4" s="23"/>
      <c r="L4" s="79"/>
      <c r="M4" s="79"/>
      <c r="N4" s="23"/>
      <c r="O4" s="23"/>
      <c r="P4" s="131"/>
      <c r="Q4" s="86"/>
      <c r="R4" s="86"/>
      <c r="S4" s="79"/>
      <c r="T4" s="79"/>
      <c r="U4" s="79"/>
      <c r="V4" s="79"/>
      <c r="W4" s="172"/>
      <c r="X4" s="79"/>
      <c r="Y4" s="79"/>
      <c r="Z4" s="79"/>
      <c r="AA4" s="79"/>
      <c r="AB4" s="79"/>
      <c r="AC4" s="79"/>
      <c r="AD4" s="131"/>
      <c r="AE4" s="79"/>
      <c r="AF4" s="79"/>
      <c r="AG4" s="79"/>
      <c r="AH4" s="79"/>
      <c r="AI4" s="131"/>
      <c r="AJ4" s="79"/>
      <c r="AK4" s="79"/>
      <c r="AL4" s="79"/>
      <c r="AM4" s="79"/>
      <c r="AN4" s="130"/>
      <c r="AO4" s="23"/>
      <c r="AP4" s="23"/>
      <c r="AQ4" s="23"/>
      <c r="AR4" s="23"/>
      <c r="AS4" s="131"/>
      <c r="AT4" s="79"/>
      <c r="AU4" s="79"/>
      <c r="AV4" s="331" t="s">
        <v>368</v>
      </c>
      <c r="AW4" s="331"/>
      <c r="AX4" s="161" t="s">
        <v>366</v>
      </c>
      <c r="AY4" s="113" t="str">
        <f>"*((col*((meeting_minutes_general_minus_"&amp;COLUMN()-COLUMN($AX$4)+1</f>
        <v>*((col*((meeting_minutes_general_minus_2</v>
      </c>
      <c r="AZ4" s="113" t="str">
        <f t="shared" ref="AZ4:BU4" si="1">"*((col*((meeting_minutes_general_minus_"&amp;COLUMN()-COLUMN($AX$4)+1</f>
        <v>*((col*((meeting_minutes_general_minus_3</v>
      </c>
      <c r="BA4" s="113" t="str">
        <f t="shared" si="1"/>
        <v>*((col*((meeting_minutes_general_minus_4</v>
      </c>
      <c r="BB4" s="113" t="str">
        <f t="shared" si="1"/>
        <v>*((col*((meeting_minutes_general_minus_5</v>
      </c>
      <c r="BC4" s="113" t="str">
        <f t="shared" si="1"/>
        <v>*((col*((meeting_minutes_general_minus_6</v>
      </c>
      <c r="BD4" s="113" t="str">
        <f t="shared" si="1"/>
        <v>*((col*((meeting_minutes_general_minus_7</v>
      </c>
      <c r="BE4" s="113" t="str">
        <f t="shared" si="1"/>
        <v>*((col*((meeting_minutes_general_minus_8</v>
      </c>
      <c r="BF4" s="113" t="str">
        <f t="shared" si="1"/>
        <v>*((col*((meeting_minutes_general_minus_9</v>
      </c>
      <c r="BG4" s="113" t="str">
        <f t="shared" si="1"/>
        <v>*((col*((meeting_minutes_general_minus_10</v>
      </c>
      <c r="BH4" s="113" t="str">
        <f t="shared" si="1"/>
        <v>*((col*((meeting_minutes_general_minus_11</v>
      </c>
      <c r="BI4" s="113" t="str">
        <f t="shared" si="1"/>
        <v>*((col*((meeting_minutes_general_minus_12</v>
      </c>
      <c r="BJ4" s="113" t="str">
        <f t="shared" si="1"/>
        <v>*((col*((meeting_minutes_general_minus_13</v>
      </c>
      <c r="BK4" s="113" t="str">
        <f t="shared" si="1"/>
        <v>*((col*((meeting_minutes_general_minus_14</v>
      </c>
      <c r="BL4" s="113" t="str">
        <f t="shared" si="1"/>
        <v>*((col*((meeting_minutes_general_minus_15</v>
      </c>
      <c r="BM4" s="113" t="str">
        <f t="shared" si="1"/>
        <v>*((col*((meeting_minutes_general_minus_16</v>
      </c>
      <c r="BN4" s="113" t="str">
        <f t="shared" si="1"/>
        <v>*((col*((meeting_minutes_general_minus_17</v>
      </c>
      <c r="BO4" s="113" t="str">
        <f t="shared" si="1"/>
        <v>*((col*((meeting_minutes_general_minus_18</v>
      </c>
      <c r="BP4" s="113" t="str">
        <f t="shared" si="1"/>
        <v>*((col*((meeting_minutes_general_minus_19</v>
      </c>
      <c r="BQ4" s="113" t="str">
        <f t="shared" si="1"/>
        <v>*((col*((meeting_minutes_general_minus_20</v>
      </c>
      <c r="BR4" s="113" t="str">
        <f t="shared" si="1"/>
        <v>*((col*((meeting_minutes_general_minus_21</v>
      </c>
      <c r="BS4" s="113" t="str">
        <f t="shared" si="1"/>
        <v>*((col*((meeting_minutes_general_minus_22</v>
      </c>
      <c r="BT4" s="113" t="str">
        <f t="shared" si="1"/>
        <v>*((col*((meeting_minutes_general_minus_23</v>
      </c>
      <c r="BU4" s="113" t="str">
        <f t="shared" si="1"/>
        <v>*((col*((meeting_minutes_general_minus_24</v>
      </c>
      <c r="CR4" s="180">
        <f ca="1">COUNTA(CS10:EO105)</f>
        <v>99</v>
      </c>
      <c r="CS4" s="180" t="b">
        <f t="shared" ref="CS4:EO4" si="2">ISNUMBER(SEARCH("formula", CS10))</f>
        <v>0</v>
      </c>
      <c r="CT4" s="180" t="b">
        <f t="shared" si="2"/>
        <v>0</v>
      </c>
      <c r="CU4" s="180" t="b">
        <f t="shared" si="2"/>
        <v>1</v>
      </c>
      <c r="CV4" s="180" t="b">
        <f t="shared" si="2"/>
        <v>0</v>
      </c>
      <c r="CW4" s="180" t="b">
        <f t="shared" si="2"/>
        <v>0</v>
      </c>
      <c r="CX4" s="180" t="b">
        <f t="shared" si="2"/>
        <v>0</v>
      </c>
      <c r="CY4" s="180" t="b">
        <f t="shared" si="2"/>
        <v>1</v>
      </c>
      <c r="CZ4" s="180" t="b">
        <f t="shared" si="2"/>
        <v>1</v>
      </c>
      <c r="DA4" s="180" t="b">
        <f t="shared" si="2"/>
        <v>1</v>
      </c>
      <c r="DB4" s="180" t="b">
        <f t="shared" si="2"/>
        <v>0</v>
      </c>
      <c r="DC4" s="180" t="b">
        <f t="shared" si="2"/>
        <v>1</v>
      </c>
      <c r="DD4" s="180" t="b">
        <f t="shared" si="2"/>
        <v>1</v>
      </c>
      <c r="DE4" s="180" t="b">
        <f t="shared" si="2"/>
        <v>1</v>
      </c>
      <c r="DF4" s="180" t="b">
        <f t="shared" si="2"/>
        <v>0</v>
      </c>
      <c r="DG4" s="180" t="b">
        <f t="shared" si="2"/>
        <v>1</v>
      </c>
      <c r="DH4" s="180" t="b">
        <f t="shared" si="2"/>
        <v>1</v>
      </c>
      <c r="DI4" s="180" t="b">
        <f t="shared" si="2"/>
        <v>1</v>
      </c>
      <c r="DJ4" s="180"/>
      <c r="DK4" s="180" t="b">
        <f t="shared" si="2"/>
        <v>1</v>
      </c>
      <c r="DL4" s="180" t="b">
        <f t="shared" si="2"/>
        <v>1</v>
      </c>
      <c r="DM4" s="180" t="b">
        <f t="shared" si="2"/>
        <v>1</v>
      </c>
      <c r="DN4" s="180"/>
      <c r="DO4" s="180" t="b">
        <f t="shared" si="2"/>
        <v>1</v>
      </c>
      <c r="DP4" s="180" t="b">
        <f t="shared" si="2"/>
        <v>1</v>
      </c>
      <c r="DQ4" s="180" t="b">
        <f t="shared" si="2"/>
        <v>0</v>
      </c>
      <c r="DR4" s="180" t="b">
        <f t="shared" si="2"/>
        <v>1</v>
      </c>
      <c r="DS4" s="180" t="b">
        <f t="shared" si="2"/>
        <v>0</v>
      </c>
      <c r="DT4" s="180" t="b">
        <f t="shared" si="2"/>
        <v>1</v>
      </c>
      <c r="DU4" s="180" t="b">
        <f t="shared" si="2"/>
        <v>1</v>
      </c>
      <c r="DV4" s="180" t="b">
        <f t="shared" si="2"/>
        <v>1</v>
      </c>
      <c r="DW4" s="180" t="b">
        <f t="shared" si="2"/>
        <v>1</v>
      </c>
      <c r="DX4" s="180" t="b">
        <f t="shared" si="2"/>
        <v>0</v>
      </c>
      <c r="DY4" s="180" t="b">
        <f t="shared" si="2"/>
        <v>1</v>
      </c>
      <c r="DZ4" s="180" t="b">
        <f t="shared" si="2"/>
        <v>0</v>
      </c>
      <c r="EA4" s="180" t="b">
        <f t="shared" si="2"/>
        <v>1</v>
      </c>
      <c r="EB4" s="180" t="b">
        <f t="shared" si="2"/>
        <v>0</v>
      </c>
      <c r="EC4" s="180" t="b">
        <f t="shared" si="2"/>
        <v>1</v>
      </c>
      <c r="ED4" s="180" t="b">
        <f t="shared" si="2"/>
        <v>0</v>
      </c>
      <c r="EE4" s="180" t="b">
        <f t="shared" si="2"/>
        <v>1</v>
      </c>
      <c r="EF4" s="180" t="b">
        <f t="shared" si="2"/>
        <v>0</v>
      </c>
      <c r="EG4" s="180" t="b">
        <f t="shared" si="2"/>
        <v>0</v>
      </c>
      <c r="EH4" s="180" t="b">
        <f t="shared" si="2"/>
        <v>0</v>
      </c>
      <c r="EI4" s="180" t="b">
        <f t="shared" si="2"/>
        <v>0</v>
      </c>
      <c r="EJ4" s="180" t="b">
        <f t="shared" si="2"/>
        <v>0</v>
      </c>
      <c r="EK4" s="180" t="b">
        <f t="shared" si="2"/>
        <v>1</v>
      </c>
      <c r="EL4" s="180" t="b">
        <f t="shared" si="2"/>
        <v>1</v>
      </c>
      <c r="EM4" s="180" t="b">
        <f t="shared" si="2"/>
        <v>1</v>
      </c>
      <c r="EN4" s="180" t="b">
        <f t="shared" si="2"/>
        <v>1</v>
      </c>
      <c r="EO4" s="180" t="b">
        <f t="shared" si="2"/>
        <v>1</v>
      </c>
    </row>
    <row r="5" spans="1:508" s="96" customFormat="1" ht="24.75" customHeight="1" thickBot="1" x14ac:dyDescent="0.6">
      <c r="A5" s="323" t="s">
        <v>124</v>
      </c>
      <c r="B5" s="324"/>
      <c r="C5" s="324"/>
      <c r="D5" s="324"/>
      <c r="E5" s="324"/>
      <c r="F5" s="324"/>
      <c r="G5" s="325"/>
      <c r="H5" s="125" t="s">
        <v>369</v>
      </c>
      <c r="I5" s="179"/>
      <c r="J5" s="125"/>
      <c r="K5" s="125"/>
      <c r="L5" s="125"/>
      <c r="M5" s="125"/>
      <c r="N5" s="125"/>
      <c r="O5" s="125"/>
      <c r="P5" s="151" t="s">
        <v>467</v>
      </c>
      <c r="Q5" s="73"/>
      <c r="R5" s="73"/>
      <c r="S5" s="73"/>
      <c r="T5" s="73"/>
      <c r="U5" s="73"/>
      <c r="V5" s="73"/>
      <c r="W5" s="73"/>
      <c r="X5" s="73"/>
      <c r="Y5" s="73"/>
      <c r="Z5" s="73"/>
      <c r="AA5" s="73"/>
      <c r="AB5" s="73"/>
      <c r="AC5" s="73"/>
      <c r="AD5" s="332" t="s">
        <v>474</v>
      </c>
      <c r="AE5" s="324"/>
      <c r="AF5" s="324"/>
      <c r="AG5" s="324"/>
      <c r="AH5" s="333"/>
      <c r="AI5" s="320" t="s">
        <v>475</v>
      </c>
      <c r="AJ5" s="321"/>
      <c r="AK5" s="321"/>
      <c r="AL5" s="321"/>
      <c r="AM5" s="322"/>
      <c r="AN5" s="329" t="s">
        <v>476</v>
      </c>
      <c r="AO5" s="330"/>
      <c r="AP5" s="330"/>
      <c r="AQ5" s="330"/>
      <c r="AR5" s="330"/>
      <c r="AS5" s="327" t="s">
        <v>477</v>
      </c>
      <c r="AT5" s="328"/>
      <c r="AU5" s="328"/>
      <c r="AV5" s="328"/>
      <c r="AW5" s="328"/>
      <c r="AX5" s="327" t="s">
        <v>478</v>
      </c>
      <c r="AY5" s="328"/>
      <c r="AZ5" s="328"/>
      <c r="BA5" s="328"/>
      <c r="BB5" s="328"/>
      <c r="BC5" s="60"/>
      <c r="BD5" s="60"/>
      <c r="BE5" s="60"/>
      <c r="BF5" s="60"/>
      <c r="BG5" s="60"/>
      <c r="BH5" s="60"/>
      <c r="BI5" s="60"/>
      <c r="BJ5" s="60"/>
      <c r="BK5" s="60"/>
      <c r="BL5" s="60"/>
      <c r="BM5" s="60"/>
      <c r="BN5" s="60"/>
      <c r="BO5" s="60"/>
      <c r="BP5" s="60"/>
      <c r="BQ5" s="60"/>
      <c r="BR5" s="60"/>
      <c r="BS5" s="60"/>
      <c r="BT5" s="60"/>
      <c r="BU5" s="70"/>
      <c r="BV5" s="95"/>
      <c r="BW5" s="95"/>
      <c r="BX5" s="95"/>
      <c r="BY5" s="95"/>
      <c r="BZ5" s="95"/>
      <c r="CA5" s="95"/>
      <c r="CB5" s="95"/>
      <c r="CC5" s="95"/>
      <c r="CD5" s="95"/>
      <c r="CE5" s="95"/>
      <c r="CF5" s="95"/>
      <c r="CG5" s="95"/>
      <c r="CH5" s="95"/>
      <c r="CI5" s="95"/>
      <c r="CJ5" s="95"/>
      <c r="CK5" s="95"/>
      <c r="CL5" s="95"/>
      <c r="CM5" s="95"/>
      <c r="CN5" s="95"/>
      <c r="CO5" s="95"/>
      <c r="CP5" s="95"/>
      <c r="CQ5" s="95"/>
      <c r="CR5" s="95"/>
      <c r="CS5" s="176" t="s">
        <v>394</v>
      </c>
      <c r="CT5" s="125"/>
      <c r="CU5" s="125"/>
      <c r="CV5" s="125"/>
      <c r="CW5" s="125"/>
      <c r="CX5" s="176" t="s">
        <v>394</v>
      </c>
      <c r="CY5" s="125"/>
      <c r="CZ5" s="125"/>
      <c r="DA5" s="125"/>
      <c r="DB5" s="125"/>
      <c r="DC5" s="125"/>
      <c r="DD5" s="125"/>
      <c r="DE5" s="125"/>
      <c r="DF5" s="125"/>
      <c r="DG5" s="176" t="s">
        <v>394</v>
      </c>
      <c r="DH5" s="125"/>
      <c r="DI5" s="125"/>
      <c r="DJ5" s="125"/>
      <c r="DK5" s="125"/>
      <c r="DL5" s="125"/>
      <c r="DM5" s="176" t="s">
        <v>394</v>
      </c>
      <c r="DN5" s="125"/>
      <c r="DO5" s="125"/>
      <c r="DP5" s="125"/>
      <c r="DQ5" s="125"/>
      <c r="DR5" s="176" t="s">
        <v>394</v>
      </c>
      <c r="DS5" s="125"/>
      <c r="DT5" s="125"/>
      <c r="DU5" s="176" t="s">
        <v>394</v>
      </c>
      <c r="DV5" s="125"/>
      <c r="DW5" s="125"/>
      <c r="DX5" s="176" t="s">
        <v>394</v>
      </c>
      <c r="DY5" s="125"/>
      <c r="DZ5" s="125"/>
      <c r="EA5" s="125"/>
      <c r="EB5" s="125"/>
      <c r="EC5" s="176" t="s">
        <v>394</v>
      </c>
      <c r="ED5" s="125"/>
      <c r="EE5" s="125"/>
      <c r="EF5" s="125"/>
      <c r="EG5" s="125"/>
      <c r="EH5" s="176" t="s">
        <v>394</v>
      </c>
      <c r="EI5" s="125"/>
      <c r="EJ5" s="125"/>
      <c r="EK5" s="125"/>
      <c r="EL5" s="125"/>
      <c r="EM5" s="176" t="s">
        <v>394</v>
      </c>
      <c r="EN5" s="125"/>
      <c r="EO5" s="125"/>
      <c r="EP5" s="95"/>
      <c r="EQ5" s="95"/>
      <c r="ER5" s="95"/>
      <c r="ES5" s="95"/>
      <c r="ET5" s="95"/>
      <c r="EU5" s="95"/>
      <c r="EV5" s="95"/>
      <c r="EW5" s="95"/>
      <c r="EX5" s="95"/>
      <c r="EY5" s="95"/>
      <c r="EZ5" s="95"/>
      <c r="FA5" s="95"/>
      <c r="FB5" s="95"/>
      <c r="FC5" s="95"/>
      <c r="FD5" s="95"/>
      <c r="FE5" s="95"/>
      <c r="FF5" s="95"/>
      <c r="FG5" s="95"/>
      <c r="FH5" s="95"/>
      <c r="FI5" s="95"/>
      <c r="FJ5" s="95"/>
      <c r="FK5" s="95"/>
      <c r="FL5" s="95"/>
      <c r="FM5" s="95"/>
      <c r="FN5" s="95"/>
      <c r="FO5" s="95"/>
      <c r="FP5" s="95"/>
      <c r="FQ5" s="95"/>
      <c r="FR5" s="95"/>
      <c r="FS5" s="95"/>
      <c r="FT5" s="95"/>
      <c r="FU5" s="95"/>
      <c r="FV5" s="95"/>
      <c r="FW5" s="95"/>
      <c r="FX5" s="95"/>
      <c r="FY5" s="95"/>
      <c r="FZ5" s="95"/>
      <c r="GA5" s="95"/>
      <c r="GB5" s="95"/>
      <c r="GC5" s="95"/>
      <c r="GD5" s="95"/>
      <c r="GE5" s="95"/>
      <c r="GF5" s="95"/>
      <c r="GG5" s="95"/>
      <c r="GH5" s="95"/>
      <c r="GI5" s="95"/>
      <c r="GJ5" s="95"/>
      <c r="GK5" s="95"/>
      <c r="GL5" s="95"/>
      <c r="GM5" s="95"/>
      <c r="GN5" s="95"/>
      <c r="GO5" s="95"/>
      <c r="GP5" s="95"/>
      <c r="GQ5" s="95"/>
      <c r="GR5" s="95"/>
      <c r="GS5" s="95"/>
      <c r="GT5" s="95"/>
      <c r="GU5" s="95"/>
      <c r="GV5" s="95"/>
      <c r="GW5" s="95"/>
      <c r="GX5" s="95"/>
      <c r="GY5" s="95"/>
      <c r="GZ5" s="95"/>
      <c r="HA5" s="95"/>
      <c r="HB5" s="95"/>
      <c r="HC5" s="95"/>
      <c r="HD5" s="95"/>
      <c r="HE5" s="95"/>
      <c r="HF5" s="95"/>
      <c r="HG5" s="95"/>
      <c r="HH5" s="95"/>
      <c r="HI5" s="95"/>
      <c r="HJ5" s="95"/>
      <c r="HK5" s="95"/>
      <c r="HL5" s="95"/>
      <c r="HM5" s="95"/>
      <c r="HN5" s="95"/>
      <c r="HO5" s="95"/>
      <c r="HP5" s="95"/>
      <c r="HQ5" s="95"/>
      <c r="HR5" s="95"/>
      <c r="HS5" s="95"/>
      <c r="HT5" s="95"/>
      <c r="HU5" s="95"/>
      <c r="HV5" s="95"/>
      <c r="HW5" s="95"/>
      <c r="HX5" s="95"/>
      <c r="HY5" s="95"/>
      <c r="HZ5" s="95"/>
      <c r="IA5" s="95"/>
      <c r="IB5" s="95"/>
      <c r="IC5" s="95"/>
      <c r="ID5" s="95"/>
      <c r="IE5" s="95"/>
      <c r="IF5" s="95"/>
      <c r="IG5" s="95"/>
      <c r="IH5" s="95"/>
      <c r="II5" s="95"/>
      <c r="IJ5" s="95"/>
      <c r="IK5" s="95"/>
      <c r="IL5" s="95"/>
      <c r="IM5" s="95"/>
      <c r="IN5" s="95"/>
      <c r="IO5" s="95"/>
      <c r="IP5" s="95"/>
      <c r="IQ5" s="95"/>
      <c r="IR5" s="95"/>
      <c r="IS5" s="95"/>
      <c r="IT5" s="95"/>
      <c r="IU5" s="95"/>
      <c r="IV5" s="95"/>
      <c r="IW5" s="95"/>
      <c r="IX5" s="95"/>
      <c r="IY5" s="95"/>
      <c r="IZ5" s="95"/>
      <c r="JA5" s="95"/>
      <c r="JB5" s="95"/>
      <c r="JC5" s="95"/>
      <c r="JD5" s="95"/>
      <c r="JE5" s="95"/>
      <c r="JF5" s="95"/>
      <c r="JG5" s="95"/>
      <c r="JH5" s="95"/>
      <c r="JI5" s="95"/>
      <c r="JJ5" s="95"/>
      <c r="JK5" s="95"/>
      <c r="JL5" s="95"/>
      <c r="JM5" s="95"/>
      <c r="JN5" s="95"/>
      <c r="JO5" s="95"/>
      <c r="JP5" s="95"/>
      <c r="JQ5" s="95"/>
      <c r="JR5" s="95"/>
      <c r="JS5" s="95"/>
      <c r="JT5" s="95"/>
      <c r="JU5" s="95"/>
      <c r="JV5" s="95"/>
      <c r="JW5" s="95"/>
      <c r="JX5" s="95"/>
      <c r="JY5" s="95"/>
      <c r="JZ5" s="95"/>
      <c r="KA5" s="95"/>
      <c r="KB5" s="95"/>
      <c r="KC5" s="95"/>
      <c r="KD5" s="95"/>
      <c r="KE5" s="95"/>
      <c r="KF5" s="95"/>
      <c r="KG5" s="95"/>
      <c r="KH5" s="95"/>
      <c r="KI5" s="95"/>
      <c r="KJ5" s="95"/>
      <c r="KK5" s="95"/>
      <c r="KL5" s="95"/>
      <c r="KM5" s="95"/>
      <c r="KN5" s="95"/>
      <c r="KO5" s="95"/>
      <c r="KP5" s="95"/>
      <c r="KQ5" s="95"/>
      <c r="KR5" s="95"/>
      <c r="KS5" s="95"/>
      <c r="KT5" s="95"/>
      <c r="KU5" s="95"/>
      <c r="KV5" s="95"/>
      <c r="KW5" s="95"/>
      <c r="KX5" s="95"/>
      <c r="KY5" s="95"/>
      <c r="KZ5" s="95"/>
      <c r="LA5" s="95"/>
      <c r="LB5" s="95"/>
      <c r="LC5" s="95"/>
      <c r="LD5" s="95"/>
      <c r="LE5" s="95"/>
      <c r="LF5" s="95"/>
      <c r="LG5" s="95"/>
      <c r="LH5" s="95"/>
      <c r="LI5" s="95"/>
      <c r="LJ5" s="95"/>
      <c r="LK5" s="95"/>
      <c r="LL5" s="95"/>
      <c r="LM5" s="95"/>
      <c r="LN5" s="95"/>
      <c r="LO5" s="95"/>
      <c r="LP5" s="95"/>
      <c r="LQ5" s="95"/>
      <c r="LR5" s="95"/>
      <c r="LS5" s="95"/>
      <c r="LT5" s="95"/>
      <c r="LU5" s="95"/>
      <c r="LV5" s="95"/>
      <c r="LW5" s="95"/>
      <c r="LX5" s="95"/>
      <c r="LY5" s="95"/>
      <c r="LZ5" s="95"/>
      <c r="MA5" s="95"/>
      <c r="MB5" s="95"/>
      <c r="MC5" s="95"/>
      <c r="MD5" s="95"/>
      <c r="ME5" s="95"/>
      <c r="MF5" s="95"/>
      <c r="MG5" s="95"/>
      <c r="MH5" s="95"/>
      <c r="MI5" s="95"/>
      <c r="MJ5" s="95"/>
      <c r="MK5" s="95"/>
      <c r="ML5" s="95"/>
      <c r="MM5" s="95"/>
      <c r="MN5" s="95"/>
      <c r="MO5" s="95"/>
      <c r="MP5" s="95"/>
      <c r="MQ5" s="95"/>
      <c r="MR5" s="95"/>
      <c r="MS5" s="95"/>
      <c r="MT5" s="95"/>
      <c r="MU5" s="95"/>
      <c r="MV5" s="95"/>
      <c r="MW5" s="95"/>
      <c r="MX5" s="95"/>
      <c r="MY5" s="95"/>
      <c r="MZ5" s="95"/>
      <c r="NA5" s="95"/>
      <c r="NB5" s="95"/>
      <c r="NC5" s="95"/>
      <c r="ND5" s="95"/>
      <c r="NE5" s="95"/>
      <c r="NF5" s="95"/>
      <c r="NG5" s="95"/>
      <c r="NH5" s="95"/>
      <c r="NI5" s="95"/>
      <c r="NJ5" s="95"/>
      <c r="NK5" s="95"/>
      <c r="NL5" s="95"/>
      <c r="NM5" s="95"/>
      <c r="NN5" s="95"/>
      <c r="NO5" s="95"/>
      <c r="NP5" s="95"/>
      <c r="NQ5" s="95"/>
      <c r="NR5" s="95"/>
      <c r="NS5" s="95"/>
      <c r="NT5" s="95"/>
      <c r="NU5" s="95"/>
      <c r="NV5" s="95"/>
      <c r="NW5" s="95"/>
      <c r="NX5" s="95"/>
      <c r="NY5" s="95"/>
      <c r="NZ5" s="95"/>
      <c r="OA5" s="95"/>
      <c r="OB5" s="95"/>
      <c r="OC5" s="95"/>
      <c r="OD5" s="95"/>
      <c r="OE5" s="95"/>
      <c r="OF5" s="95"/>
      <c r="OG5" s="95"/>
      <c r="OH5" s="95"/>
      <c r="OI5" s="95"/>
      <c r="OJ5" s="95"/>
      <c r="OK5" s="95"/>
      <c r="OL5" s="95"/>
      <c r="OM5" s="95"/>
      <c r="ON5" s="95"/>
      <c r="OO5" s="95"/>
      <c r="OP5" s="95"/>
      <c r="OQ5" s="95"/>
      <c r="OR5" s="95"/>
      <c r="OS5" s="95"/>
      <c r="OT5" s="95"/>
      <c r="OU5" s="95"/>
      <c r="OV5" s="95"/>
      <c r="OW5" s="95"/>
      <c r="OX5" s="95"/>
      <c r="OY5" s="95"/>
      <c r="OZ5" s="95"/>
      <c r="PA5" s="95"/>
      <c r="PB5" s="95"/>
      <c r="PC5" s="95"/>
      <c r="PD5" s="95"/>
      <c r="PE5" s="95"/>
      <c r="PF5" s="95"/>
      <c r="PG5" s="95"/>
      <c r="PH5" s="95"/>
      <c r="PI5" s="95"/>
      <c r="PJ5" s="95"/>
      <c r="PK5" s="95"/>
      <c r="PL5" s="95"/>
      <c r="PM5" s="95"/>
      <c r="PN5" s="95"/>
      <c r="PO5" s="95"/>
      <c r="PP5" s="95"/>
      <c r="PQ5" s="95"/>
      <c r="PR5" s="95"/>
      <c r="PS5" s="95"/>
      <c r="PT5" s="95"/>
      <c r="PU5" s="95"/>
      <c r="PV5" s="95"/>
      <c r="PW5" s="95"/>
      <c r="PX5" s="95"/>
      <c r="PY5" s="95"/>
      <c r="PZ5" s="95"/>
      <c r="QA5" s="95"/>
      <c r="QB5" s="95"/>
      <c r="QC5" s="95"/>
      <c r="QD5" s="95"/>
      <c r="QE5" s="95"/>
      <c r="QF5" s="95"/>
      <c r="QG5" s="95"/>
      <c r="QH5" s="95"/>
      <c r="QI5" s="95"/>
      <c r="QJ5" s="95"/>
      <c r="QK5" s="95"/>
      <c r="QL5" s="95"/>
      <c r="QM5" s="95"/>
      <c r="QN5" s="95"/>
      <c r="QO5" s="95"/>
      <c r="QP5" s="95"/>
      <c r="QQ5" s="95"/>
      <c r="QR5" s="95"/>
      <c r="QS5" s="95"/>
      <c r="QT5" s="95"/>
      <c r="QU5" s="95"/>
      <c r="QV5" s="95"/>
      <c r="QW5" s="95"/>
      <c r="QX5" s="95"/>
      <c r="QY5" s="95"/>
      <c r="QZ5" s="95"/>
      <c r="RA5" s="95"/>
      <c r="RB5" s="95"/>
      <c r="RC5" s="95"/>
      <c r="RD5" s="95"/>
      <c r="RE5" s="95"/>
      <c r="RF5" s="95"/>
      <c r="RG5" s="95"/>
      <c r="RH5" s="95"/>
      <c r="RI5" s="95"/>
      <c r="RJ5" s="95"/>
      <c r="RK5" s="95"/>
      <c r="RL5" s="95"/>
      <c r="RM5" s="95"/>
      <c r="RN5" s="95"/>
      <c r="RO5" s="95"/>
      <c r="RP5" s="95"/>
      <c r="RQ5" s="95"/>
      <c r="RR5" s="95"/>
      <c r="RS5" s="95"/>
      <c r="RT5" s="95"/>
      <c r="RU5" s="95"/>
      <c r="RV5" s="95"/>
      <c r="RW5" s="95"/>
      <c r="RX5" s="95"/>
      <c r="RY5" s="95"/>
      <c r="RZ5" s="95"/>
      <c r="SA5" s="95"/>
      <c r="SB5" s="95"/>
      <c r="SC5" s="95"/>
      <c r="SD5" s="95"/>
      <c r="SE5" s="95"/>
      <c r="SF5" s="95"/>
      <c r="SG5" s="95"/>
      <c r="SH5" s="95"/>
      <c r="SI5" s="95"/>
      <c r="SJ5" s="95"/>
      <c r="SK5" s="95"/>
      <c r="SL5" s="95"/>
      <c r="SM5" s="95"/>
      <c r="SN5" s="95"/>
    </row>
    <row r="6" spans="1:508" ht="14.4" x14ac:dyDescent="0.55000000000000004">
      <c r="A6" s="37" t="str">
        <f>"Col "&amp;COLUMN()</f>
        <v>Col 1</v>
      </c>
      <c r="B6" s="37" t="str">
        <f t="shared" ref="B6:BU6" si="3">"Col "&amp;COLUMN()</f>
        <v>Col 2</v>
      </c>
      <c r="C6" s="37" t="str">
        <f t="shared" si="3"/>
        <v>Col 3</v>
      </c>
      <c r="D6" s="37" t="str">
        <f t="shared" si="3"/>
        <v>Col 4</v>
      </c>
      <c r="E6" s="37" t="str">
        <f t="shared" si="3"/>
        <v>Col 5</v>
      </c>
      <c r="F6" s="37" t="str">
        <f t="shared" si="3"/>
        <v>Col 6</v>
      </c>
      <c r="G6" s="88" t="str">
        <f t="shared" si="3"/>
        <v>Col 7</v>
      </c>
      <c r="H6" s="132" t="str">
        <f t="shared" si="3"/>
        <v>Col 8</v>
      </c>
      <c r="I6" s="37" t="str">
        <f t="shared" si="3"/>
        <v>Col 9</v>
      </c>
      <c r="J6" s="169" t="str">
        <f t="shared" si="3"/>
        <v>Col 10</v>
      </c>
      <c r="K6" s="37" t="str">
        <f t="shared" si="3"/>
        <v>Col 11</v>
      </c>
      <c r="L6" s="37" t="str">
        <f t="shared" si="3"/>
        <v>Col 12</v>
      </c>
      <c r="M6" s="37" t="str">
        <f t="shared" si="3"/>
        <v>Col 13</v>
      </c>
      <c r="N6" s="37" t="str">
        <f t="shared" si="3"/>
        <v>Col 14</v>
      </c>
      <c r="O6" s="88" t="str">
        <f t="shared" si="3"/>
        <v>Col 15</v>
      </c>
      <c r="P6" s="187" t="str">
        <f t="shared" si="3"/>
        <v>Col 16</v>
      </c>
      <c r="Q6" s="186" t="str">
        <f t="shared" si="3"/>
        <v>Col 17</v>
      </c>
      <c r="R6" s="186" t="str">
        <f t="shared" si="3"/>
        <v>Col 18</v>
      </c>
      <c r="S6" s="186" t="str">
        <f t="shared" si="3"/>
        <v>Col 19</v>
      </c>
      <c r="T6" s="186" t="str">
        <f t="shared" si="3"/>
        <v>Col 20</v>
      </c>
      <c r="U6" s="186" t="str">
        <f t="shared" si="3"/>
        <v>Col 21</v>
      </c>
      <c r="V6" s="186" t="str">
        <f t="shared" si="3"/>
        <v>Col 22</v>
      </c>
      <c r="W6" s="186" t="str">
        <f t="shared" si="3"/>
        <v>Col 23</v>
      </c>
      <c r="X6" s="186" t="str">
        <f t="shared" si="3"/>
        <v>Col 24</v>
      </c>
      <c r="Y6" s="186" t="str">
        <f t="shared" si="3"/>
        <v>Col 25</v>
      </c>
      <c r="Z6" s="186" t="str">
        <f t="shared" si="3"/>
        <v>Col 26</v>
      </c>
      <c r="AA6" s="186" t="str">
        <f t="shared" si="3"/>
        <v>Col 27</v>
      </c>
      <c r="AB6" s="186" t="str">
        <f t="shared" si="3"/>
        <v>Col 28</v>
      </c>
      <c r="AC6" s="188" t="str">
        <f t="shared" si="3"/>
        <v>Col 29</v>
      </c>
      <c r="AD6" s="132" t="str">
        <f t="shared" si="3"/>
        <v>Col 30</v>
      </c>
      <c r="AE6" s="37" t="str">
        <f t="shared" si="3"/>
        <v>Col 31</v>
      </c>
      <c r="AF6" s="37" t="str">
        <f t="shared" si="3"/>
        <v>Col 32</v>
      </c>
      <c r="AG6" s="37" t="str">
        <f t="shared" si="3"/>
        <v>Col 33</v>
      </c>
      <c r="AH6" s="88" t="str">
        <f t="shared" si="3"/>
        <v>Col 34</v>
      </c>
      <c r="AI6" s="132" t="str">
        <f t="shared" si="3"/>
        <v>Col 35</v>
      </c>
      <c r="AJ6" s="37" t="str">
        <f t="shared" si="3"/>
        <v>Col 36</v>
      </c>
      <c r="AK6" s="37" t="str">
        <f t="shared" si="3"/>
        <v>Col 37</v>
      </c>
      <c r="AL6" s="37" t="str">
        <f t="shared" si="3"/>
        <v>Col 38</v>
      </c>
      <c r="AM6" s="88" t="str">
        <f t="shared" si="3"/>
        <v>Col 39</v>
      </c>
      <c r="AN6" s="132" t="str">
        <f t="shared" si="3"/>
        <v>Col 40</v>
      </c>
      <c r="AO6" s="37" t="str">
        <f t="shared" si="3"/>
        <v>Col 41</v>
      </c>
      <c r="AP6" s="37" t="str">
        <f t="shared" si="3"/>
        <v>Col 42</v>
      </c>
      <c r="AQ6" s="37" t="str">
        <f t="shared" si="3"/>
        <v>Col 43</v>
      </c>
      <c r="AR6" s="88" t="str">
        <f t="shared" si="3"/>
        <v>Col 44</v>
      </c>
      <c r="AS6" s="132" t="str">
        <f t="shared" si="3"/>
        <v>Col 45</v>
      </c>
      <c r="AT6" s="37" t="str">
        <f t="shared" si="3"/>
        <v>Col 46</v>
      </c>
      <c r="AU6" s="37" t="str">
        <f t="shared" si="3"/>
        <v>Col 47</v>
      </c>
      <c r="AV6" s="37" t="str">
        <f t="shared" si="3"/>
        <v>Col 48</v>
      </c>
      <c r="AW6" s="37" t="str">
        <f t="shared" si="3"/>
        <v>Col 49</v>
      </c>
      <c r="AX6" s="132" t="str">
        <f t="shared" si="3"/>
        <v>Col 50</v>
      </c>
      <c r="AY6" s="37" t="str">
        <f t="shared" si="3"/>
        <v>Col 51</v>
      </c>
      <c r="AZ6" s="37" t="str">
        <f t="shared" si="3"/>
        <v>Col 52</v>
      </c>
      <c r="BA6" s="37" t="str">
        <f t="shared" si="3"/>
        <v>Col 53</v>
      </c>
      <c r="BB6" s="37" t="str">
        <f t="shared" si="3"/>
        <v>Col 54</v>
      </c>
      <c r="BC6" s="37" t="str">
        <f t="shared" si="3"/>
        <v>Col 55</v>
      </c>
      <c r="BD6" s="37" t="str">
        <f t="shared" si="3"/>
        <v>Col 56</v>
      </c>
      <c r="BE6" s="37" t="str">
        <f t="shared" si="3"/>
        <v>Col 57</v>
      </c>
      <c r="BF6" s="37" t="str">
        <f t="shared" si="3"/>
        <v>Col 58</v>
      </c>
      <c r="BG6" s="37" t="str">
        <f t="shared" si="3"/>
        <v>Col 59</v>
      </c>
      <c r="BH6" s="37" t="str">
        <f t="shared" si="3"/>
        <v>Col 60</v>
      </c>
      <c r="BI6" s="37" t="str">
        <f t="shared" si="3"/>
        <v>Col 61</v>
      </c>
      <c r="BJ6" s="37" t="str">
        <f t="shared" si="3"/>
        <v>Col 62</v>
      </c>
      <c r="BK6" s="37" t="str">
        <f t="shared" si="3"/>
        <v>Col 63</v>
      </c>
      <c r="BL6" s="37" t="str">
        <f t="shared" si="3"/>
        <v>Col 64</v>
      </c>
      <c r="BM6" s="37" t="str">
        <f t="shared" si="3"/>
        <v>Col 65</v>
      </c>
      <c r="BN6" s="37" t="str">
        <f t="shared" si="3"/>
        <v>Col 66</v>
      </c>
      <c r="BO6" s="37" t="str">
        <f t="shared" si="3"/>
        <v>Col 67</v>
      </c>
      <c r="BP6" s="37" t="str">
        <f t="shared" si="3"/>
        <v>Col 68</v>
      </c>
      <c r="BQ6" s="37" t="str">
        <f t="shared" si="3"/>
        <v>Col 69</v>
      </c>
      <c r="BR6" s="37" t="str">
        <f t="shared" si="3"/>
        <v>Col 70</v>
      </c>
      <c r="BS6" s="37" t="str">
        <f t="shared" si="3"/>
        <v>Col 71</v>
      </c>
      <c r="BT6" s="37" t="str">
        <f t="shared" si="3"/>
        <v>Col 72</v>
      </c>
      <c r="BU6" s="88" t="str">
        <f t="shared" si="3"/>
        <v>Col 73</v>
      </c>
      <c r="CS6" s="37" t="str">
        <f t="shared" ref="CS6:DB7" si="4">A6</f>
        <v>Col 1</v>
      </c>
      <c r="CT6" s="37" t="str">
        <f t="shared" si="4"/>
        <v>Col 2</v>
      </c>
      <c r="CU6" s="37" t="str">
        <f t="shared" si="4"/>
        <v>Col 3</v>
      </c>
      <c r="CV6" s="37" t="str">
        <f t="shared" si="4"/>
        <v>Col 4</v>
      </c>
      <c r="CW6" s="37" t="str">
        <f t="shared" si="4"/>
        <v>Col 5</v>
      </c>
      <c r="CX6" s="37" t="str">
        <f t="shared" si="4"/>
        <v>Col 6</v>
      </c>
      <c r="CY6" s="37" t="str">
        <f t="shared" si="4"/>
        <v>Col 7</v>
      </c>
      <c r="CZ6" s="37" t="str">
        <f t="shared" si="4"/>
        <v>Col 8</v>
      </c>
      <c r="DA6" s="37" t="str">
        <f t="shared" si="4"/>
        <v>Col 9</v>
      </c>
      <c r="DB6" s="37" t="str">
        <f t="shared" si="4"/>
        <v>Col 10</v>
      </c>
      <c r="DC6" s="37" t="str">
        <f t="shared" ref="DC6:DI7" si="5">K6</f>
        <v>Col 11</v>
      </c>
      <c r="DD6" s="37" t="str">
        <f t="shared" si="5"/>
        <v>Col 12</v>
      </c>
      <c r="DE6" s="37" t="str">
        <f t="shared" si="5"/>
        <v>Col 13</v>
      </c>
      <c r="DF6" s="37" t="str">
        <f t="shared" si="5"/>
        <v>Col 14</v>
      </c>
      <c r="DG6" s="37" t="str">
        <f t="shared" si="5"/>
        <v>Col 15</v>
      </c>
      <c r="DH6" s="37" t="str">
        <f t="shared" si="5"/>
        <v>Col 16</v>
      </c>
      <c r="DI6" s="37" t="str">
        <f t="shared" si="5"/>
        <v>Col 17</v>
      </c>
      <c r="DJ6" s="37" t="str">
        <f t="shared" ref="DJ6:DW7" si="6">R6</f>
        <v>Col 18</v>
      </c>
      <c r="DK6" s="37" t="str">
        <f t="shared" si="6"/>
        <v>Col 19</v>
      </c>
      <c r="DL6" s="37" t="str">
        <f t="shared" si="6"/>
        <v>Col 20</v>
      </c>
      <c r="DM6" s="37" t="str">
        <f t="shared" si="6"/>
        <v>Col 21</v>
      </c>
      <c r="DN6" s="37" t="str">
        <f t="shared" si="6"/>
        <v>Col 22</v>
      </c>
      <c r="DO6" s="37" t="str">
        <f t="shared" si="6"/>
        <v>Col 23</v>
      </c>
      <c r="DP6" s="37" t="str">
        <f t="shared" si="6"/>
        <v>Col 24</v>
      </c>
      <c r="DQ6" s="37" t="str">
        <f t="shared" si="6"/>
        <v>Col 25</v>
      </c>
      <c r="DR6" s="37" t="str">
        <f t="shared" si="6"/>
        <v>Col 26</v>
      </c>
      <c r="DS6" s="37" t="str">
        <f t="shared" si="6"/>
        <v>Col 27</v>
      </c>
      <c r="DT6" s="37" t="str">
        <f t="shared" si="6"/>
        <v>Col 28</v>
      </c>
      <c r="DU6" s="37" t="str">
        <f t="shared" si="6"/>
        <v>Col 29</v>
      </c>
      <c r="DV6" s="37" t="str">
        <f t="shared" si="6"/>
        <v>Col 30</v>
      </c>
      <c r="DW6" s="37" t="str">
        <f t="shared" si="6"/>
        <v>Col 31</v>
      </c>
      <c r="DX6" s="37" t="str">
        <f t="shared" ref="DX6:EO6" si="7">AF6</f>
        <v>Col 32</v>
      </c>
      <c r="DY6" s="37" t="str">
        <f t="shared" si="7"/>
        <v>Col 33</v>
      </c>
      <c r="DZ6" s="37" t="str">
        <f t="shared" si="7"/>
        <v>Col 34</v>
      </c>
      <c r="EA6" s="37" t="str">
        <f t="shared" si="7"/>
        <v>Col 35</v>
      </c>
      <c r="EB6" s="37" t="str">
        <f t="shared" si="7"/>
        <v>Col 36</v>
      </c>
      <c r="EC6" s="37" t="str">
        <f t="shared" si="7"/>
        <v>Col 37</v>
      </c>
      <c r="ED6" s="37" t="str">
        <f t="shared" si="7"/>
        <v>Col 38</v>
      </c>
      <c r="EE6" s="37" t="str">
        <f t="shared" si="7"/>
        <v>Col 39</v>
      </c>
      <c r="EF6" s="37" t="str">
        <f t="shared" si="7"/>
        <v>Col 40</v>
      </c>
      <c r="EG6" s="37" t="str">
        <f t="shared" si="7"/>
        <v>Col 41</v>
      </c>
      <c r="EH6" s="37" t="str">
        <f t="shared" si="7"/>
        <v>Col 42</v>
      </c>
      <c r="EI6" s="37" t="str">
        <f t="shared" si="7"/>
        <v>Col 43</v>
      </c>
      <c r="EJ6" s="37" t="str">
        <f t="shared" si="7"/>
        <v>Col 44</v>
      </c>
      <c r="EK6" s="37" t="str">
        <f t="shared" si="7"/>
        <v>Col 45</v>
      </c>
      <c r="EL6" s="37" t="str">
        <f t="shared" si="7"/>
        <v>Col 46</v>
      </c>
      <c r="EM6" s="37" t="str">
        <f t="shared" si="7"/>
        <v>Col 47</v>
      </c>
      <c r="EN6" s="37" t="str">
        <f t="shared" si="7"/>
        <v>Col 48</v>
      </c>
      <c r="EO6" s="37" t="str">
        <f t="shared" si="7"/>
        <v>Col 49</v>
      </c>
      <c r="ES6" s="95" t="str">
        <f>K6</f>
        <v>Col 11</v>
      </c>
      <c r="ET6" s="95" t="str">
        <f>ES6</f>
        <v>Col 11</v>
      </c>
      <c r="EU6" s="95" t="str">
        <f t="shared" ref="EU6:EV6" si="8">ET6</f>
        <v>Col 11</v>
      </c>
      <c r="EV6" s="95" t="str">
        <f t="shared" si="8"/>
        <v>Col 11</v>
      </c>
      <c r="EW6" s="95" t="str">
        <f>O6</f>
        <v>Col 15</v>
      </c>
      <c r="EX6" s="95" t="str">
        <f>EW6</f>
        <v>Col 15</v>
      </c>
      <c r="EY6" s="95" t="str">
        <f t="shared" ref="EY6:EZ6" si="9">EX6</f>
        <v>Col 15</v>
      </c>
      <c r="EZ6" s="95" t="str">
        <f t="shared" si="9"/>
        <v>Col 15</v>
      </c>
      <c r="FA6" s="95" t="str">
        <f>P6</f>
        <v>Col 16</v>
      </c>
      <c r="FB6" s="95" t="str">
        <f>FA6</f>
        <v>Col 16</v>
      </c>
      <c r="FC6" s="95" t="str">
        <f t="shared" ref="FC6:FD6" si="10">FB6</f>
        <v>Col 16</v>
      </c>
      <c r="FD6" s="95" t="str">
        <f t="shared" si="10"/>
        <v>Col 16</v>
      </c>
      <c r="FE6" s="95" t="str">
        <f>Q6</f>
        <v>Col 17</v>
      </c>
      <c r="FF6" s="95" t="str">
        <f>FE6</f>
        <v>Col 17</v>
      </c>
      <c r="FG6" s="95" t="str">
        <f t="shared" ref="FG6:FH6" si="11">FF6</f>
        <v>Col 17</v>
      </c>
      <c r="FH6" s="95" t="str">
        <f t="shared" si="11"/>
        <v>Col 17</v>
      </c>
    </row>
    <row r="7" spans="1:508" ht="60.75" customHeight="1" x14ac:dyDescent="0.55000000000000004">
      <c r="A7" s="39" t="s">
        <v>1</v>
      </c>
      <c r="B7" s="71" t="s">
        <v>2</v>
      </c>
      <c r="C7" s="51" t="s">
        <v>260</v>
      </c>
      <c r="D7" s="39" t="s">
        <v>67</v>
      </c>
      <c r="E7" s="39" t="s">
        <v>72</v>
      </c>
      <c r="F7" s="40" t="s">
        <v>257</v>
      </c>
      <c r="G7" s="144" t="s">
        <v>128</v>
      </c>
      <c r="H7" s="138" t="s">
        <v>383</v>
      </c>
      <c r="I7" s="39" t="s">
        <v>385</v>
      </c>
      <c r="J7" s="177" t="s">
        <v>370</v>
      </c>
      <c r="K7" s="40" t="s">
        <v>371</v>
      </c>
      <c r="L7" s="39" t="s">
        <v>384</v>
      </c>
      <c r="M7" s="39" t="s">
        <v>391</v>
      </c>
      <c r="N7" s="40" t="s">
        <v>372</v>
      </c>
      <c r="O7" s="144" t="s">
        <v>373</v>
      </c>
      <c r="P7" s="153" t="s">
        <v>134</v>
      </c>
      <c r="Q7" s="41" t="s">
        <v>135</v>
      </c>
      <c r="R7" s="41" t="str">
        <f>Q7&amp;" Error Explanation"</f>
        <v>Site Purchase Date Error Explanation</v>
      </c>
      <c r="S7" s="39" t="s">
        <v>82</v>
      </c>
      <c r="T7" s="41" t="s">
        <v>81</v>
      </c>
      <c r="U7" s="150" t="s">
        <v>393</v>
      </c>
      <c r="V7" s="150" t="str">
        <f>U7&amp;" Error Explanation"</f>
        <v>Child Care Floorplan Approval Date  Error Explanation</v>
      </c>
      <c r="W7" s="39" t="s">
        <v>464</v>
      </c>
      <c r="X7" s="39" t="s">
        <v>142</v>
      </c>
      <c r="Y7" s="39" t="s">
        <v>382</v>
      </c>
      <c r="Z7" s="39" t="s">
        <v>85</v>
      </c>
      <c r="AA7" s="39" t="str">
        <f>Z7&amp;" Error Explanation"</f>
        <v>Build Permit Obtained Date Error Explanation</v>
      </c>
      <c r="AB7" s="39" t="s">
        <v>86</v>
      </c>
      <c r="AC7" s="39" t="s">
        <v>87</v>
      </c>
      <c r="AD7" s="133" t="s">
        <v>395</v>
      </c>
      <c r="AE7" s="39" t="s">
        <v>396</v>
      </c>
      <c r="AF7" s="39" t="str">
        <f>AE7&amp;" Error Explanation"</f>
        <v>Construction Start Date Error Explanation</v>
      </c>
      <c r="AG7" s="41" t="s">
        <v>89</v>
      </c>
      <c r="AH7" s="39" t="str">
        <f>AG7&amp;" Error Explanation"</f>
        <v>Substantial Completion Date Error Explanation</v>
      </c>
      <c r="AI7" s="138" t="s">
        <v>91</v>
      </c>
      <c r="AJ7" s="39" t="str">
        <f>AI7&amp;" Error Explanation"</f>
        <v>School Opening Date  Error Explanation</v>
      </c>
      <c r="AK7" s="39" t="s">
        <v>146</v>
      </c>
      <c r="AL7" s="39" t="str">
        <f>AK7&amp;" Error Explanation"</f>
        <v>Child Care Opening Date Error Explanation</v>
      </c>
      <c r="AM7" s="150" t="s">
        <v>451</v>
      </c>
      <c r="AN7" s="138" t="s">
        <v>294</v>
      </c>
      <c r="AO7" s="39" t="s">
        <v>259</v>
      </c>
      <c r="AP7" s="39" t="s">
        <v>250</v>
      </c>
      <c r="AQ7" s="39" t="s">
        <v>251</v>
      </c>
      <c r="AR7" s="150" t="s">
        <v>252</v>
      </c>
      <c r="AS7" s="148" t="s">
        <v>94</v>
      </c>
      <c r="AT7" s="40" t="s">
        <v>258</v>
      </c>
      <c r="AU7" s="40" t="s">
        <v>253</v>
      </c>
      <c r="AV7" s="40" t="s">
        <v>254</v>
      </c>
      <c r="AW7" s="40" t="s">
        <v>255</v>
      </c>
      <c r="AX7" s="162" t="str">
        <f>"*((tbl*((meeting_minutes_heading"&amp;AX10</f>
        <v>*((tbl*((meeting_minutes_heading*((col*((meeting_minutes_minus_1</v>
      </c>
      <c r="AY7" s="51" t="str">
        <f>AY10</f>
        <v>*((col*((meeting_minutes_minus_2</v>
      </c>
      <c r="AZ7" s="51" t="str">
        <f t="shared" ref="AZ7:BU7" si="12">AZ10</f>
        <v>*((col*((meeting_minutes_minus_3</v>
      </c>
      <c r="BA7" s="51" t="str">
        <f t="shared" si="12"/>
        <v>*((col*((meeting_minutes_minus_4</v>
      </c>
      <c r="BB7" s="51" t="str">
        <f t="shared" si="12"/>
        <v>*((col*((meeting_minutes_minus_5</v>
      </c>
      <c r="BC7" s="51" t="str">
        <f t="shared" si="12"/>
        <v>*((col*((meeting_minutes_minus_6</v>
      </c>
      <c r="BD7" s="51" t="str">
        <f t="shared" si="12"/>
        <v>*((col*((meeting_minutes_minus_7</v>
      </c>
      <c r="BE7" s="51" t="str">
        <f t="shared" si="12"/>
        <v>*((col*((meeting_minutes_minus_8</v>
      </c>
      <c r="BF7" s="51" t="str">
        <f t="shared" si="12"/>
        <v>*((col*((meeting_minutes_minus_9</v>
      </c>
      <c r="BG7" s="51" t="str">
        <f t="shared" si="12"/>
        <v>*((col*((meeting_minutes_minus_10</v>
      </c>
      <c r="BH7" s="51" t="str">
        <f t="shared" si="12"/>
        <v>*((col*((meeting_minutes_minus_11</v>
      </c>
      <c r="BI7" s="51" t="str">
        <f t="shared" si="12"/>
        <v>*((col*((meeting_minutes_minus_12</v>
      </c>
      <c r="BJ7" s="51" t="str">
        <f t="shared" si="12"/>
        <v>*((col*((meeting_minutes_minus_13</v>
      </c>
      <c r="BK7" s="51" t="str">
        <f t="shared" si="12"/>
        <v>*((col*((meeting_minutes_minus_14</v>
      </c>
      <c r="BL7" s="51" t="str">
        <f t="shared" si="12"/>
        <v>*((col*((meeting_minutes_minus_15</v>
      </c>
      <c r="BM7" s="51" t="str">
        <f t="shared" si="12"/>
        <v>*((col*((meeting_minutes_minus_16</v>
      </c>
      <c r="BN7" s="51" t="str">
        <f t="shared" si="12"/>
        <v>*((col*((meeting_minutes_minus_17</v>
      </c>
      <c r="BO7" s="51" t="str">
        <f t="shared" si="12"/>
        <v>*((col*((meeting_minutes_minus_18</v>
      </c>
      <c r="BP7" s="51" t="str">
        <f t="shared" si="12"/>
        <v>*((col*((meeting_minutes_minus_19</v>
      </c>
      <c r="BQ7" s="51" t="str">
        <f t="shared" si="12"/>
        <v>*((col*((meeting_minutes_minus_20</v>
      </c>
      <c r="BR7" s="51" t="str">
        <f t="shared" si="12"/>
        <v>*((col*((meeting_minutes_minus_21</v>
      </c>
      <c r="BS7" s="51" t="str">
        <f t="shared" si="12"/>
        <v>*((col*((meeting_minutes_minus_22</v>
      </c>
      <c r="BT7" s="51" t="str">
        <f t="shared" si="12"/>
        <v>*((col*((meeting_minutes_minus_23</v>
      </c>
      <c r="BU7" s="89" t="str">
        <f t="shared" si="12"/>
        <v>*((col*((meeting_minutes_minus_24</v>
      </c>
      <c r="BW7" s="99" t="s">
        <v>353</v>
      </c>
      <c r="BY7" s="95" t="s">
        <v>360</v>
      </c>
      <c r="BZ7" s="98" t="str">
        <f>'Project Commitment'!M4</f>
        <v>Site Purchase Date</v>
      </c>
      <c r="CA7" s="98" t="str">
        <f>'Project Commitment'!N4</f>
        <v>Space Template Approval Date</v>
      </c>
      <c r="CB7" s="98" t="str">
        <f>'Project Commitment'!O4</f>
        <v xml:space="preserve">Child Care Floorplan Approval Date </v>
      </c>
      <c r="CC7" s="98" t="str">
        <f>'Project Commitment'!P4</f>
        <v>Initial Site Plan Submission Date</v>
      </c>
      <c r="CD7" s="98" t="str">
        <f>'Project Commitment'!Q4</f>
        <v>Site Plan Approval Date</v>
      </c>
      <c r="CE7" s="98" t="str">
        <f>'Project Commitment'!R4</f>
        <v>Build Permit Obtained Date</v>
      </c>
      <c r="CF7" s="98" t="str">
        <f>'Project Commitment'!S4</f>
        <v>Pre-Tender Submission Date</v>
      </c>
      <c r="CG7" s="98" t="str">
        <f>'Project Commitment'!T4</f>
        <v xml:space="preserve">Tender Issued Date </v>
      </c>
      <c r="CH7" s="98" t="str">
        <f>'Project Commitment'!U4</f>
        <v>Tender Closed Date</v>
      </c>
      <c r="CI7" s="98" t="str">
        <f>'Project Commitment'!V4</f>
        <v>Post-Tender Submission Date</v>
      </c>
      <c r="CJ7" s="98" t="str">
        <f>'Project Commitment'!W4</f>
        <v>Contract Awarded Date</v>
      </c>
      <c r="CK7" s="98" t="str">
        <f>'Project Commitment'!X4</f>
        <v>Construction Start Date</v>
      </c>
      <c r="CL7" s="98" t="str">
        <f>'Project Commitment'!Y4</f>
        <v>Substantial Completion Date</v>
      </c>
      <c r="CM7" s="98" t="str">
        <f>'Project Commitment'!Z4</f>
        <v xml:space="preserve">School Opening Date </v>
      </c>
      <c r="CN7" s="98" t="str">
        <f>'Project Commitment'!AA4</f>
        <v>Child Care Opening Date</v>
      </c>
      <c r="CO7" s="98" t="str">
        <f>'Project Commitment'!AB4</f>
        <v>Financial Close-Out Date</v>
      </c>
      <c r="CP7" s="98"/>
      <c r="CQ7" s="98"/>
      <c r="CR7" s="98"/>
      <c r="CS7" s="51" t="str">
        <f t="shared" si="4"/>
        <v>Project ID</v>
      </c>
      <c r="CT7" s="51" t="str">
        <f t="shared" si="4"/>
        <v>Project Name</v>
      </c>
      <c r="CU7" s="51" t="str">
        <f t="shared" si="4"/>
        <v>Meeting Minutes</v>
      </c>
      <c r="CV7" s="51" t="str">
        <f t="shared" si="4"/>
        <v>Project Type</v>
      </c>
      <c r="CW7" s="51" t="str">
        <f t="shared" si="4"/>
        <v xml:space="preserve">Project Category </v>
      </c>
      <c r="CX7" s="51" t="str">
        <f t="shared" si="4"/>
        <v>Record Status</v>
      </c>
      <c r="CY7" s="51" t="str">
        <f t="shared" si="4"/>
        <v>Project Status</v>
      </c>
      <c r="CZ7" s="51" t="str">
        <f t="shared" si="4"/>
        <v>Pre-Tender Submission Date</v>
      </c>
      <c r="DA7" s="51" t="str">
        <f t="shared" si="4"/>
        <v>Pre-Tender Package Type</v>
      </c>
      <c r="DB7" s="51" t="str">
        <f t="shared" si="4"/>
        <v>Pre-Tender Package Complete</v>
      </c>
      <c r="DC7" s="51" t="str">
        <f t="shared" si="5"/>
        <v>CA Reviewed All Pre-Tender Documents</v>
      </c>
      <c r="DD7" s="51" t="str">
        <f t="shared" si="5"/>
        <v>Post-Tender Submission Date</v>
      </c>
      <c r="DE7" s="51" t="str">
        <f t="shared" si="5"/>
        <v>Post-Tender Package Type</v>
      </c>
      <c r="DF7" s="51" t="str">
        <f t="shared" si="5"/>
        <v>Post-Tender Package Complete</v>
      </c>
      <c r="DG7" s="51" t="str">
        <f t="shared" si="5"/>
        <v>CA Reviewed All Post-Tender Documents</v>
      </c>
      <c r="DH7" s="51" t="str">
        <f t="shared" si="5"/>
        <v>Site Ownership Status</v>
      </c>
      <c r="DI7" s="51" t="str">
        <f t="shared" si="5"/>
        <v>Site Purchase Date</v>
      </c>
      <c r="DJ7" s="51" t="str">
        <f t="shared" si="6"/>
        <v>Site Purchase Date Error Explanation</v>
      </c>
      <c r="DK7" s="51" t="str">
        <f t="shared" si="6"/>
        <v xml:space="preserve">Design Status </v>
      </c>
      <c r="DL7" s="51" t="str">
        <f t="shared" si="6"/>
        <v>Space Template Approval Date</v>
      </c>
      <c r="DM7" s="51" t="str">
        <f t="shared" si="6"/>
        <v xml:space="preserve">Child Care Floorplan Approval Date </v>
      </c>
      <c r="DN7" s="51" t="str">
        <f t="shared" si="6"/>
        <v>Child Care Floorplan Approval Date  Error Explanation</v>
      </c>
      <c r="DO7" s="51" t="str">
        <f t="shared" si="6"/>
        <v>Initial Site Plan Submission Date</v>
      </c>
      <c r="DP7" s="51" t="str">
        <f t="shared" si="6"/>
        <v>Site Plan Approval Date</v>
      </c>
      <c r="DQ7" s="51" t="str">
        <f t="shared" si="6"/>
        <v>Site Plan Approval Date Error Explanation</v>
      </c>
      <c r="DR7" s="51" t="str">
        <f t="shared" si="6"/>
        <v>Build Permit Obtained Date</v>
      </c>
      <c r="DS7" s="51" t="str">
        <f t="shared" si="6"/>
        <v>Build Permit Obtained Date Error Explanation</v>
      </c>
      <c r="DT7" s="51" t="str">
        <f t="shared" si="6"/>
        <v xml:space="preserve">Tender Issued Date </v>
      </c>
      <c r="DU7" s="51" t="str">
        <f t="shared" si="6"/>
        <v>Tender Closed Date</v>
      </c>
      <c r="DV7" s="51" t="str">
        <f t="shared" si="6"/>
        <v>Contract Awarded Date</v>
      </c>
      <c r="DW7" s="51" t="str">
        <f t="shared" si="6"/>
        <v>Construction Start Date</v>
      </c>
      <c r="DX7" s="51" t="str">
        <f t="shared" ref="DX7:EO7" si="13">AF7</f>
        <v>Construction Start Date Error Explanation</v>
      </c>
      <c r="DY7" s="51" t="str">
        <f t="shared" si="13"/>
        <v>Substantial Completion Date</v>
      </c>
      <c r="DZ7" s="51" t="str">
        <f t="shared" si="13"/>
        <v>Substantial Completion Date Error Explanation</v>
      </c>
      <c r="EA7" s="51" t="str">
        <f t="shared" si="13"/>
        <v xml:space="preserve">School Opening Date </v>
      </c>
      <c r="EB7" s="51" t="str">
        <f t="shared" si="13"/>
        <v>School Opening Date  Error Explanation</v>
      </c>
      <c r="EC7" s="51" t="str">
        <f t="shared" si="13"/>
        <v>Child Care Opening Date</v>
      </c>
      <c r="ED7" s="51" t="str">
        <f t="shared" si="13"/>
        <v>Child Care Opening Date Error Explanation</v>
      </c>
      <c r="EE7" s="51" t="str">
        <f t="shared" si="13"/>
        <v>Financial Close-Out Date</v>
      </c>
      <c r="EF7" s="51" t="str">
        <f t="shared" si="13"/>
        <v>Funding - All Associated Projects</v>
      </c>
      <c r="EG7" s="51" t="str">
        <f t="shared" si="13"/>
        <v>Funding - Construction Project</v>
      </c>
      <c r="EH7" s="51" t="str">
        <f t="shared" si="13"/>
        <v>Funding - Site Acquisition</v>
      </c>
      <c r="EI7" s="51" t="str">
        <f t="shared" si="13"/>
        <v>Funding - Demolition</v>
      </c>
      <c r="EJ7" s="51" t="str">
        <f t="shared" si="13"/>
        <v>Funding - All Other Associated Projects</v>
      </c>
      <c r="EK7" s="51" t="str">
        <f t="shared" si="13"/>
        <v xml:space="preserve">Basis of Cost Estimate </v>
      </c>
      <c r="EL7" s="51" t="str">
        <f t="shared" si="13"/>
        <v>Estimated Cost - Construction Project</v>
      </c>
      <c r="EM7" s="51" t="str">
        <f t="shared" si="13"/>
        <v>Estimated Cost - Land</v>
      </c>
      <c r="EN7" s="51" t="str">
        <f t="shared" si="13"/>
        <v>Estimated Cost - Demolition</v>
      </c>
      <c r="EO7" s="51" t="str">
        <f t="shared" si="13"/>
        <v>Estimated Cost - All Other Associated Projects</v>
      </c>
      <c r="EP7" s="98"/>
      <c r="EQ7" s="98"/>
      <c r="ER7" s="98"/>
      <c r="ES7" s="98"/>
      <c r="ET7" s="98"/>
      <c r="EU7" s="98"/>
      <c r="EV7" s="98"/>
      <c r="EW7" s="98"/>
      <c r="EX7" s="98"/>
      <c r="EY7" s="98"/>
      <c r="EZ7" s="98"/>
      <c r="FA7" s="98"/>
      <c r="FB7" s="98"/>
      <c r="FC7" s="98"/>
      <c r="FD7" s="98"/>
      <c r="FE7" s="98"/>
      <c r="FF7" s="98"/>
      <c r="FG7" s="98"/>
      <c r="FH7" s="98"/>
      <c r="FI7" s="98"/>
      <c r="FJ7" s="98"/>
      <c r="FK7" s="98"/>
      <c r="FL7" s="98"/>
      <c r="FM7" s="98"/>
      <c r="FN7" s="98"/>
      <c r="FO7" s="98"/>
      <c r="FP7" s="98"/>
      <c r="FQ7" s="98"/>
      <c r="FR7" s="98"/>
      <c r="FS7" s="98"/>
      <c r="FT7" s="98"/>
      <c r="FU7" s="98"/>
    </row>
    <row r="8" spans="1:508" ht="62.25" hidden="1" customHeight="1" x14ac:dyDescent="0.55000000000000004">
      <c r="A8" s="27" t="s">
        <v>3</v>
      </c>
      <c r="B8" s="28" t="s">
        <v>4</v>
      </c>
      <c r="C8" s="3"/>
      <c r="D8" s="28" t="s">
        <v>101</v>
      </c>
      <c r="E8" s="29" t="s">
        <v>102</v>
      </c>
      <c r="F8" s="29"/>
      <c r="G8" s="29"/>
      <c r="H8" s="134"/>
      <c r="I8" s="26"/>
      <c r="J8" s="118"/>
      <c r="K8" s="118"/>
      <c r="L8" s="26"/>
      <c r="M8" s="126"/>
      <c r="N8" s="118"/>
      <c r="O8" s="118"/>
      <c r="P8" s="134"/>
      <c r="Q8" s="26"/>
      <c r="R8" s="26"/>
      <c r="S8" s="26"/>
      <c r="T8" s="26"/>
      <c r="U8" s="126"/>
      <c r="V8" s="126"/>
      <c r="W8" s="31"/>
      <c r="X8" s="26"/>
      <c r="Y8" s="26"/>
      <c r="Z8" s="26"/>
      <c r="AA8" s="26"/>
      <c r="AB8" s="26"/>
      <c r="AC8" s="38"/>
      <c r="AD8" s="134"/>
      <c r="AE8" s="26"/>
      <c r="AF8" s="26"/>
      <c r="AG8" s="26"/>
      <c r="AH8" s="126"/>
      <c r="AI8" s="134"/>
      <c r="AJ8" s="26"/>
      <c r="AK8" s="26"/>
      <c r="AL8" s="26"/>
      <c r="AM8" s="126"/>
      <c r="AN8" s="134"/>
      <c r="AO8" s="26"/>
      <c r="AP8" s="26" t="s">
        <v>103</v>
      </c>
      <c r="AQ8" s="26" t="s">
        <v>104</v>
      </c>
      <c r="AR8" s="126" t="s">
        <v>105</v>
      </c>
      <c r="AS8" s="157" t="s">
        <v>106</v>
      </c>
      <c r="AT8" s="30"/>
      <c r="AU8" s="30"/>
      <c r="AV8" s="30"/>
      <c r="AW8" s="30" t="s">
        <v>107</v>
      </c>
      <c r="AX8" s="163"/>
      <c r="AY8" s="3"/>
      <c r="AZ8" s="3"/>
      <c r="BA8" s="3"/>
      <c r="BB8" s="3"/>
      <c r="BC8" s="3"/>
      <c r="BD8" s="3"/>
      <c r="BE8" s="3"/>
      <c r="BF8" s="3"/>
      <c r="BG8" s="3"/>
      <c r="BH8" s="3"/>
      <c r="BI8" s="3"/>
      <c r="BJ8" s="3"/>
      <c r="BK8" s="3"/>
      <c r="BL8" s="3"/>
      <c r="BM8" s="3"/>
      <c r="BN8" s="3"/>
      <c r="BO8" s="3"/>
      <c r="BP8" s="3"/>
      <c r="BQ8" s="3"/>
      <c r="BR8" s="3"/>
      <c r="BS8" s="3"/>
      <c r="BT8" s="3"/>
      <c r="BU8" s="90"/>
      <c r="CS8" s="3"/>
      <c r="CT8" s="3"/>
      <c r="CU8" s="3"/>
      <c r="CV8" s="3"/>
      <c r="CW8" s="3"/>
      <c r="CX8" s="3"/>
      <c r="CY8" s="3"/>
      <c r="CZ8" s="3"/>
      <c r="DA8" s="3"/>
      <c r="DB8" s="3"/>
      <c r="DC8" s="3"/>
      <c r="DD8" s="3"/>
      <c r="DE8" s="3"/>
      <c r="DF8" s="3"/>
      <c r="DG8" s="3"/>
      <c r="DH8" s="3"/>
      <c r="DI8" s="37">
        <f>Q8</f>
        <v>0</v>
      </c>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row>
    <row r="9" spans="1:508" ht="5.25" customHeight="1" x14ac:dyDescent="0.55000000000000004">
      <c r="A9" s="11"/>
      <c r="B9" s="12"/>
      <c r="C9" s="10"/>
      <c r="D9" s="12"/>
      <c r="E9" s="13"/>
      <c r="F9" s="17"/>
      <c r="G9" s="145"/>
      <c r="H9" s="139"/>
      <c r="I9" s="14"/>
      <c r="J9" s="17"/>
      <c r="K9" s="17"/>
      <c r="L9" s="14"/>
      <c r="M9" s="127"/>
      <c r="N9" s="17"/>
      <c r="O9" s="145"/>
      <c r="P9" s="139"/>
      <c r="Q9" s="14"/>
      <c r="R9" s="14"/>
      <c r="S9" s="14"/>
      <c r="T9" s="14"/>
      <c r="U9" s="127"/>
      <c r="V9" s="127"/>
      <c r="W9" s="12"/>
      <c r="X9" s="14"/>
      <c r="Y9" s="14"/>
      <c r="Z9" s="14"/>
      <c r="AA9" s="14"/>
      <c r="AB9" s="14"/>
      <c r="AC9" s="14"/>
      <c r="AD9" s="135"/>
      <c r="AE9" s="14"/>
      <c r="AF9" s="14"/>
      <c r="AG9" s="14"/>
      <c r="AH9" s="127"/>
      <c r="AI9" s="139"/>
      <c r="AJ9" s="14"/>
      <c r="AK9" s="14"/>
      <c r="AL9" s="14"/>
      <c r="AM9" s="127"/>
      <c r="AN9" s="139"/>
      <c r="AO9" s="14"/>
      <c r="AP9" s="14"/>
      <c r="AQ9" s="14"/>
      <c r="AR9" s="127"/>
      <c r="AS9" s="149"/>
      <c r="AT9" s="16"/>
      <c r="AU9" s="16"/>
      <c r="AV9" s="16"/>
      <c r="AW9" s="16"/>
      <c r="AX9" s="164"/>
      <c r="AY9" s="10"/>
      <c r="AZ9" s="10"/>
      <c r="BA9" s="10"/>
      <c r="BB9" s="10"/>
      <c r="BC9" s="10"/>
      <c r="BD9" s="10"/>
      <c r="BE9" s="10"/>
      <c r="BF9" s="10"/>
      <c r="BG9" s="10"/>
      <c r="BH9" s="10"/>
      <c r="BI9" s="10"/>
      <c r="BJ9" s="10"/>
      <c r="BK9" s="10"/>
      <c r="BL9" s="10"/>
      <c r="BM9" s="10"/>
      <c r="BN9" s="10"/>
      <c r="BO9" s="10"/>
      <c r="BP9" s="10"/>
      <c r="BQ9" s="10"/>
      <c r="BR9" s="10"/>
      <c r="BS9" s="10"/>
      <c r="BT9" s="10"/>
      <c r="BU9" s="91"/>
      <c r="CS9" s="10"/>
      <c r="CT9" s="10"/>
      <c r="CU9" s="10"/>
      <c r="CV9" s="10"/>
      <c r="CW9" s="10"/>
      <c r="CX9" s="10"/>
      <c r="CY9" s="10"/>
      <c r="CZ9" s="10"/>
      <c r="DA9" s="10"/>
      <c r="DB9" s="10"/>
      <c r="DC9" s="10"/>
      <c r="DD9" s="10"/>
      <c r="DE9" s="10"/>
      <c r="DF9" s="10"/>
      <c r="DG9" s="10"/>
      <c r="DH9" s="10"/>
      <c r="DI9" s="10">
        <f>Q9</f>
        <v>0</v>
      </c>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row>
    <row r="10" spans="1:508" ht="15.6" customHeight="1" x14ac:dyDescent="0.55000000000000004">
      <c r="A10" s="65" t="s">
        <v>261</v>
      </c>
      <c r="B10" s="100" t="s">
        <v>288</v>
      </c>
      <c r="C10" s="85" t="s">
        <v>287</v>
      </c>
      <c r="D10" s="55" t="s">
        <v>263</v>
      </c>
      <c r="E10" s="55" t="s">
        <v>264</v>
      </c>
      <c r="F10" s="66" t="s">
        <v>265</v>
      </c>
      <c r="G10" s="146" t="s">
        <v>266</v>
      </c>
      <c r="H10" s="140" t="s">
        <v>270</v>
      </c>
      <c r="I10" s="112" t="s">
        <v>389</v>
      </c>
      <c r="J10" s="178" t="s">
        <v>377</v>
      </c>
      <c r="K10" s="217" t="s">
        <v>376</v>
      </c>
      <c r="L10" s="112" t="s">
        <v>313</v>
      </c>
      <c r="M10" s="128" t="s">
        <v>392</v>
      </c>
      <c r="N10" s="55" t="s">
        <v>374</v>
      </c>
      <c r="O10" s="218" t="s">
        <v>375</v>
      </c>
      <c r="P10" s="154" t="s">
        <v>267</v>
      </c>
      <c r="Q10" s="112" t="s">
        <v>289</v>
      </c>
      <c r="R10" s="112" t="str">
        <f>"*((col*((error_explained_"&amp;RIGHT(Q10, LEN(Q10)-9)</f>
        <v>*((col*((error_explained_date_site_purchase</v>
      </c>
      <c r="S10" s="66" t="s">
        <v>269</v>
      </c>
      <c r="T10" s="112" t="s">
        <v>268</v>
      </c>
      <c r="U10" s="128" t="s">
        <v>271</v>
      </c>
      <c r="V10" s="128" t="str">
        <f>"*((col*((error_explained_"&amp;RIGHT(U10, LEN(U10)-9)</f>
        <v>*((col*((error_explained_date_cc_floorplan</v>
      </c>
      <c r="W10" s="185" t="s">
        <v>290</v>
      </c>
      <c r="X10" s="112" t="s">
        <v>311</v>
      </c>
      <c r="Y10" s="112" t="str">
        <f>"*((col*((error_explained_"&amp;RIGHT(X10, LEN(X10)-9)</f>
        <v>*((col*((error_explained_date_site_plan_approved</v>
      </c>
      <c r="Z10" s="112" t="s">
        <v>272</v>
      </c>
      <c r="AA10" s="112" t="str">
        <f>"*((col*((error_explained_date_building_permit"</f>
        <v>*((col*((error_explained_date_building_permit</v>
      </c>
      <c r="AB10" s="112" t="s">
        <v>273</v>
      </c>
      <c r="AC10" s="112" t="s">
        <v>274</v>
      </c>
      <c r="AD10" s="140" t="s">
        <v>312</v>
      </c>
      <c r="AE10" s="112" t="s">
        <v>293</v>
      </c>
      <c r="AF10" s="112" t="str">
        <f>"*((col*((error_explained_date_construction"</f>
        <v>*((col*((error_explained_date_construction</v>
      </c>
      <c r="AG10" s="112" t="s">
        <v>275</v>
      </c>
      <c r="AH10" s="128" t="str">
        <f>"*((col*((error_explained_date_substantial_completion"</f>
        <v>*((col*((error_explained_date_substantial_completion</v>
      </c>
      <c r="AI10" s="140" t="s">
        <v>276</v>
      </c>
      <c r="AJ10" s="112" t="str">
        <f>"*((col*((error_explained_date_opening"</f>
        <v>*((col*((error_explained_date_opening</v>
      </c>
      <c r="AK10" s="112" t="s">
        <v>291</v>
      </c>
      <c r="AL10" s="112" t="str">
        <f>"*((col*((error_explained_date_opening_cc"</f>
        <v>*((col*((error_explained_date_opening_cc</v>
      </c>
      <c r="AM10" s="128" t="s">
        <v>277</v>
      </c>
      <c r="AN10" s="173" t="s">
        <v>296</v>
      </c>
      <c r="AO10" s="174" t="s">
        <v>278</v>
      </c>
      <c r="AP10" s="174" t="s">
        <v>279</v>
      </c>
      <c r="AQ10" s="174" t="s">
        <v>280</v>
      </c>
      <c r="AR10" s="175" t="s">
        <v>281</v>
      </c>
      <c r="AS10" s="158" t="s">
        <v>282</v>
      </c>
      <c r="AT10" s="102" t="s">
        <v>283</v>
      </c>
      <c r="AU10" s="102" t="s">
        <v>284</v>
      </c>
      <c r="AV10" s="102" t="s">
        <v>285</v>
      </c>
      <c r="AW10" s="102" t="s">
        <v>286</v>
      </c>
      <c r="AX10" s="161" t="s">
        <v>329</v>
      </c>
      <c r="AY10" s="113" t="s">
        <v>330</v>
      </c>
      <c r="AZ10" s="113" t="s">
        <v>331</v>
      </c>
      <c r="BA10" s="113" t="s">
        <v>332</v>
      </c>
      <c r="BB10" s="113" t="s">
        <v>333</v>
      </c>
      <c r="BC10" s="113" t="s">
        <v>334</v>
      </c>
      <c r="BD10" s="113" t="s">
        <v>335</v>
      </c>
      <c r="BE10" s="113" t="s">
        <v>336</v>
      </c>
      <c r="BF10" s="113" t="s">
        <v>337</v>
      </c>
      <c r="BG10" s="113" t="s">
        <v>338</v>
      </c>
      <c r="BH10" s="113" t="s">
        <v>339</v>
      </c>
      <c r="BI10" s="113" t="s">
        <v>340</v>
      </c>
      <c r="BJ10" s="113" t="s">
        <v>341</v>
      </c>
      <c r="BK10" s="113" t="s">
        <v>342</v>
      </c>
      <c r="BL10" s="113" t="s">
        <v>343</v>
      </c>
      <c r="BM10" s="113" t="s">
        <v>344</v>
      </c>
      <c r="BN10" s="113" t="s">
        <v>345</v>
      </c>
      <c r="BO10" s="113" t="s">
        <v>346</v>
      </c>
      <c r="BP10" s="113" t="s">
        <v>347</v>
      </c>
      <c r="BQ10" s="113" t="s">
        <v>348</v>
      </c>
      <c r="BR10" s="113" t="s">
        <v>349</v>
      </c>
      <c r="BS10" s="113" t="s">
        <v>350</v>
      </c>
      <c r="BT10" s="113" t="s">
        <v>351</v>
      </c>
      <c r="BU10" s="114" t="s">
        <v>352</v>
      </c>
      <c r="BX10" s="87" t="s">
        <v>361</v>
      </c>
      <c r="BY10" s="95" t="s">
        <v>381</v>
      </c>
      <c r="BZ10" s="95" t="str">
        <f>"*((col*((temp_formula_"&amp;COLUMN()&amp;"*((formula*((down"</f>
        <v>*((col*((temp_formula_78*((formula*((down</v>
      </c>
      <c r="CA10" s="95" t="str">
        <f t="shared" ref="CA10:CO10" si="14">"*((col*((temp_formula_"&amp;COLUMN()&amp;"*((formula*((down"</f>
        <v>*((col*((temp_formula_79*((formula*((down</v>
      </c>
      <c r="CB10" s="95" t="str">
        <f t="shared" si="14"/>
        <v>*((col*((temp_formula_80*((formula*((down</v>
      </c>
      <c r="CC10" s="95" t="str">
        <f t="shared" si="14"/>
        <v>*((col*((temp_formula_81*((formula*((down</v>
      </c>
      <c r="CD10" s="95" t="str">
        <f t="shared" si="14"/>
        <v>*((col*((temp_formula_82*((formula*((down</v>
      </c>
      <c r="CE10" s="95" t="str">
        <f t="shared" si="14"/>
        <v>*((col*((temp_formula_83*((formula*((down</v>
      </c>
      <c r="CF10" s="95" t="str">
        <f t="shared" si="14"/>
        <v>*((col*((temp_formula_84*((formula*((down</v>
      </c>
      <c r="CG10" s="95" t="str">
        <f t="shared" si="14"/>
        <v>*((col*((temp_formula_85*((formula*((down</v>
      </c>
      <c r="CH10" s="95" t="str">
        <f t="shared" si="14"/>
        <v>*((col*((temp_formula_86*((formula*((down</v>
      </c>
      <c r="CI10" s="95" t="str">
        <f t="shared" si="14"/>
        <v>*((col*((temp_formula_87*((formula*((down</v>
      </c>
      <c r="CJ10" s="95" t="str">
        <f t="shared" si="14"/>
        <v>*((col*((temp_formula_88*((formula*((down</v>
      </c>
      <c r="CK10" s="95" t="str">
        <f t="shared" si="14"/>
        <v>*((col*((temp_formula_89*((formula*((down</v>
      </c>
      <c r="CL10" s="95" t="str">
        <f t="shared" si="14"/>
        <v>*((col*((temp_formula_90*((formula*((down</v>
      </c>
      <c r="CM10" s="95" t="str">
        <f t="shared" si="14"/>
        <v>*((col*((temp_formula_91*((formula*((down</v>
      </c>
      <c r="CN10" s="95" t="str">
        <f t="shared" si="14"/>
        <v>*((col*((temp_formula_92*((formula*((down</v>
      </c>
      <c r="CO10" s="95" t="str">
        <f t="shared" si="14"/>
        <v>*((col*((temp_formula_93*((formula*((down</v>
      </c>
      <c r="CU10" s="95" t="str">
        <f t="shared" ref="CU10:FG10" si="15">"*((col*((temp_formula_"&amp;COLUMN()&amp;"*((formula*((down"</f>
        <v>*((col*((temp_formula_99*((formula*((down</v>
      </c>
      <c r="CY10" s="95" t="str">
        <f t="shared" si="15"/>
        <v>*((col*((temp_formula_103*((formula*((down</v>
      </c>
      <c r="CZ10" s="95" t="str">
        <f t="shared" si="15"/>
        <v>*((col*((temp_formula_104*((formula*((down</v>
      </c>
      <c r="DA10" s="95" t="str">
        <f t="shared" si="15"/>
        <v>*((col*((temp_formula_105*((formula*((down</v>
      </c>
      <c r="DC10" s="95" t="str">
        <f t="shared" si="15"/>
        <v>*((col*((temp_formula_107*((formula*((down</v>
      </c>
      <c r="DD10" s="95" t="str">
        <f t="shared" si="15"/>
        <v>*((col*((temp_formula_108*((formula*((down</v>
      </c>
      <c r="DE10" s="95" t="str">
        <f t="shared" si="15"/>
        <v>*((col*((temp_formula_109*((formula*((down</v>
      </c>
      <c r="DG10" s="95" t="str">
        <f t="shared" si="15"/>
        <v>*((col*((temp_formula_111*((formula*((down</v>
      </c>
      <c r="DH10" s="95" t="str">
        <f t="shared" si="15"/>
        <v>*((col*((temp_formula_112*((formula*((down</v>
      </c>
      <c r="DI10" s="95" t="str">
        <f t="shared" si="15"/>
        <v>*((col*((temp_formula_113*((formula*((down</v>
      </c>
      <c r="DK10" s="95" t="str">
        <f t="shared" si="15"/>
        <v>*((col*((temp_formula_115*((formula*((down</v>
      </c>
      <c r="DL10" s="95" t="str">
        <f t="shared" si="15"/>
        <v>*((col*((temp_formula_116*((formula*((down</v>
      </c>
      <c r="DM10" s="95" t="str">
        <f t="shared" si="15"/>
        <v>*((col*((temp_formula_117*((formula*((down</v>
      </c>
      <c r="DO10" s="95" t="str">
        <f t="shared" si="15"/>
        <v>*((col*((temp_formula_119*((formula*((down</v>
      </c>
      <c r="DP10" s="95" t="str">
        <f t="shared" si="15"/>
        <v>*((col*((temp_formula_120*((formula*((down</v>
      </c>
      <c r="DR10" s="95" t="str">
        <f t="shared" si="15"/>
        <v>*((col*((temp_formula_122*((formula*((down</v>
      </c>
      <c r="DT10" s="95" t="str">
        <f t="shared" si="15"/>
        <v>*((col*((temp_formula_124*((formula*((down</v>
      </c>
      <c r="DU10" s="95" t="str">
        <f t="shared" si="15"/>
        <v>*((col*((temp_formula_125*((formula*((down</v>
      </c>
      <c r="DV10" s="95" t="str">
        <f t="shared" si="15"/>
        <v>*((col*((temp_formula_126*((formula*((down</v>
      </c>
      <c r="DW10" s="95" t="str">
        <f t="shared" si="15"/>
        <v>*((col*((temp_formula_127*((formula*((down</v>
      </c>
      <c r="DY10" s="95" t="str">
        <f t="shared" si="15"/>
        <v>*((col*((temp_formula_129*((formula*((down</v>
      </c>
      <c r="EA10" s="95" t="str">
        <f t="shared" si="15"/>
        <v>*((col*((temp_formula_131*((formula*((down</v>
      </c>
      <c r="EC10" s="95" t="str">
        <f t="shared" si="15"/>
        <v>*((col*((temp_formula_133*((formula*((down</v>
      </c>
      <c r="EE10" s="95" t="str">
        <f t="shared" si="15"/>
        <v>*((col*((temp_formula_135*((formula*((down</v>
      </c>
      <c r="EK10" s="95" t="str">
        <f t="shared" si="15"/>
        <v>*((col*((temp_formula_141*((formula*((down</v>
      </c>
      <c r="EL10" s="95" t="str">
        <f t="shared" si="15"/>
        <v>*((col*((temp_formula_142*((formula*((down</v>
      </c>
      <c r="EM10" s="95" t="str">
        <f t="shared" si="15"/>
        <v>*((col*((temp_formula_143*((formula*((down</v>
      </c>
      <c r="EN10" s="95" t="str">
        <f t="shared" si="15"/>
        <v>*((col*((temp_formula_144*((formula*((down</v>
      </c>
      <c r="EO10" s="95" t="str">
        <f t="shared" si="15"/>
        <v>*((col*((temp_formula_145*((formula*((down</v>
      </c>
      <c r="ES10" s="95" t="str">
        <f t="shared" si="15"/>
        <v>*((col*((temp_formula_149*((formula*((down</v>
      </c>
      <c r="ET10" s="95" t="str">
        <f t="shared" si="15"/>
        <v>*((col*((temp_formula_150*((formula*((down</v>
      </c>
      <c r="EU10" s="95" t="str">
        <f t="shared" si="15"/>
        <v>*((col*((temp_formula_151*((formula*((down</v>
      </c>
      <c r="EV10" s="95" t="str">
        <f t="shared" si="15"/>
        <v>*((col*((temp_formula_152*((formula*((down</v>
      </c>
      <c r="EW10" s="95" t="str">
        <f t="shared" si="15"/>
        <v>*((col*((temp_formula_153*((formula*((down</v>
      </c>
      <c r="EX10" s="95" t="str">
        <f t="shared" si="15"/>
        <v>*((col*((temp_formula_154*((formula*((down</v>
      </c>
      <c r="EY10" s="95" t="str">
        <f t="shared" si="15"/>
        <v>*((col*((temp_formula_155*((formula*((down</v>
      </c>
      <c r="EZ10" s="95" t="str">
        <f t="shared" si="15"/>
        <v>*((col*((temp_formula_156*((formula*((down</v>
      </c>
      <c r="FA10" s="95" t="str">
        <f t="shared" si="15"/>
        <v>*((col*((temp_formula_157*((formula*((down</v>
      </c>
      <c r="FB10" s="95" t="str">
        <f t="shared" si="15"/>
        <v>*((col*((temp_formula_158*((formula*((down</v>
      </c>
      <c r="FC10" s="95" t="str">
        <f t="shared" si="15"/>
        <v>*((col*((temp_formula_159*((formula*((down</v>
      </c>
      <c r="FD10" s="95" t="str">
        <f t="shared" si="15"/>
        <v>*((col*((temp_formula_160*((formula*((down</v>
      </c>
      <c r="FE10" s="95" t="str">
        <f t="shared" si="15"/>
        <v>*((col*((temp_formula_161*((formula*((down</v>
      </c>
      <c r="FF10" s="95" t="str">
        <f t="shared" si="15"/>
        <v>*((col*((temp_formula_162*((formula*((down</v>
      </c>
      <c r="FG10" s="95" t="str">
        <f t="shared" si="15"/>
        <v>*((col*((temp_formula_163*((formula*((down</v>
      </c>
      <c r="FH10" s="95" t="str">
        <f t="shared" ref="FH10" si="16">"*((col*((temp_formula_"&amp;COLUMN()&amp;"*((formula*((down"</f>
        <v>*((col*((temp_formula_164*((formula*((down</v>
      </c>
    </row>
    <row r="11" spans="1:508" ht="15.6" customHeight="1" x14ac:dyDescent="0.55000000000000004">
      <c r="A11" s="35"/>
      <c r="B11" s="35"/>
      <c r="C11" s="35"/>
      <c r="D11" s="36"/>
      <c r="E11" s="36"/>
      <c r="F11" s="56"/>
      <c r="G11" s="147" t="str" cm="1">
        <f t="array" aca="1" ref="G11" ca="1">_xlfn.IFS(A11="", "", OR(AE11="", AI11="", AM11=""), "Missing Data", TODAY()&gt;AM11, "Complete", TODAY()&gt;AI11, "Open", TODAY()&gt;AE11, "Under Construction", TRUE, "Planning")</f>
        <v/>
      </c>
      <c r="H11" s="141"/>
      <c r="I11" s="103"/>
      <c r="J11" s="119"/>
      <c r="K11" s="119"/>
      <c r="L11" s="103"/>
      <c r="M11" s="181"/>
      <c r="N11" s="119"/>
      <c r="O11" s="152"/>
      <c r="P11" s="142"/>
      <c r="Q11" s="103"/>
      <c r="R11" s="103"/>
      <c r="S11" s="9"/>
      <c r="T11" s="103"/>
      <c r="U11" s="129"/>
      <c r="V11" s="129"/>
      <c r="W11" s="181"/>
      <c r="X11" s="103"/>
      <c r="Y11" s="103"/>
      <c r="Z11" s="103"/>
      <c r="AA11" s="103"/>
      <c r="AB11" s="103"/>
      <c r="AC11" s="103"/>
      <c r="AD11" s="141"/>
      <c r="AE11" s="103"/>
      <c r="AF11" s="103"/>
      <c r="AG11" s="103"/>
      <c r="AH11" s="129"/>
      <c r="AI11" s="141"/>
      <c r="AJ11" s="103"/>
      <c r="AK11" s="103"/>
      <c r="AL11" s="103"/>
      <c r="AM11" s="129"/>
      <c r="AN11" s="155">
        <f>SUM(AO11:AR11)</f>
        <v>0</v>
      </c>
      <c r="AO11" s="58"/>
      <c r="AP11" s="58"/>
      <c r="AQ11" s="58"/>
      <c r="AR11" s="156"/>
      <c r="AS11" s="159"/>
      <c r="AT11" s="8"/>
      <c r="AU11" s="8"/>
      <c r="AV11" s="34"/>
      <c r="AW11" s="8"/>
      <c r="AX11" s="165"/>
      <c r="AY11" s="35"/>
      <c r="AZ11" s="35"/>
      <c r="BA11" s="35"/>
      <c r="BB11" s="35"/>
      <c r="BC11" s="35"/>
      <c r="BD11" s="35"/>
      <c r="BE11" s="35"/>
      <c r="BF11" s="35"/>
      <c r="BG11" s="35"/>
      <c r="BH11" s="35"/>
      <c r="BI11" s="35"/>
      <c r="BJ11" s="35"/>
      <c r="BK11" s="35"/>
      <c r="BL11" s="35"/>
      <c r="BM11" s="35"/>
      <c r="BN11" s="35"/>
      <c r="BO11" s="35"/>
      <c r="BP11" s="35"/>
      <c r="BQ11" s="35"/>
      <c r="BR11" s="35"/>
      <c r="BS11" s="35"/>
      <c r="BT11" s="35"/>
      <c r="BU11" s="92"/>
      <c r="BX11" s="95">
        <f>IF(AND(Q11="", A11&lt;&gt;"", P11&lt;&gt;"Site Purchased Prior to Capital Approval"), 1, 0)</f>
        <v>0</v>
      </c>
      <c r="BZ11" s="95">
        <f>_xlfn.XLOOKUP($A11, 'Project Commitment'!$A:$A, 'Project Commitment'!M:M, "")</f>
        <v>0</v>
      </c>
      <c r="CA11" s="95">
        <f>_xlfn.XLOOKUP($A11, 'Project Commitment'!$A:$A, 'Project Commitment'!N:N, "")</f>
        <v>0</v>
      </c>
      <c r="CB11" s="95">
        <f>_xlfn.XLOOKUP($A11, 'Project Commitment'!$A:$A, 'Project Commitment'!O:O, "")</f>
        <v>0</v>
      </c>
      <c r="CC11" s="95">
        <f>_xlfn.XLOOKUP($A11, 'Project Commitment'!$A:$A, 'Project Commitment'!P:P, "")</f>
        <v>0</v>
      </c>
      <c r="CD11" s="95">
        <f>_xlfn.XLOOKUP($A11, 'Project Commitment'!$A:$A, 'Project Commitment'!Q:Q, "")</f>
        <v>0</v>
      </c>
      <c r="CE11" s="95">
        <f>_xlfn.XLOOKUP($A11, 'Project Commitment'!$A:$A, 'Project Commitment'!R:R, "")</f>
        <v>0</v>
      </c>
      <c r="CF11" s="95">
        <f>_xlfn.XLOOKUP($A11, 'Project Commitment'!$A:$A, 'Project Commitment'!S:S, "")</f>
        <v>0</v>
      </c>
      <c r="CG11" s="95">
        <f>_xlfn.XLOOKUP($A11, 'Project Commitment'!$A:$A, 'Project Commitment'!T:T, "")</f>
        <v>0</v>
      </c>
      <c r="CH11" s="95">
        <f>_xlfn.XLOOKUP($A11, 'Project Commitment'!$A:$A, 'Project Commitment'!U:U, "")</f>
        <v>0</v>
      </c>
      <c r="CI11" s="95">
        <f>_xlfn.XLOOKUP($A11, 'Project Commitment'!$A:$A, 'Project Commitment'!V:V, "")</f>
        <v>0</v>
      </c>
      <c r="CJ11" s="95">
        <f>_xlfn.XLOOKUP($A11, 'Project Commitment'!$A:$A, 'Project Commitment'!W:W, "")</f>
        <v>0</v>
      </c>
      <c r="CK11" s="95">
        <f>_xlfn.XLOOKUP($A11, 'Project Commitment'!$A:$A, 'Project Commitment'!X:X, "")</f>
        <v>0</v>
      </c>
      <c r="CL11" s="95">
        <f>_xlfn.XLOOKUP($A11, 'Project Commitment'!$A:$A, 'Project Commitment'!Y:Y, "")</f>
        <v>0</v>
      </c>
      <c r="CM11" s="95">
        <f>_xlfn.XLOOKUP($A11, 'Project Commitment'!$A:$A, 'Project Commitment'!Z:Z, "")</f>
        <v>0</v>
      </c>
      <c r="CN11" s="95">
        <f>_xlfn.XLOOKUP($A11, 'Project Commitment'!$A:$A, 'Project Commitment'!AA:AA, "")</f>
        <v>0</v>
      </c>
      <c r="CO11" s="95">
        <f>_xlfn.XLOOKUP($A11, 'Project Commitment'!$A:$A, 'Project Commitment'!AB:AB, "")</f>
        <v>0</v>
      </c>
      <c r="CS11" s="120"/>
      <c r="CT11" s="120"/>
      <c r="CU11" s="120" t="str">
        <f>IF(OR(A11="", C11&lt;&gt;""), "", "Meeting Minutes cannot be blank")</f>
        <v/>
      </c>
      <c r="CV11" s="120"/>
      <c r="CW11" s="120"/>
      <c r="CX11" s="120"/>
      <c r="CY11" s="120" t="str" cm="1">
        <f t="array" aca="1" ref="CY11" ca="1">_xlfn.IFS(A11="", "", G11&lt;&gt;"Missing Data", "", AE11="", "Construction Start Date cannot be blank", AI11="", "School Opening Date cannot be blank", AM11="", "Financial Close-Out Date cannot be blank", TRUE, "")</f>
        <v/>
      </c>
      <c r="CZ11" s="120" t="str" cm="1">
        <f t="array" ref="CZ11">_xlfn.IFS(A11="", "", AND(J11="Not Necessary", H11&lt;&gt;""), "No date is needed if Column 10 is Not Necessary", AND(J11&lt;&gt;"Not Necessary", H11=""), CZ$7&amp;" cannot be blank", $AE11="", "", H11&gt;$AE11, CZ$7&amp;" must preceed construction start date.", TRUE, "")</f>
        <v/>
      </c>
      <c r="DA11" s="120" t="str" cm="1">
        <f t="array" aca="1" ref="DA11" ca="1">_xlfn.IFS(A11="", "", I11="", DA$7&amp;" cannot be left blank.", H11="", "", AND(H11&lt;TODAY(), I11="Not Yet Known"), "After the submission date, the pre-tender package type must be selected.", TRUE, "")</f>
        <v/>
      </c>
      <c r="DB11" s="120"/>
      <c r="DC11" s="120" t="str" cm="1">
        <f t="array" ref="DC11">_xlfn.IFS(A11="", "", J11="MISSING", "This package is missing!", K11="", "Confirm you reviewed the pretender checkin documents", AND(K11="Not yet submitted/reviewed", J11&lt;&gt;"Not yet submitted/reviewed"), "Pretender package submitted; col 9 can't indicate otherwise.", TRUE, "")</f>
        <v/>
      </c>
      <c r="DD11" s="120" t="str" cm="1">
        <f t="array" ref="DD11">_xlfn.IFS(A11="", "", AND(N11="Not Necessary", L11&lt;&gt;""), "No date is needed if Column 14 is Not Necessary", AND(N11&lt;&gt;"Not Necessary", L11=""), DD$7&amp;" cannot be blank", $AE11="", "", L11&gt;$AE11, DD$7&amp;" must preceed construction start date.", TRUE, "")</f>
        <v/>
      </c>
      <c r="DE11" s="120" t="str" cm="1">
        <f t="array" aca="1" ref="DE11" ca="1">_xlfn.IFS(A11="", "", M11="", DE$7&amp;" cannot be left blank.", L11="", "", AND(L11&lt;TODAY(), M11="Not Yet Known"), "After the submission date, the pre-tender package type must be selected.", TRUE, "")</f>
        <v/>
      </c>
      <c r="DF11" s="120"/>
      <c r="DG11" s="120" t="str" cm="1">
        <f t="array" ref="DG11">_xlfn.IFS(A11="", "", N11="MISSING", "The post tender package is missing!", O11="", "Confirm you reviewed the post tender check-in documents", AND(O11="Not yet submitted/reviewed", N11&lt;&gt;"Not yet submitted/reviewed"), "Post-tender package submitted; col 9 can't indicate otherwise.", TRUE, "")</f>
        <v/>
      </c>
      <c r="DH11" s="120" t="str" cm="1">
        <f t="array" aca="1" ref="DH11" ca="1">_xlfn.IFS(A11="", "", P11="", "Site Ownership Status cannot be blank", AND(OR(P11="Site Purchased Prior to Capital Approval", P11="Site Purchased"), Q11&gt;TODAY()), "Site purchase date is in the future, but site ownership status indicates site is already purchased", AND(P11&lt;&gt;"Site Purchased Prior to Capital Approval", P11&lt;&gt;"Site Purchased", Q11&lt;=TODAY()), "Site purchase date is in the past, but site ownership status indicates site has not yet been purchased", TRUE, "")</f>
        <v/>
      </c>
      <c r="DI11" s="120" t="str" cm="1">
        <f t="array" ref="DI11">_xlfn.IFS(A11="", "", R11&lt;&gt;"", "", P11="Not Applicable", "", Q11="", "Site Purchased Date cannot be blank", W11="", "", Q11&gt;W11, "Site Purchase Date must preceed Site Plan Submission.", TRUE, "")</f>
        <v/>
      </c>
      <c r="DJ11" s="120"/>
      <c r="DK11" s="120" t="str">
        <f>IF(OR(A11="", S11&lt;&gt;""), "", DK$7&amp;" cannot be blank")</f>
        <v/>
      </c>
      <c r="DL11" s="120" t="str" cm="1">
        <f t="array" aca="1" ref="DL11" ca="1">_xlfn.IFS(A11="", "", T11="", DL$7&amp;" cannot be blank", AND(J11&lt;&gt;"Not yet submitted/reviewed", T11&gt;TODAY()), DL$7&amp;" cannot be in the future if project is ready for a pre-tender package.", TRUE, "")</f>
        <v/>
      </c>
      <c r="DM11" s="120" t="str" cm="1">
        <f t="array" ref="DM11">_xlfn.IFS(A11="", "", V11&lt;&gt;"", "", BY11=0, "", U11="", DM$7&amp;" cannot be blank if project includes child care.", U11&lt;I11, DM$7&amp;" must preceed pre-tender package submission date", TRUE, "")</f>
        <v/>
      </c>
      <c r="DN11" s="120"/>
      <c r="DO11" s="120" t="str" cm="1">
        <f t="array" ref="DO11">_xlfn.IFS(A11="", "", W11="", DO$7&amp;" cannot be blank", $AE11="", "", W11&gt;$AE11, DO$7&amp;" must preceed construction start date.", TRUE, "")</f>
        <v/>
      </c>
      <c r="DP11" s="120" t="str" cm="1">
        <f t="array" ref="DP11">_xlfn.IFS(A11="", "", Y11&lt;&gt;"", "", X11="", DP$7&amp;" cannot be blank", $AE11="", "", X11&gt;$AE11, DP$7&amp;" must preceed construction start date.", TRUE, "")</f>
        <v/>
      </c>
      <c r="DQ11" s="120"/>
      <c r="DR11" s="120" t="str" cm="1">
        <f t="array" ref="DR11">_xlfn.IFS(A11="", "", AA11&lt;&gt;"", "", Z11="", DR$7&amp;" cannot be blank", $AE11="", "", Z11&gt;$AE11, DR$7&amp;" must preceed construction start date.", TRUE, "")</f>
        <v/>
      </c>
      <c r="DS11" s="120"/>
      <c r="DT11" s="120" t="str" cm="1">
        <f t="array" ref="DT11">_xlfn.IFS(A11="", "", AB11="", DT$7&amp;" cannot be blank", $AE11="", "", AB11&gt;$AE11, DT$7&amp;" must preceed construction start date.", TRUE, "")</f>
        <v/>
      </c>
      <c r="DU11" s="120" t="str" cm="1">
        <f t="array" ref="DU11">_xlfn.IFS(A11="", "", AC11="", DU$7&amp;" cannot be blank", $AE11="", "", AC11&gt;$AE11, DU$7&amp;" must preceed construction start date.", TRUE, "")</f>
        <v/>
      </c>
      <c r="DV11" s="120" t="str" cm="1">
        <f t="array" ref="DV11">_xlfn.IFS(A11="", "", AD11="", DV$7&amp;" cannot be blank", $AE11="", "", AD11&gt;$AE11, DV$7&amp;" must preceed construction start date.", TRUE, "")</f>
        <v/>
      </c>
      <c r="DW11" s="120" t="str" cm="1">
        <f t="array" ref="DW11">_xlfn.IFS(A11="", "", AF11&lt;&gt;"", "", AE11="", DW$7&amp;" cannot be blank", $AI11="", "", AE11&gt;EDATE($AI11,-12), DW$7&amp;" must preceed school opening date by more than 12 months.", TRUE, "")</f>
        <v/>
      </c>
      <c r="DX11" s="120"/>
      <c r="DY11" s="120" t="str" cm="1">
        <f t="array" ref="DY11">_xlfn.IFS(A11="", "", AH11&lt;&gt;"", "", AG11="", DY$7&amp;" cannot be blank", $AI11="", "", AG11&gt;EDATE($AI11,-1), DY$7&amp;" must preceed school opening date by more than one month.", TRUE, "")</f>
        <v/>
      </c>
      <c r="DZ11" s="120"/>
      <c r="EA11" s="120" t="str" cm="1">
        <f t="array" ref="EA11">_xlfn.IFS(A11="", "", AM11="", "", AI11="", EA$7&amp;" cannot be blank", AJ11&lt;&gt;"", "", $AI11="", "", AI11&gt;=EDATE($AM11,-11), EA$7&amp;" must preceed financial close date by at least 12 months.", TRUE, "")</f>
        <v/>
      </c>
      <c r="EB11" s="120"/>
      <c r="EC11" s="120" t="str" cm="1">
        <f t="array" ref="EC11">_xlfn.IFS(A11="", "", BY11=0, "", AK11="", EC$7&amp;" cannot be blank", $AM11="", "", AL11&lt;&gt;"", "", AK11&gt;=EDATE($AM11,0), EC$7&amp;" must preceed financial close date.", TRUE, "")</f>
        <v/>
      </c>
      <c r="ED11" s="120"/>
      <c r="EE11" s="120" t="str" cm="1">
        <f t="array" ref="EE11">_xlfn.IFS(A11="", "", AM11="", EE$7&amp;" cannot be blank", TRUE, "")</f>
        <v/>
      </c>
      <c r="EF11" s="120"/>
      <c r="EG11" s="120"/>
      <c r="EH11" s="120"/>
      <c r="EI11" s="120"/>
      <c r="EJ11" s="120"/>
      <c r="EK11" s="120" t="str" cm="1">
        <f t="array" aca="1" ref="EK11" ca="1">_xlfn.IFS(A11="", "", AS11="", "Basis of Cost Estimate cannot be blank", AND(AE11&lt;TODAY(), AS11&lt;&gt;"Based on Tender Results"), "Contract awarded date suggests estimate should be based on tender results", AND(H11&lt;TODAY(), AS11&lt;&gt;"Based on Class A or B Cost Report"), "If project has already come in for a pre-tender budget, they must have a class A or B cost estimate.", TRUE, "")</f>
        <v/>
      </c>
      <c r="EL11" s="120" t="str" cm="1">
        <f t="array" ref="EL11">_xlfn.IFS(A11="", "", OR(AO11=0, AO11=""), "", AT11="", EL$7&amp;" cannot be blank.", TRUE, "")</f>
        <v/>
      </c>
      <c r="EM11" s="120" t="str" cm="1">
        <f t="array" ref="EM11">_xlfn.IFS(A11="", "", OR(AP11=0, AP11=""), "", AU11="", EM$7&amp;" cannot be blank.", TRUE, "")</f>
        <v/>
      </c>
      <c r="EN11" s="120" t="str" cm="1">
        <f t="array" ref="EN11">_xlfn.IFS(A11="", "", OR(AQ11=0, AQ11=""), "", AV11="", EN$7&amp;" cannot be blank.", TRUE, "")</f>
        <v/>
      </c>
      <c r="EO11" s="120" t="str" cm="1">
        <f t="array" ref="EO11">_xlfn.IFS(A11="", "", OR(AR11=0, AR11=""), "", AW11="", EO$7&amp;" cannot be blank.", TRUE, "")</f>
        <v/>
      </c>
      <c r="EP11" s="120"/>
      <c r="EQ11" s="120"/>
      <c r="ER11" s="120"/>
      <c r="ES11" s="120" t="str" cm="1">
        <f t="array" ref="ES11">_xlfn.IFS(ET11&lt;&gt;"", ET11, EU11&lt;&gt;"", EU11, EV11&lt;&gt;"", EV11, TRUE, "")</f>
        <v>Confirm you reviewed the pretender checkin documents</v>
      </c>
      <c r="ET11" s="120" t="str">
        <f>IF(J11="MISSING", "This package is missing!", "")</f>
        <v/>
      </c>
      <c r="EU11" s="120" t="str">
        <f>IF(K11="", "Confirm you reviewed the pretender checkin documents", "")</f>
        <v>Confirm you reviewed the pretender checkin documents</v>
      </c>
      <c r="EV11" s="120" t="str">
        <f>IF(AND(K11="Not yet submitted/reviewed", J11&lt;&gt;"Not yet submitted/reviewed"), "Pretender package submitted; col 9 cann't indicate otherwise.", "")</f>
        <v/>
      </c>
      <c r="EW11" s="120" t="str" cm="1">
        <f t="array" ref="EW11">_xlfn.IFS(EX11&lt;&gt;"", EX11, EY11&lt;&gt;"", EY11, EZ11&lt;&gt;"", EZ11, TRUE, "")</f>
        <v>Confirm you reviewed the post tender check-in documents</v>
      </c>
      <c r="EX11" s="120" t="str">
        <f>IF(N11="MISSING", "The post tender package is missing!", "")</f>
        <v/>
      </c>
      <c r="EY11" s="120" t="str">
        <f>IF(O11="", "Confirm you reviewed the post tender check-in documents", "")</f>
        <v>Confirm you reviewed the post tender check-in documents</v>
      </c>
      <c r="EZ11" s="120" t="str">
        <f>IF(AND(O11="Not yet submitted/reviewed", N11&lt;&gt;"Not yet submitted/reviewed"), "Post-tender package submitted; col 9 cann't indicate otherwise.", "")</f>
        <v/>
      </c>
      <c r="FA11" s="120" t="str" cm="1">
        <f t="array" aca="1" ref="FA11" ca="1">_xlfn.IFS(FB11&lt;&gt;"", FB11, FC11&lt;&gt;"", FC11, TRUE, FD11)</f>
        <v>Site Ownership Status cannot be blank</v>
      </c>
      <c r="FB11" s="120" t="str">
        <f>IF(P11&lt;&gt;"", "", "Site Ownership Status cannot be blank")</f>
        <v>Site Ownership Status cannot be blank</v>
      </c>
      <c r="FC11" s="120" t="str" cm="1">
        <f t="array" aca="1" ref="FC11" ca="1">_xlfn.IFS(AND(Q11="", OR(P11="Site Purchased Prior to Capital Approval", P11="Site Purchased")), "", AND(OR(P11="Site Purchased Prior to Capital Approval", P11="Site Purchased"), Q11&gt;TODAY()), "Site purchase date is in the future, but site ownership status indicates site is already purchaseed", TRUE, "")</f>
        <v/>
      </c>
      <c r="FD11" s="120" t="str">
        <f ca="1">IF(AND(AND(P11&lt;&gt;"Site Purchased Prior to Capital Approval", P11&lt;&gt;"Site Purchased"), Q11&lt;=TODAY()), "Site purchase date is in the past, but site ownership status indicates site has not yet been purchaseed", "")</f>
        <v>Site purchase date is in the past, but site ownership status indicates site has not yet been purchaseed</v>
      </c>
      <c r="FE11" s="120" t="str" cm="1">
        <f t="array" aca="1" ref="FE11" ca="1">_xlfn.IFS(FF11&lt;&gt;"", FF11, FG11&lt;&gt;"", FG11, TRUE,FH11 )</f>
        <v>Site Purchased Date cannot be blank</v>
      </c>
      <c r="FF11" s="120" t="str">
        <f>IF(AND(P11&lt;&gt;"Not Applicable",Q11=""),"Site Purchased Date cannot be blank","")</f>
        <v>Site Purchased Date cannot be blank</v>
      </c>
      <c r="FG11" s="120" t="str">
        <f ca="1">FA11</f>
        <v>Site Ownership Status cannot be blank</v>
      </c>
      <c r="FH11" s="120" t="str" cm="1">
        <f t="array" ref="FH11">_xlfn.IFS(Q11="", "", W11="", "", Q11&gt;W11, "Site Purchase Date must preceed Site Plan Submission.", TRUE, "")</f>
        <v/>
      </c>
    </row>
    <row r="12" spans="1:508" ht="15.6" customHeight="1" x14ac:dyDescent="0.55000000000000004">
      <c r="A12" s="7"/>
      <c r="B12" s="8"/>
      <c r="C12" s="8"/>
      <c r="D12" s="8"/>
      <c r="E12" s="8"/>
      <c r="F12" s="8"/>
      <c r="G12" s="93"/>
      <c r="H12" s="142"/>
      <c r="I12" s="8"/>
      <c r="J12" s="9"/>
      <c r="K12" s="8"/>
      <c r="L12" s="8"/>
      <c r="M12" s="93"/>
      <c r="N12" s="8"/>
      <c r="O12" s="93"/>
      <c r="P12" s="142"/>
      <c r="Q12" s="8"/>
      <c r="R12" s="8"/>
      <c r="S12" s="8"/>
      <c r="T12" s="8"/>
      <c r="U12" s="93"/>
      <c r="V12" s="93"/>
      <c r="W12" s="8"/>
      <c r="X12" s="8"/>
      <c r="Y12" s="112"/>
      <c r="Z12" s="8"/>
      <c r="AA12" s="8"/>
      <c r="AB12" s="8"/>
      <c r="AC12" s="8"/>
      <c r="AD12" s="142"/>
      <c r="AE12" s="8"/>
      <c r="AF12" s="8"/>
      <c r="AG12" s="8"/>
      <c r="AH12" s="93"/>
      <c r="AI12" s="142"/>
      <c r="AJ12" s="8"/>
      <c r="AK12" s="8"/>
      <c r="AL12" s="8"/>
      <c r="AM12" s="93"/>
      <c r="AN12" s="142"/>
      <c r="AO12" s="8"/>
      <c r="AP12" s="8"/>
      <c r="AQ12" s="8"/>
      <c r="AR12" s="93"/>
      <c r="AS12" s="142"/>
      <c r="AT12" s="8"/>
      <c r="AU12" s="8"/>
      <c r="AV12" s="8"/>
      <c r="AW12" s="8"/>
      <c r="AX12" s="142"/>
      <c r="AY12" s="8"/>
      <c r="AZ12" s="8"/>
      <c r="BA12" s="8"/>
      <c r="BB12" s="8"/>
      <c r="BC12" s="8"/>
      <c r="BD12" s="8"/>
      <c r="BE12" s="8"/>
      <c r="BF12" s="8"/>
      <c r="BG12" s="8"/>
      <c r="BH12" s="8"/>
      <c r="BI12" s="8"/>
      <c r="BJ12" s="8"/>
      <c r="BK12" s="8"/>
      <c r="BL12" s="8"/>
      <c r="BM12" s="8"/>
      <c r="BN12" s="8"/>
      <c r="BO12" s="8"/>
      <c r="BP12" s="8"/>
      <c r="BQ12" s="8"/>
      <c r="BR12" s="8"/>
      <c r="BS12" s="8"/>
      <c r="BT12" s="8"/>
      <c r="BU12" s="93"/>
      <c r="DD12" s="120"/>
      <c r="DE12" s="120"/>
    </row>
    <row r="13" spans="1:508" ht="15.6" customHeight="1" x14ac:dyDescent="0.55000000000000004">
      <c r="A13" s="7"/>
      <c r="B13" s="8"/>
      <c r="C13" s="8"/>
      <c r="D13" s="8"/>
      <c r="E13" s="8"/>
      <c r="F13" s="8"/>
      <c r="G13" s="93"/>
      <c r="H13" s="142"/>
      <c r="I13" s="8"/>
      <c r="J13" s="9"/>
      <c r="K13" s="8"/>
      <c r="L13" s="8"/>
      <c r="M13" s="93"/>
      <c r="N13" s="8"/>
      <c r="O13" s="93"/>
      <c r="P13" s="142"/>
      <c r="Q13" s="8"/>
      <c r="R13" s="8"/>
      <c r="S13" s="8"/>
      <c r="T13" s="8"/>
      <c r="U13" s="93"/>
      <c r="V13" s="93"/>
      <c r="W13" s="8"/>
      <c r="X13" s="8"/>
      <c r="Y13" s="112"/>
      <c r="Z13" s="8"/>
      <c r="AA13" s="8"/>
      <c r="AB13" s="8"/>
      <c r="AC13" s="8"/>
      <c r="AD13" s="142"/>
      <c r="AE13" s="8"/>
      <c r="AF13" s="8"/>
      <c r="AG13" s="8"/>
      <c r="AH13" s="93"/>
      <c r="AI13" s="142"/>
      <c r="AJ13" s="8"/>
      <c r="AK13" s="8"/>
      <c r="AL13" s="8"/>
      <c r="AM13" s="93"/>
      <c r="AN13" s="142"/>
      <c r="AO13" s="8"/>
      <c r="AP13" s="8"/>
      <c r="AQ13" s="8"/>
      <c r="AR13" s="93"/>
      <c r="AS13" s="142"/>
      <c r="AT13" s="8"/>
      <c r="AU13" s="8"/>
      <c r="AV13" s="8"/>
      <c r="AW13" s="8"/>
      <c r="AX13" s="142"/>
      <c r="AY13" s="8"/>
      <c r="AZ13" s="8"/>
      <c r="BA13" s="8"/>
      <c r="BB13" s="8"/>
      <c r="BC13" s="8"/>
      <c r="BD13" s="8"/>
      <c r="BE13" s="8"/>
      <c r="BF13" s="8"/>
      <c r="BG13" s="8"/>
      <c r="BH13" s="8"/>
      <c r="BI13" s="8"/>
      <c r="BJ13" s="8"/>
      <c r="BK13" s="8"/>
      <c r="BL13" s="8"/>
      <c r="BM13" s="8"/>
      <c r="BN13" s="8"/>
      <c r="BO13" s="8"/>
      <c r="BP13" s="8"/>
      <c r="BQ13" s="8"/>
      <c r="BR13" s="8"/>
      <c r="BS13" s="8"/>
      <c r="BT13" s="8"/>
      <c r="BU13" s="93"/>
      <c r="DD13" s="120"/>
      <c r="DE13" s="120"/>
    </row>
    <row r="14" spans="1:508" ht="15.6" customHeight="1" x14ac:dyDescent="0.55000000000000004">
      <c r="A14" s="7"/>
      <c r="B14" s="8"/>
      <c r="C14" s="8"/>
      <c r="D14" s="8"/>
      <c r="E14" s="8"/>
      <c r="F14" s="8"/>
      <c r="G14" s="93"/>
      <c r="H14" s="142"/>
      <c r="I14" s="8"/>
      <c r="J14" s="9"/>
      <c r="K14" s="8"/>
      <c r="L14" s="8"/>
      <c r="M14" s="93"/>
      <c r="N14" s="8"/>
      <c r="O14" s="93"/>
      <c r="P14" s="142"/>
      <c r="Q14" s="8"/>
      <c r="R14" s="8"/>
      <c r="S14" s="8"/>
      <c r="T14" s="8"/>
      <c r="U14" s="93"/>
      <c r="V14" s="93"/>
      <c r="W14" s="8"/>
      <c r="X14" s="8"/>
      <c r="Y14" s="112"/>
      <c r="Z14" s="8"/>
      <c r="AA14" s="8"/>
      <c r="AB14" s="8"/>
      <c r="AC14" s="8"/>
      <c r="AD14" s="142"/>
      <c r="AE14" s="8"/>
      <c r="AF14" s="8"/>
      <c r="AG14" s="8"/>
      <c r="AH14" s="93"/>
      <c r="AI14" s="142"/>
      <c r="AJ14" s="8"/>
      <c r="AK14" s="8"/>
      <c r="AL14" s="8"/>
      <c r="AM14" s="93"/>
      <c r="AN14" s="142"/>
      <c r="AO14" s="8"/>
      <c r="AP14" s="8"/>
      <c r="AQ14" s="8"/>
      <c r="AR14" s="93"/>
      <c r="AS14" s="142"/>
      <c r="AT14" s="8"/>
      <c r="AU14" s="8"/>
      <c r="AV14" s="8"/>
      <c r="AW14" s="8"/>
      <c r="AX14" s="142"/>
      <c r="AY14" s="8"/>
      <c r="AZ14" s="8"/>
      <c r="BA14" s="8"/>
      <c r="BB14" s="8"/>
      <c r="BC14" s="8"/>
      <c r="BD14" s="8"/>
      <c r="BE14" s="8"/>
      <c r="BF14" s="8"/>
      <c r="BG14" s="8"/>
      <c r="BH14" s="8"/>
      <c r="BI14" s="8"/>
      <c r="BJ14" s="8"/>
      <c r="BK14" s="8"/>
      <c r="BL14" s="8"/>
      <c r="BM14" s="8"/>
      <c r="BN14" s="8"/>
      <c r="BO14" s="8"/>
      <c r="BP14" s="8"/>
      <c r="BQ14" s="8"/>
      <c r="BR14" s="8"/>
      <c r="BS14" s="8"/>
      <c r="BT14" s="8"/>
      <c r="BU14" s="93"/>
      <c r="DD14" s="120"/>
      <c r="DE14" s="120"/>
    </row>
    <row r="15" spans="1:508" ht="15.6" customHeight="1" x14ac:dyDescent="0.55000000000000004">
      <c r="A15" s="7"/>
      <c r="B15" s="8"/>
      <c r="C15" s="8"/>
      <c r="D15" s="8"/>
      <c r="E15" s="8"/>
      <c r="F15" s="8"/>
      <c r="G15" s="93"/>
      <c r="H15" s="142"/>
      <c r="I15" s="8"/>
      <c r="J15" s="9"/>
      <c r="K15" s="8"/>
      <c r="L15" s="8"/>
      <c r="M15" s="93"/>
      <c r="N15" s="8"/>
      <c r="O15" s="93"/>
      <c r="P15" s="142"/>
      <c r="Q15" s="8"/>
      <c r="R15" s="8"/>
      <c r="S15" s="8"/>
      <c r="T15" s="8"/>
      <c r="U15" s="93"/>
      <c r="V15" s="93"/>
      <c r="W15" s="8"/>
      <c r="X15" s="8"/>
      <c r="Y15" s="112"/>
      <c r="Z15" s="8"/>
      <c r="AA15" s="8"/>
      <c r="AB15" s="8"/>
      <c r="AC15" s="8"/>
      <c r="AD15" s="142"/>
      <c r="AE15" s="8"/>
      <c r="AF15" s="8"/>
      <c r="AG15" s="8"/>
      <c r="AH15" s="93"/>
      <c r="AI15" s="142"/>
      <c r="AJ15" s="8"/>
      <c r="AK15" s="8"/>
      <c r="AL15" s="8"/>
      <c r="AM15" s="93"/>
      <c r="AN15" s="142"/>
      <c r="AO15" s="8"/>
      <c r="AP15" s="8"/>
      <c r="AQ15" s="8"/>
      <c r="AR15" s="93"/>
      <c r="AS15" s="142"/>
      <c r="AT15" s="8"/>
      <c r="AU15" s="8"/>
      <c r="AV15" s="8"/>
      <c r="AW15" s="8"/>
      <c r="AX15" s="142"/>
      <c r="AY15" s="8"/>
      <c r="AZ15" s="8"/>
      <c r="BA15" s="8"/>
      <c r="BB15" s="8"/>
      <c r="BC15" s="8"/>
      <c r="BD15" s="8"/>
      <c r="BE15" s="8"/>
      <c r="BF15" s="8"/>
      <c r="BG15" s="8"/>
      <c r="BH15" s="8"/>
      <c r="BI15" s="8"/>
      <c r="BJ15" s="8"/>
      <c r="BK15" s="8"/>
      <c r="BL15" s="8"/>
      <c r="BM15" s="8"/>
      <c r="BN15" s="8"/>
      <c r="BO15" s="8"/>
      <c r="BP15" s="8"/>
      <c r="BQ15" s="8"/>
      <c r="BR15" s="8"/>
      <c r="BS15" s="8"/>
      <c r="BT15" s="8"/>
      <c r="BU15" s="93"/>
      <c r="DD15" s="120"/>
      <c r="DE15" s="120"/>
    </row>
    <row r="16" spans="1:508" ht="15.6" customHeight="1" x14ac:dyDescent="0.55000000000000004">
      <c r="A16" s="7"/>
      <c r="B16" s="8"/>
      <c r="C16" s="8"/>
      <c r="D16" s="8"/>
      <c r="E16" s="8"/>
      <c r="F16" s="8"/>
      <c r="G16" s="93"/>
      <c r="H16" s="142"/>
      <c r="I16" s="8"/>
      <c r="J16" s="9"/>
      <c r="K16" s="8"/>
      <c r="L16" s="8"/>
      <c r="M16" s="93"/>
      <c r="N16" s="8"/>
      <c r="O16" s="93"/>
      <c r="P16" s="142"/>
      <c r="Q16" s="8"/>
      <c r="R16" s="8"/>
      <c r="S16" s="8"/>
      <c r="T16" s="8"/>
      <c r="U16" s="93"/>
      <c r="V16" s="93"/>
      <c r="W16" s="8"/>
      <c r="X16" s="8"/>
      <c r="Y16" s="112"/>
      <c r="Z16" s="8"/>
      <c r="AA16" s="8"/>
      <c r="AB16" s="8"/>
      <c r="AC16" s="8"/>
      <c r="AD16" s="142"/>
      <c r="AE16" s="8"/>
      <c r="AF16" s="8"/>
      <c r="AG16" s="8"/>
      <c r="AH16" s="93"/>
      <c r="AI16" s="142"/>
      <c r="AJ16" s="8"/>
      <c r="AK16" s="8"/>
      <c r="AL16" s="8"/>
      <c r="AM16" s="93"/>
      <c r="AN16" s="142"/>
      <c r="AO16" s="8"/>
      <c r="AP16" s="8"/>
      <c r="AQ16" s="8"/>
      <c r="AR16" s="93"/>
      <c r="AS16" s="142"/>
      <c r="AT16" s="8"/>
      <c r="AU16" s="8"/>
      <c r="AV16" s="8"/>
      <c r="AW16" s="8"/>
      <c r="AX16" s="142"/>
      <c r="AY16" s="8"/>
      <c r="AZ16" s="8"/>
      <c r="BA16" s="8"/>
      <c r="BB16" s="8"/>
      <c r="BC16" s="8"/>
      <c r="BD16" s="8"/>
      <c r="BE16" s="8"/>
      <c r="BF16" s="8"/>
      <c r="BG16" s="8"/>
      <c r="BH16" s="8"/>
      <c r="BI16" s="8"/>
      <c r="BJ16" s="8"/>
      <c r="BK16" s="8"/>
      <c r="BL16" s="8"/>
      <c r="BM16" s="8"/>
      <c r="BN16" s="8"/>
      <c r="BO16" s="8"/>
      <c r="BP16" s="8"/>
      <c r="BQ16" s="8"/>
      <c r="BR16" s="8"/>
      <c r="BS16" s="8"/>
      <c r="BT16" s="8"/>
      <c r="BU16" s="93"/>
      <c r="DD16" s="120"/>
      <c r="DE16" s="120"/>
    </row>
    <row r="17" spans="1:109" ht="15.6" customHeight="1" x14ac:dyDescent="0.55000000000000004">
      <c r="A17" s="7"/>
      <c r="B17" s="8"/>
      <c r="C17" s="8"/>
      <c r="D17" s="8"/>
      <c r="E17" s="8"/>
      <c r="F17" s="8"/>
      <c r="G17" s="93"/>
      <c r="H17" s="142"/>
      <c r="I17" s="8"/>
      <c r="J17" s="9"/>
      <c r="K17" s="8"/>
      <c r="L17" s="8"/>
      <c r="M17" s="93"/>
      <c r="N17" s="8"/>
      <c r="O17" s="93"/>
      <c r="P17" s="142"/>
      <c r="Q17" s="8"/>
      <c r="R17" s="8"/>
      <c r="S17" s="8"/>
      <c r="T17" s="8"/>
      <c r="U17" s="93"/>
      <c r="V17" s="93"/>
      <c r="W17" s="8"/>
      <c r="X17" s="8"/>
      <c r="Y17" s="112"/>
      <c r="Z17" s="8"/>
      <c r="AA17" s="8"/>
      <c r="AB17" s="8"/>
      <c r="AC17" s="8"/>
      <c r="AD17" s="142"/>
      <c r="AE17" s="8"/>
      <c r="AF17" s="8"/>
      <c r="AG17" s="8"/>
      <c r="AH17" s="93"/>
      <c r="AI17" s="142"/>
      <c r="AJ17" s="8"/>
      <c r="AK17" s="8"/>
      <c r="AL17" s="8"/>
      <c r="AM17" s="93"/>
      <c r="AN17" s="142"/>
      <c r="AO17" s="8"/>
      <c r="AP17" s="8"/>
      <c r="AQ17" s="8"/>
      <c r="AR17" s="93"/>
      <c r="AS17" s="142"/>
      <c r="AT17" s="8"/>
      <c r="AU17" s="8"/>
      <c r="AV17" s="8"/>
      <c r="AW17" s="8"/>
      <c r="AX17" s="142"/>
      <c r="AY17" s="8"/>
      <c r="AZ17" s="8"/>
      <c r="BA17" s="8"/>
      <c r="BB17" s="8"/>
      <c r="BC17" s="8"/>
      <c r="BD17" s="8"/>
      <c r="BE17" s="8"/>
      <c r="BF17" s="8"/>
      <c r="BG17" s="8"/>
      <c r="BH17" s="8"/>
      <c r="BI17" s="8"/>
      <c r="BJ17" s="8"/>
      <c r="BK17" s="8"/>
      <c r="BL17" s="8"/>
      <c r="BM17" s="8"/>
      <c r="BN17" s="8"/>
      <c r="BO17" s="8"/>
      <c r="BP17" s="8"/>
      <c r="BQ17" s="8"/>
      <c r="BR17" s="8"/>
      <c r="BS17" s="8"/>
      <c r="BT17" s="8"/>
      <c r="BU17" s="93"/>
      <c r="DD17" s="120"/>
      <c r="DE17" s="120"/>
    </row>
    <row r="18" spans="1:109" ht="15.6" customHeight="1" x14ac:dyDescent="0.55000000000000004">
      <c r="A18" s="7"/>
      <c r="B18" s="8"/>
      <c r="C18" s="8"/>
      <c r="D18" s="8"/>
      <c r="E18" s="8"/>
      <c r="F18" s="8"/>
      <c r="G18" s="93"/>
      <c r="H18" s="142"/>
      <c r="I18" s="8"/>
      <c r="J18" s="9"/>
      <c r="K18" s="8"/>
      <c r="L18" s="8"/>
      <c r="M18" s="93"/>
      <c r="N18" s="8"/>
      <c r="O18" s="93"/>
      <c r="P18" s="142"/>
      <c r="Q18" s="8"/>
      <c r="R18" s="8"/>
      <c r="S18" s="8"/>
      <c r="T18" s="8"/>
      <c r="U18" s="93"/>
      <c r="V18" s="93"/>
      <c r="W18" s="8"/>
      <c r="X18" s="8"/>
      <c r="Y18" s="112"/>
      <c r="Z18" s="8"/>
      <c r="AA18" s="8"/>
      <c r="AB18" s="8"/>
      <c r="AC18" s="8"/>
      <c r="AD18" s="142"/>
      <c r="AE18" s="8"/>
      <c r="AF18" s="8"/>
      <c r="AG18" s="8"/>
      <c r="AH18" s="93"/>
      <c r="AI18" s="142"/>
      <c r="AJ18" s="8"/>
      <c r="AK18" s="8"/>
      <c r="AL18" s="8"/>
      <c r="AM18" s="93"/>
      <c r="AN18" s="142"/>
      <c r="AO18" s="8"/>
      <c r="AP18" s="8"/>
      <c r="AQ18" s="8"/>
      <c r="AR18" s="93"/>
      <c r="AS18" s="142"/>
      <c r="AT18" s="8"/>
      <c r="AU18" s="8"/>
      <c r="AV18" s="8"/>
      <c r="AW18" s="8"/>
      <c r="AX18" s="142"/>
      <c r="AY18" s="8"/>
      <c r="AZ18" s="8"/>
      <c r="BA18" s="8"/>
      <c r="BB18" s="8"/>
      <c r="BC18" s="8"/>
      <c r="BD18" s="8"/>
      <c r="BE18" s="8"/>
      <c r="BF18" s="8"/>
      <c r="BG18" s="8"/>
      <c r="BH18" s="8"/>
      <c r="BI18" s="8"/>
      <c r="BJ18" s="8"/>
      <c r="BK18" s="8"/>
      <c r="BL18" s="8"/>
      <c r="BM18" s="8"/>
      <c r="BN18" s="8"/>
      <c r="BO18" s="8"/>
      <c r="BP18" s="8"/>
      <c r="BQ18" s="8"/>
      <c r="BR18" s="8"/>
      <c r="BS18" s="8"/>
      <c r="BT18" s="8"/>
      <c r="BU18" s="93"/>
      <c r="DD18" s="120"/>
      <c r="DE18" s="120"/>
    </row>
    <row r="19" spans="1:109" ht="15.6" customHeight="1" x14ac:dyDescent="0.55000000000000004">
      <c r="A19" s="7"/>
      <c r="B19" s="8"/>
      <c r="C19" s="8"/>
      <c r="D19" s="8"/>
      <c r="E19" s="8"/>
      <c r="F19" s="8"/>
      <c r="G19" s="93"/>
      <c r="H19" s="142"/>
      <c r="I19" s="8"/>
      <c r="J19" s="9"/>
      <c r="K19" s="8"/>
      <c r="L19" s="8"/>
      <c r="M19" s="93"/>
      <c r="N19" s="8"/>
      <c r="O19" s="93"/>
      <c r="P19" s="142"/>
      <c r="Q19" s="8"/>
      <c r="R19" s="8"/>
      <c r="S19" s="8"/>
      <c r="T19" s="8"/>
      <c r="U19" s="93"/>
      <c r="V19" s="93"/>
      <c r="W19" s="8"/>
      <c r="X19" s="8"/>
      <c r="Y19" s="112"/>
      <c r="Z19" s="8"/>
      <c r="AA19" s="8"/>
      <c r="AB19" s="8"/>
      <c r="AC19" s="8"/>
      <c r="AD19" s="142"/>
      <c r="AE19" s="8"/>
      <c r="AF19" s="8"/>
      <c r="AG19" s="8"/>
      <c r="AH19" s="93"/>
      <c r="AI19" s="142"/>
      <c r="AJ19" s="8"/>
      <c r="AK19" s="8"/>
      <c r="AL19" s="8"/>
      <c r="AM19" s="93"/>
      <c r="AN19" s="142"/>
      <c r="AO19" s="8"/>
      <c r="AP19" s="8"/>
      <c r="AQ19" s="8"/>
      <c r="AR19" s="93"/>
      <c r="AS19" s="142"/>
      <c r="AT19" s="8"/>
      <c r="AU19" s="8"/>
      <c r="AV19" s="8"/>
      <c r="AW19" s="8"/>
      <c r="AX19" s="142"/>
      <c r="AY19" s="8"/>
      <c r="AZ19" s="8"/>
      <c r="BA19" s="8"/>
      <c r="BB19" s="8"/>
      <c r="BC19" s="8"/>
      <c r="BD19" s="8"/>
      <c r="BE19" s="8"/>
      <c r="BF19" s="8"/>
      <c r="BG19" s="8"/>
      <c r="BH19" s="8"/>
      <c r="BI19" s="8"/>
      <c r="BJ19" s="8"/>
      <c r="BK19" s="8"/>
      <c r="BL19" s="8"/>
      <c r="BM19" s="8"/>
      <c r="BN19" s="8"/>
      <c r="BO19" s="8"/>
      <c r="BP19" s="8"/>
      <c r="BQ19" s="8"/>
      <c r="BR19" s="8"/>
      <c r="BS19" s="8"/>
      <c r="BT19" s="8"/>
      <c r="BU19" s="93"/>
      <c r="DD19" s="120"/>
      <c r="DE19" s="120"/>
    </row>
    <row r="20" spans="1:109" ht="15.6" customHeight="1" x14ac:dyDescent="0.55000000000000004">
      <c r="A20" s="7"/>
      <c r="B20" s="8"/>
      <c r="C20" s="8"/>
      <c r="D20" s="8"/>
      <c r="E20" s="8"/>
      <c r="F20" s="8"/>
      <c r="G20" s="93"/>
      <c r="H20" s="142"/>
      <c r="I20" s="8"/>
      <c r="J20" s="9"/>
      <c r="K20" s="8"/>
      <c r="L20" s="8"/>
      <c r="M20" s="93"/>
      <c r="N20" s="8"/>
      <c r="O20" s="93"/>
      <c r="P20" s="142"/>
      <c r="Q20" s="8"/>
      <c r="R20" s="8"/>
      <c r="S20" s="8"/>
      <c r="T20" s="8"/>
      <c r="U20" s="93"/>
      <c r="V20" s="93"/>
      <c r="W20" s="8"/>
      <c r="X20" s="8"/>
      <c r="Y20" s="112"/>
      <c r="Z20" s="8"/>
      <c r="AA20" s="8"/>
      <c r="AB20" s="8"/>
      <c r="AC20" s="8"/>
      <c r="AD20" s="142"/>
      <c r="AE20" s="8"/>
      <c r="AF20" s="8"/>
      <c r="AG20" s="8"/>
      <c r="AH20" s="93"/>
      <c r="AI20" s="142"/>
      <c r="AJ20" s="8"/>
      <c r="AK20" s="8"/>
      <c r="AL20" s="8"/>
      <c r="AM20" s="93"/>
      <c r="AN20" s="142"/>
      <c r="AO20" s="8"/>
      <c r="AP20" s="8"/>
      <c r="AQ20" s="8"/>
      <c r="AR20" s="93"/>
      <c r="AS20" s="142"/>
      <c r="AT20" s="8"/>
      <c r="AU20" s="8"/>
      <c r="AV20" s="8"/>
      <c r="AW20" s="8"/>
      <c r="AX20" s="142"/>
      <c r="AY20" s="8"/>
      <c r="AZ20" s="8"/>
      <c r="BA20" s="8"/>
      <c r="BB20" s="8"/>
      <c r="BC20" s="8"/>
      <c r="BD20" s="8"/>
      <c r="BE20" s="8"/>
      <c r="BF20" s="8"/>
      <c r="BG20" s="8"/>
      <c r="BH20" s="8"/>
      <c r="BI20" s="8"/>
      <c r="BJ20" s="8"/>
      <c r="BK20" s="8"/>
      <c r="BL20" s="8"/>
      <c r="BM20" s="8"/>
      <c r="BN20" s="8"/>
      <c r="BO20" s="8"/>
      <c r="BP20" s="8"/>
      <c r="BQ20" s="8"/>
      <c r="BR20" s="8"/>
      <c r="BS20" s="8"/>
      <c r="BT20" s="8"/>
      <c r="BU20" s="93"/>
      <c r="DD20" s="120"/>
      <c r="DE20" s="120"/>
    </row>
    <row r="21" spans="1:109" ht="15.6" customHeight="1" x14ac:dyDescent="0.55000000000000004">
      <c r="A21" s="7"/>
      <c r="B21" s="8"/>
      <c r="C21" s="8"/>
      <c r="D21" s="8"/>
      <c r="E21" s="8"/>
      <c r="F21" s="8"/>
      <c r="G21" s="93"/>
      <c r="H21" s="142"/>
      <c r="I21" s="8"/>
      <c r="J21" s="9"/>
      <c r="K21" s="8"/>
      <c r="L21" s="8"/>
      <c r="M21" s="93"/>
      <c r="N21" s="8"/>
      <c r="O21" s="93"/>
      <c r="P21" s="142"/>
      <c r="Q21" s="8"/>
      <c r="R21" s="8"/>
      <c r="S21" s="8"/>
      <c r="T21" s="8"/>
      <c r="U21" s="93"/>
      <c r="V21" s="93"/>
      <c r="W21" s="8"/>
      <c r="X21" s="8"/>
      <c r="Y21" s="112"/>
      <c r="Z21" s="8"/>
      <c r="AA21" s="8"/>
      <c r="AB21" s="8"/>
      <c r="AC21" s="8"/>
      <c r="AD21" s="142"/>
      <c r="AE21" s="8"/>
      <c r="AF21" s="8"/>
      <c r="AG21" s="8"/>
      <c r="AH21" s="93"/>
      <c r="AI21" s="142"/>
      <c r="AJ21" s="8"/>
      <c r="AK21" s="8"/>
      <c r="AL21" s="8"/>
      <c r="AM21" s="93"/>
      <c r="AN21" s="142"/>
      <c r="AO21" s="8"/>
      <c r="AP21" s="8"/>
      <c r="AQ21" s="8"/>
      <c r="AR21" s="93"/>
      <c r="AS21" s="142"/>
      <c r="AT21" s="8"/>
      <c r="AU21" s="8"/>
      <c r="AV21" s="8"/>
      <c r="AW21" s="8"/>
      <c r="AX21" s="142"/>
      <c r="AY21" s="8"/>
      <c r="AZ21" s="8"/>
      <c r="BA21" s="8"/>
      <c r="BB21" s="8"/>
      <c r="BC21" s="8"/>
      <c r="BD21" s="8"/>
      <c r="BE21" s="8"/>
      <c r="BF21" s="8"/>
      <c r="BG21" s="8"/>
      <c r="BH21" s="8"/>
      <c r="BI21" s="8"/>
      <c r="BJ21" s="8"/>
      <c r="BK21" s="8"/>
      <c r="BL21" s="8"/>
      <c r="BM21" s="8"/>
      <c r="BN21" s="8"/>
      <c r="BO21" s="8"/>
      <c r="BP21" s="8"/>
      <c r="BQ21" s="8"/>
      <c r="BR21" s="8"/>
      <c r="BS21" s="8"/>
      <c r="BT21" s="8"/>
      <c r="BU21" s="93"/>
      <c r="DD21" s="120"/>
      <c r="DE21" s="120"/>
    </row>
    <row r="22" spans="1:109" ht="15.6" customHeight="1" x14ac:dyDescent="0.55000000000000004">
      <c r="A22" s="7"/>
      <c r="B22" s="8"/>
      <c r="C22" s="8"/>
      <c r="D22" s="8"/>
      <c r="E22" s="8"/>
      <c r="F22" s="8"/>
      <c r="G22" s="93"/>
      <c r="H22" s="142"/>
      <c r="I22" s="8"/>
      <c r="J22" s="9"/>
      <c r="K22" s="8"/>
      <c r="L22" s="8"/>
      <c r="M22" s="93"/>
      <c r="N22" s="8"/>
      <c r="O22" s="93"/>
      <c r="P22" s="142"/>
      <c r="Q22" s="8"/>
      <c r="R22" s="8"/>
      <c r="S22" s="8"/>
      <c r="T22" s="8"/>
      <c r="U22" s="93"/>
      <c r="V22" s="93"/>
      <c r="W22" s="8"/>
      <c r="X22" s="8"/>
      <c r="Y22" s="112"/>
      <c r="Z22" s="8"/>
      <c r="AA22" s="8"/>
      <c r="AB22" s="8"/>
      <c r="AC22" s="8"/>
      <c r="AD22" s="142"/>
      <c r="AE22" s="8"/>
      <c r="AF22" s="8"/>
      <c r="AG22" s="8"/>
      <c r="AH22" s="93"/>
      <c r="AI22" s="142"/>
      <c r="AJ22" s="8"/>
      <c r="AK22" s="8"/>
      <c r="AL22" s="8"/>
      <c r="AM22" s="93"/>
      <c r="AN22" s="142"/>
      <c r="AO22" s="8"/>
      <c r="AP22" s="8"/>
      <c r="AQ22" s="8"/>
      <c r="AR22" s="93"/>
      <c r="AS22" s="142"/>
      <c r="AT22" s="8"/>
      <c r="AU22" s="8"/>
      <c r="AV22" s="8"/>
      <c r="AW22" s="8"/>
      <c r="AX22" s="142"/>
      <c r="AY22" s="8"/>
      <c r="AZ22" s="8"/>
      <c r="BA22" s="8"/>
      <c r="BB22" s="8"/>
      <c r="BC22" s="8"/>
      <c r="BD22" s="8"/>
      <c r="BE22" s="8"/>
      <c r="BF22" s="8"/>
      <c r="BG22" s="8"/>
      <c r="BH22" s="8"/>
      <c r="BI22" s="8"/>
      <c r="BJ22" s="8"/>
      <c r="BK22" s="8"/>
      <c r="BL22" s="8"/>
      <c r="BM22" s="8"/>
      <c r="BN22" s="8"/>
      <c r="BO22" s="8"/>
      <c r="BP22" s="8"/>
      <c r="BQ22" s="8"/>
      <c r="BR22" s="8"/>
      <c r="BS22" s="8"/>
      <c r="BT22" s="8"/>
      <c r="BU22" s="93"/>
      <c r="DD22" s="120"/>
      <c r="DE22" s="120"/>
    </row>
    <row r="23" spans="1:109" ht="15.6" customHeight="1" x14ac:dyDescent="0.55000000000000004">
      <c r="A23" s="7"/>
      <c r="B23" s="8"/>
      <c r="C23" s="8"/>
      <c r="D23" s="8"/>
      <c r="E23" s="8"/>
      <c r="F23" s="8"/>
      <c r="G23" s="93"/>
      <c r="H23" s="142"/>
      <c r="I23" s="8"/>
      <c r="J23" s="9"/>
      <c r="K23" s="8"/>
      <c r="L23" s="8"/>
      <c r="M23" s="93"/>
      <c r="N23" s="8"/>
      <c r="O23" s="93"/>
      <c r="P23" s="142"/>
      <c r="Q23" s="8"/>
      <c r="R23" s="8"/>
      <c r="S23" s="8"/>
      <c r="T23" s="8"/>
      <c r="U23" s="93"/>
      <c r="V23" s="93"/>
      <c r="W23" s="8"/>
      <c r="X23" s="8"/>
      <c r="Y23" s="112"/>
      <c r="Z23" s="8"/>
      <c r="AA23" s="8"/>
      <c r="AB23" s="8"/>
      <c r="AC23" s="8"/>
      <c r="AD23" s="142"/>
      <c r="AE23" s="8"/>
      <c r="AF23" s="8"/>
      <c r="AG23" s="8"/>
      <c r="AH23" s="93"/>
      <c r="AI23" s="142"/>
      <c r="AJ23" s="8"/>
      <c r="AK23" s="8"/>
      <c r="AL23" s="8"/>
      <c r="AM23" s="93"/>
      <c r="AN23" s="142"/>
      <c r="AO23" s="8"/>
      <c r="AP23" s="8"/>
      <c r="AQ23" s="8"/>
      <c r="AR23" s="93"/>
      <c r="AS23" s="142"/>
      <c r="AT23" s="8"/>
      <c r="AU23" s="8"/>
      <c r="AV23" s="8"/>
      <c r="AW23" s="8"/>
      <c r="AX23" s="142"/>
      <c r="AY23" s="8"/>
      <c r="AZ23" s="8"/>
      <c r="BA23" s="8"/>
      <c r="BB23" s="8"/>
      <c r="BC23" s="8"/>
      <c r="BD23" s="8"/>
      <c r="BE23" s="8"/>
      <c r="BF23" s="8"/>
      <c r="BG23" s="8"/>
      <c r="BH23" s="8"/>
      <c r="BI23" s="8"/>
      <c r="BJ23" s="8"/>
      <c r="BK23" s="8"/>
      <c r="BL23" s="8"/>
      <c r="BM23" s="8"/>
      <c r="BN23" s="8"/>
      <c r="BO23" s="8"/>
      <c r="BP23" s="8"/>
      <c r="BQ23" s="8"/>
      <c r="BR23" s="8"/>
      <c r="BS23" s="8"/>
      <c r="BT23" s="8"/>
      <c r="BU23" s="93"/>
      <c r="DD23" s="120"/>
      <c r="DE23" s="120"/>
    </row>
    <row r="24" spans="1:109" ht="15.6" customHeight="1" x14ac:dyDescent="0.55000000000000004">
      <c r="A24" s="7"/>
      <c r="B24" s="8"/>
      <c r="C24" s="8"/>
      <c r="D24" s="8"/>
      <c r="E24" s="8"/>
      <c r="F24" s="8"/>
      <c r="G24" s="93"/>
      <c r="H24" s="142"/>
      <c r="I24" s="8"/>
      <c r="J24" s="9"/>
      <c r="K24" s="8"/>
      <c r="L24" s="8"/>
      <c r="M24" s="93"/>
      <c r="N24" s="8"/>
      <c r="O24" s="93"/>
      <c r="P24" s="142"/>
      <c r="Q24" s="8"/>
      <c r="R24" s="8"/>
      <c r="S24" s="8"/>
      <c r="T24" s="8"/>
      <c r="U24" s="93"/>
      <c r="V24" s="93"/>
      <c r="W24" s="8"/>
      <c r="X24" s="8"/>
      <c r="Y24" s="112"/>
      <c r="Z24" s="8"/>
      <c r="AA24" s="8"/>
      <c r="AB24" s="8"/>
      <c r="AC24" s="8"/>
      <c r="AD24" s="142"/>
      <c r="AE24" s="8"/>
      <c r="AF24" s="8"/>
      <c r="AG24" s="8"/>
      <c r="AH24" s="93"/>
      <c r="AI24" s="142"/>
      <c r="AJ24" s="8"/>
      <c r="AK24" s="8"/>
      <c r="AL24" s="8"/>
      <c r="AM24" s="93"/>
      <c r="AN24" s="142"/>
      <c r="AO24" s="8"/>
      <c r="AP24" s="8"/>
      <c r="AQ24" s="8"/>
      <c r="AR24" s="93"/>
      <c r="AS24" s="142"/>
      <c r="AT24" s="8"/>
      <c r="AU24" s="8"/>
      <c r="AV24" s="8"/>
      <c r="AW24" s="8"/>
      <c r="AX24" s="142"/>
      <c r="AY24" s="8"/>
      <c r="AZ24" s="8"/>
      <c r="BA24" s="8"/>
      <c r="BB24" s="8"/>
      <c r="BC24" s="8"/>
      <c r="BD24" s="8"/>
      <c r="BE24" s="8"/>
      <c r="BF24" s="8"/>
      <c r="BG24" s="8"/>
      <c r="BH24" s="8"/>
      <c r="BI24" s="8"/>
      <c r="BJ24" s="8"/>
      <c r="BK24" s="8"/>
      <c r="BL24" s="8"/>
      <c r="BM24" s="8"/>
      <c r="BN24" s="8"/>
      <c r="BO24" s="8"/>
      <c r="BP24" s="8"/>
      <c r="BQ24" s="8"/>
      <c r="BR24" s="8"/>
      <c r="BS24" s="8"/>
      <c r="BT24" s="8"/>
      <c r="BU24" s="93"/>
      <c r="DD24" s="120"/>
      <c r="DE24" s="120"/>
    </row>
    <row r="25" spans="1:109" ht="15.6" customHeight="1" x14ac:dyDescent="0.55000000000000004">
      <c r="A25" s="7"/>
      <c r="B25" s="8"/>
      <c r="C25" s="8"/>
      <c r="D25" s="8"/>
      <c r="E25" s="8"/>
      <c r="F25" s="8"/>
      <c r="G25" s="93"/>
      <c r="H25" s="142"/>
      <c r="I25" s="8"/>
      <c r="J25" s="9"/>
      <c r="K25" s="8"/>
      <c r="L25" s="8"/>
      <c r="M25" s="93"/>
      <c r="N25" s="8"/>
      <c r="O25" s="93"/>
      <c r="P25" s="142"/>
      <c r="Q25" s="8"/>
      <c r="R25" s="8"/>
      <c r="S25" s="8"/>
      <c r="T25" s="8"/>
      <c r="U25" s="93"/>
      <c r="V25" s="93"/>
      <c r="W25" s="8"/>
      <c r="X25" s="8"/>
      <c r="Y25" s="112"/>
      <c r="Z25" s="8"/>
      <c r="AA25" s="8"/>
      <c r="AB25" s="8"/>
      <c r="AC25" s="8"/>
      <c r="AD25" s="142"/>
      <c r="AE25" s="8"/>
      <c r="AF25" s="8"/>
      <c r="AG25" s="8"/>
      <c r="AH25" s="93"/>
      <c r="AI25" s="142"/>
      <c r="AJ25" s="8"/>
      <c r="AK25" s="8"/>
      <c r="AL25" s="8"/>
      <c r="AM25" s="93"/>
      <c r="AN25" s="142"/>
      <c r="AO25" s="8"/>
      <c r="AP25" s="8"/>
      <c r="AQ25" s="8"/>
      <c r="AR25" s="93"/>
      <c r="AS25" s="142"/>
      <c r="AT25" s="8"/>
      <c r="AU25" s="8"/>
      <c r="AV25" s="8"/>
      <c r="AW25" s="8"/>
      <c r="AX25" s="142"/>
      <c r="AY25" s="8"/>
      <c r="AZ25" s="8"/>
      <c r="BA25" s="8"/>
      <c r="BB25" s="8"/>
      <c r="BC25" s="8"/>
      <c r="BD25" s="8"/>
      <c r="BE25" s="8"/>
      <c r="BF25" s="8"/>
      <c r="BG25" s="8"/>
      <c r="BH25" s="8"/>
      <c r="BI25" s="8"/>
      <c r="BJ25" s="8"/>
      <c r="BK25" s="8"/>
      <c r="BL25" s="8"/>
      <c r="BM25" s="8"/>
      <c r="BN25" s="8"/>
      <c r="BO25" s="8"/>
      <c r="BP25" s="8"/>
      <c r="BQ25" s="8"/>
      <c r="BR25" s="8"/>
      <c r="BS25" s="8"/>
      <c r="BT25" s="8"/>
      <c r="BU25" s="93"/>
      <c r="DD25" s="120"/>
      <c r="DE25" s="120"/>
    </row>
    <row r="26" spans="1:109" ht="15.6" customHeight="1" x14ac:dyDescent="0.55000000000000004">
      <c r="A26" s="7"/>
      <c r="B26" s="8"/>
      <c r="C26" s="8"/>
      <c r="D26" s="8"/>
      <c r="E26" s="8"/>
      <c r="F26" s="8"/>
      <c r="G26" s="93"/>
      <c r="H26" s="142"/>
      <c r="I26" s="8"/>
      <c r="J26" s="9"/>
      <c r="K26" s="8"/>
      <c r="L26" s="8"/>
      <c r="M26" s="93"/>
      <c r="N26" s="8"/>
      <c r="O26" s="93"/>
      <c r="P26" s="142"/>
      <c r="Q26" s="8"/>
      <c r="R26" s="8"/>
      <c r="S26" s="8"/>
      <c r="T26" s="8"/>
      <c r="U26" s="93"/>
      <c r="V26" s="93"/>
      <c r="W26" s="8"/>
      <c r="X26" s="8"/>
      <c r="Y26" s="112"/>
      <c r="Z26" s="8"/>
      <c r="AA26" s="8"/>
      <c r="AB26" s="8"/>
      <c r="AC26" s="8"/>
      <c r="AD26" s="142"/>
      <c r="AE26" s="8"/>
      <c r="AF26" s="8"/>
      <c r="AG26" s="8"/>
      <c r="AH26" s="93"/>
      <c r="AI26" s="142"/>
      <c r="AJ26" s="8"/>
      <c r="AK26" s="8"/>
      <c r="AL26" s="8"/>
      <c r="AM26" s="93"/>
      <c r="AN26" s="142"/>
      <c r="AO26" s="8"/>
      <c r="AP26" s="8"/>
      <c r="AQ26" s="8"/>
      <c r="AR26" s="93"/>
      <c r="AS26" s="142"/>
      <c r="AT26" s="8"/>
      <c r="AU26" s="8"/>
      <c r="AV26" s="8"/>
      <c r="AW26" s="8"/>
      <c r="AX26" s="142"/>
      <c r="AY26" s="8"/>
      <c r="AZ26" s="8"/>
      <c r="BA26" s="8"/>
      <c r="BB26" s="8"/>
      <c r="BC26" s="8"/>
      <c r="BD26" s="8"/>
      <c r="BE26" s="8"/>
      <c r="BF26" s="8"/>
      <c r="BG26" s="8"/>
      <c r="BH26" s="8"/>
      <c r="BI26" s="8"/>
      <c r="BJ26" s="8"/>
      <c r="BK26" s="8"/>
      <c r="BL26" s="8"/>
      <c r="BM26" s="8"/>
      <c r="BN26" s="8"/>
      <c r="BO26" s="8"/>
      <c r="BP26" s="8"/>
      <c r="BQ26" s="8"/>
      <c r="BR26" s="8"/>
      <c r="BS26" s="8"/>
      <c r="BT26" s="8"/>
      <c r="BU26" s="93"/>
    </row>
    <row r="27" spans="1:109" ht="15.6" customHeight="1" x14ac:dyDescent="0.55000000000000004">
      <c r="A27" s="7"/>
      <c r="B27" s="8"/>
      <c r="C27" s="8"/>
      <c r="D27" s="8"/>
      <c r="E27" s="8"/>
      <c r="F27" s="8"/>
      <c r="G27" s="93"/>
      <c r="H27" s="142"/>
      <c r="I27" s="8"/>
      <c r="J27" s="9"/>
      <c r="K27" s="8"/>
      <c r="L27" s="8"/>
      <c r="M27" s="93"/>
      <c r="N27" s="8"/>
      <c r="O27" s="93"/>
      <c r="P27" s="142"/>
      <c r="Q27" s="8"/>
      <c r="R27" s="8"/>
      <c r="S27" s="8"/>
      <c r="T27" s="8"/>
      <c r="U27" s="93"/>
      <c r="V27" s="93"/>
      <c r="W27" s="8"/>
      <c r="X27" s="8"/>
      <c r="Y27" s="112"/>
      <c r="Z27" s="8"/>
      <c r="AA27" s="8"/>
      <c r="AB27" s="8"/>
      <c r="AC27" s="8"/>
      <c r="AD27" s="142"/>
      <c r="AE27" s="8"/>
      <c r="AF27" s="8"/>
      <c r="AG27" s="8"/>
      <c r="AH27" s="93"/>
      <c r="AI27" s="142"/>
      <c r="AJ27" s="8"/>
      <c r="AK27" s="8"/>
      <c r="AL27" s="8"/>
      <c r="AM27" s="93"/>
      <c r="AN27" s="142"/>
      <c r="AO27" s="8"/>
      <c r="AP27" s="8"/>
      <c r="AQ27" s="8"/>
      <c r="AR27" s="93"/>
      <c r="AS27" s="142"/>
      <c r="AT27" s="8"/>
      <c r="AU27" s="8"/>
      <c r="AV27" s="8"/>
      <c r="AW27" s="8"/>
      <c r="AX27" s="142"/>
      <c r="AY27" s="8"/>
      <c r="AZ27" s="8"/>
      <c r="BA27" s="8"/>
      <c r="BB27" s="8"/>
      <c r="BC27" s="8"/>
      <c r="BD27" s="8"/>
      <c r="BE27" s="8"/>
      <c r="BF27" s="8"/>
      <c r="BG27" s="8"/>
      <c r="BH27" s="8"/>
      <c r="BI27" s="8"/>
      <c r="BJ27" s="8"/>
      <c r="BK27" s="8"/>
      <c r="BL27" s="8"/>
      <c r="BM27" s="8"/>
      <c r="BN27" s="8"/>
      <c r="BO27" s="8"/>
      <c r="BP27" s="8"/>
      <c r="BQ27" s="8"/>
      <c r="BR27" s="8"/>
      <c r="BS27" s="8"/>
      <c r="BT27" s="8"/>
      <c r="BU27" s="93"/>
    </row>
    <row r="28" spans="1:109" ht="15.6" customHeight="1" x14ac:dyDescent="0.55000000000000004">
      <c r="A28" s="7"/>
      <c r="B28" s="8"/>
      <c r="C28" s="8"/>
      <c r="D28" s="8"/>
      <c r="E28" s="8"/>
      <c r="F28" s="8"/>
      <c r="G28" s="93"/>
      <c r="H28" s="142"/>
      <c r="I28" s="8"/>
      <c r="J28" s="9"/>
      <c r="K28" s="8"/>
      <c r="L28" s="8"/>
      <c r="M28" s="93"/>
      <c r="N28" s="8"/>
      <c r="O28" s="93"/>
      <c r="P28" s="142"/>
      <c r="Q28" s="8"/>
      <c r="R28" s="8"/>
      <c r="S28" s="8"/>
      <c r="T28" s="8"/>
      <c r="U28" s="93"/>
      <c r="V28" s="93"/>
      <c r="W28" s="8"/>
      <c r="X28" s="8"/>
      <c r="Y28" s="8"/>
      <c r="Z28" s="8"/>
      <c r="AA28" s="8"/>
      <c r="AB28" s="8"/>
      <c r="AC28" s="8"/>
      <c r="AD28" s="142"/>
      <c r="AE28" s="8"/>
      <c r="AF28" s="8"/>
      <c r="AG28" s="8"/>
      <c r="AH28" s="93"/>
      <c r="AI28" s="142"/>
      <c r="AJ28" s="8"/>
      <c r="AK28" s="8"/>
      <c r="AL28" s="8"/>
      <c r="AM28" s="93"/>
      <c r="AN28" s="142"/>
      <c r="AO28" s="8"/>
      <c r="AP28" s="8"/>
      <c r="AQ28" s="8"/>
      <c r="AR28" s="93"/>
      <c r="AS28" s="142"/>
      <c r="AT28" s="8"/>
      <c r="AU28" s="8"/>
      <c r="AV28" s="8"/>
      <c r="AW28" s="8"/>
      <c r="AX28" s="142"/>
      <c r="AY28" s="8"/>
      <c r="AZ28" s="8"/>
      <c r="BA28" s="8"/>
      <c r="BB28" s="8"/>
      <c r="BC28" s="8"/>
      <c r="BD28" s="8"/>
      <c r="BE28" s="8"/>
      <c r="BF28" s="8"/>
      <c r="BG28" s="8"/>
      <c r="BH28" s="8"/>
      <c r="BI28" s="8"/>
      <c r="BJ28" s="8"/>
      <c r="BK28" s="8"/>
      <c r="BL28" s="8"/>
      <c r="BM28" s="8"/>
      <c r="BN28" s="8"/>
      <c r="BO28" s="8"/>
      <c r="BP28" s="8"/>
      <c r="BQ28" s="8"/>
      <c r="BR28" s="8"/>
      <c r="BS28" s="8"/>
      <c r="BT28" s="8"/>
      <c r="BU28" s="93"/>
    </row>
    <row r="29" spans="1:109" ht="15.6" customHeight="1" x14ac:dyDescent="0.55000000000000004">
      <c r="A29" s="7"/>
      <c r="B29" s="8"/>
      <c r="C29" s="8"/>
      <c r="D29" s="8"/>
      <c r="E29" s="8"/>
      <c r="F29" s="8"/>
      <c r="G29" s="93"/>
      <c r="H29" s="142"/>
      <c r="I29" s="8"/>
      <c r="J29" s="9"/>
      <c r="K29" s="8"/>
      <c r="L29" s="8"/>
      <c r="M29" s="93"/>
      <c r="N29" s="8"/>
      <c r="O29" s="93"/>
      <c r="P29" s="142"/>
      <c r="Q29" s="8"/>
      <c r="R29" s="8"/>
      <c r="S29" s="8"/>
      <c r="T29" s="8"/>
      <c r="U29" s="93"/>
      <c r="V29" s="93"/>
      <c r="W29" s="8"/>
      <c r="X29" s="8"/>
      <c r="Y29" s="8"/>
      <c r="Z29" s="8"/>
      <c r="AA29" s="8"/>
      <c r="AB29" s="8"/>
      <c r="AC29" s="8"/>
      <c r="AD29" s="142"/>
      <c r="AE29" s="8"/>
      <c r="AF29" s="8"/>
      <c r="AG29" s="8"/>
      <c r="AH29" s="93"/>
      <c r="AI29" s="142"/>
      <c r="AJ29" s="8"/>
      <c r="AK29" s="8"/>
      <c r="AL29" s="8"/>
      <c r="AM29" s="93"/>
      <c r="AN29" s="142"/>
      <c r="AO29" s="8"/>
      <c r="AP29" s="8"/>
      <c r="AQ29" s="8"/>
      <c r="AR29" s="93"/>
      <c r="AS29" s="142"/>
      <c r="AT29" s="8"/>
      <c r="AU29" s="8"/>
      <c r="AV29" s="8"/>
      <c r="AW29" s="8"/>
      <c r="AX29" s="142"/>
      <c r="AY29" s="8"/>
      <c r="AZ29" s="8"/>
      <c r="BA29" s="8"/>
      <c r="BB29" s="8"/>
      <c r="BC29" s="8"/>
      <c r="BD29" s="8"/>
      <c r="BE29" s="8"/>
      <c r="BF29" s="8"/>
      <c r="BG29" s="8"/>
      <c r="BH29" s="8"/>
      <c r="BI29" s="8"/>
      <c r="BJ29" s="8"/>
      <c r="BK29" s="8"/>
      <c r="BL29" s="8"/>
      <c r="BM29" s="8"/>
      <c r="BN29" s="8"/>
      <c r="BO29" s="8"/>
      <c r="BP29" s="8"/>
      <c r="BQ29" s="8"/>
      <c r="BR29" s="8"/>
      <c r="BS29" s="8"/>
      <c r="BT29" s="8"/>
      <c r="BU29" s="93"/>
    </row>
    <row r="30" spans="1:109" ht="15.6" customHeight="1" x14ac:dyDescent="0.55000000000000004">
      <c r="A30" s="7"/>
      <c r="B30" s="8"/>
      <c r="C30" s="8"/>
      <c r="D30" s="8"/>
      <c r="E30" s="8"/>
      <c r="F30" s="8"/>
      <c r="G30" s="93"/>
      <c r="H30" s="142"/>
      <c r="I30" s="8"/>
      <c r="J30" s="9"/>
      <c r="K30" s="8"/>
      <c r="L30" s="8"/>
      <c r="M30" s="93"/>
      <c r="N30" s="8"/>
      <c r="O30" s="93"/>
      <c r="P30" s="142"/>
      <c r="Q30" s="8"/>
      <c r="R30" s="8"/>
      <c r="S30" s="8"/>
      <c r="T30" s="8"/>
      <c r="U30" s="93"/>
      <c r="V30" s="93"/>
      <c r="W30" s="8"/>
      <c r="X30" s="8"/>
      <c r="Y30" s="8"/>
      <c r="Z30" s="8"/>
      <c r="AA30" s="8"/>
      <c r="AB30" s="8"/>
      <c r="AC30" s="8"/>
      <c r="AD30" s="142"/>
      <c r="AE30" s="8"/>
      <c r="AF30" s="8"/>
      <c r="AG30" s="8"/>
      <c r="AH30" s="93"/>
      <c r="AI30" s="142"/>
      <c r="AJ30" s="8"/>
      <c r="AK30" s="8"/>
      <c r="AL30" s="8"/>
      <c r="AM30" s="93"/>
      <c r="AN30" s="142"/>
      <c r="AO30" s="8"/>
      <c r="AP30" s="8"/>
      <c r="AQ30" s="8"/>
      <c r="AR30" s="93"/>
      <c r="AS30" s="142"/>
      <c r="AT30" s="8"/>
      <c r="AU30" s="8"/>
      <c r="AV30" s="8"/>
      <c r="AW30" s="8"/>
      <c r="AX30" s="142"/>
      <c r="AY30" s="8"/>
      <c r="AZ30" s="8"/>
      <c r="BA30" s="8"/>
      <c r="BB30" s="8"/>
      <c r="BC30" s="8"/>
      <c r="BD30" s="8"/>
      <c r="BE30" s="8"/>
      <c r="BF30" s="8"/>
      <c r="BG30" s="8"/>
      <c r="BH30" s="8"/>
      <c r="BI30" s="8"/>
      <c r="BJ30" s="8"/>
      <c r="BK30" s="8"/>
      <c r="BL30" s="8"/>
      <c r="BM30" s="8"/>
      <c r="BN30" s="8"/>
      <c r="BO30" s="8"/>
      <c r="BP30" s="8"/>
      <c r="BQ30" s="8"/>
      <c r="BR30" s="8"/>
      <c r="BS30" s="8"/>
      <c r="BT30" s="8"/>
      <c r="BU30" s="93"/>
    </row>
    <row r="31" spans="1:109" ht="15.6" customHeight="1" x14ac:dyDescent="0.55000000000000004">
      <c r="A31" s="7"/>
      <c r="B31" s="8"/>
      <c r="C31" s="8"/>
      <c r="D31" s="8"/>
      <c r="E31" s="8"/>
      <c r="F31" s="8"/>
      <c r="G31" s="93"/>
      <c r="H31" s="142"/>
      <c r="I31" s="8"/>
      <c r="J31" s="9"/>
      <c r="K31" s="8"/>
      <c r="L31" s="8"/>
      <c r="M31" s="93"/>
      <c r="N31" s="8"/>
      <c r="O31" s="93"/>
      <c r="P31" s="142"/>
      <c r="Q31" s="8"/>
      <c r="R31" s="8"/>
      <c r="S31" s="8"/>
      <c r="T31" s="8"/>
      <c r="U31" s="93"/>
      <c r="V31" s="93"/>
      <c r="W31" s="8"/>
      <c r="X31" s="8"/>
      <c r="Y31" s="8"/>
      <c r="Z31" s="8"/>
      <c r="AA31" s="8"/>
      <c r="AB31" s="8"/>
      <c r="AC31" s="8"/>
      <c r="AD31" s="142"/>
      <c r="AE31" s="8"/>
      <c r="AF31" s="8"/>
      <c r="AG31" s="8"/>
      <c r="AH31" s="93"/>
      <c r="AI31" s="142"/>
      <c r="AJ31" s="8"/>
      <c r="AK31" s="8"/>
      <c r="AL31" s="8"/>
      <c r="AM31" s="93"/>
      <c r="AN31" s="142"/>
      <c r="AO31" s="8"/>
      <c r="AP31" s="8"/>
      <c r="AQ31" s="8"/>
      <c r="AR31" s="93"/>
      <c r="AS31" s="142"/>
      <c r="AT31" s="8"/>
      <c r="AU31" s="8"/>
      <c r="AV31" s="8"/>
      <c r="AW31" s="8"/>
      <c r="AX31" s="142"/>
      <c r="AY31" s="8"/>
      <c r="AZ31" s="8"/>
      <c r="BA31" s="8"/>
      <c r="BB31" s="8"/>
      <c r="BC31" s="8"/>
      <c r="BD31" s="8"/>
      <c r="BE31" s="8"/>
      <c r="BF31" s="8"/>
      <c r="BG31" s="8"/>
      <c r="BH31" s="8"/>
      <c r="BI31" s="8"/>
      <c r="BJ31" s="8"/>
      <c r="BK31" s="8"/>
      <c r="BL31" s="8"/>
      <c r="BM31" s="8"/>
      <c r="BN31" s="8"/>
      <c r="BO31" s="8"/>
      <c r="BP31" s="8"/>
      <c r="BQ31" s="8"/>
      <c r="BR31" s="8"/>
      <c r="BS31" s="8"/>
      <c r="BT31" s="8"/>
      <c r="BU31" s="93"/>
    </row>
    <row r="32" spans="1:109" ht="15.6" customHeight="1" x14ac:dyDescent="0.55000000000000004">
      <c r="A32" s="7"/>
      <c r="B32" s="8"/>
      <c r="C32" s="8"/>
      <c r="D32" s="8"/>
      <c r="E32" s="8"/>
      <c r="F32" s="8"/>
      <c r="G32" s="93"/>
      <c r="H32" s="142"/>
      <c r="I32" s="8"/>
      <c r="J32" s="9"/>
      <c r="K32" s="8"/>
      <c r="L32" s="8"/>
      <c r="M32" s="93"/>
      <c r="N32" s="8"/>
      <c r="O32" s="93"/>
      <c r="P32" s="142"/>
      <c r="Q32" s="8"/>
      <c r="R32" s="8"/>
      <c r="S32" s="8"/>
      <c r="T32" s="8"/>
      <c r="U32" s="93"/>
      <c r="V32" s="93"/>
      <c r="W32" s="8"/>
      <c r="X32" s="8"/>
      <c r="Y32" s="8"/>
      <c r="Z32" s="8"/>
      <c r="AA32" s="8"/>
      <c r="AB32" s="8"/>
      <c r="AC32" s="8"/>
      <c r="AD32" s="142"/>
      <c r="AE32" s="8"/>
      <c r="AF32" s="8"/>
      <c r="AG32" s="8"/>
      <c r="AH32" s="93"/>
      <c r="AI32" s="142"/>
      <c r="AJ32" s="8"/>
      <c r="AK32" s="8"/>
      <c r="AL32" s="8"/>
      <c r="AM32" s="93"/>
      <c r="AN32" s="142"/>
      <c r="AO32" s="8"/>
      <c r="AP32" s="8"/>
      <c r="AQ32" s="8"/>
      <c r="AR32" s="93"/>
      <c r="AS32" s="142"/>
      <c r="AT32" s="8"/>
      <c r="AU32" s="8"/>
      <c r="AV32" s="8"/>
      <c r="AW32" s="8"/>
      <c r="AX32" s="142"/>
      <c r="AY32" s="8"/>
      <c r="AZ32" s="8"/>
      <c r="BA32" s="8"/>
      <c r="BB32" s="8"/>
      <c r="BC32" s="8"/>
      <c r="BD32" s="8"/>
      <c r="BE32" s="8"/>
      <c r="BF32" s="8"/>
      <c r="BG32" s="8"/>
      <c r="BH32" s="8"/>
      <c r="BI32" s="8"/>
      <c r="BJ32" s="8"/>
      <c r="BK32" s="8"/>
      <c r="BL32" s="8"/>
      <c r="BM32" s="8"/>
      <c r="BN32" s="8"/>
      <c r="BO32" s="8"/>
      <c r="BP32" s="8"/>
      <c r="BQ32" s="8"/>
      <c r="BR32" s="8"/>
      <c r="BS32" s="8"/>
      <c r="BT32" s="8"/>
      <c r="BU32" s="93"/>
    </row>
    <row r="33" spans="1:73" ht="15.6" customHeight="1" x14ac:dyDescent="0.55000000000000004">
      <c r="A33" s="7"/>
      <c r="B33" s="8"/>
      <c r="C33" s="8"/>
      <c r="D33" s="8"/>
      <c r="E33" s="8"/>
      <c r="F33" s="8"/>
      <c r="G33" s="93"/>
      <c r="H33" s="142"/>
      <c r="I33" s="8"/>
      <c r="J33" s="9"/>
      <c r="K33" s="8"/>
      <c r="L33" s="8"/>
      <c r="M33" s="93"/>
      <c r="N33" s="8"/>
      <c r="O33" s="93"/>
      <c r="P33" s="142"/>
      <c r="Q33" s="8"/>
      <c r="R33" s="8"/>
      <c r="S33" s="8"/>
      <c r="T33" s="8"/>
      <c r="U33" s="93"/>
      <c r="V33" s="93"/>
      <c r="W33" s="8"/>
      <c r="X33" s="8"/>
      <c r="Y33" s="8"/>
      <c r="Z33" s="8"/>
      <c r="AA33" s="8"/>
      <c r="AB33" s="8"/>
      <c r="AC33" s="8"/>
      <c r="AD33" s="142"/>
      <c r="AE33" s="8"/>
      <c r="AF33" s="8"/>
      <c r="AG33" s="8"/>
      <c r="AH33" s="93"/>
      <c r="AI33" s="142"/>
      <c r="AJ33" s="8"/>
      <c r="AK33" s="8"/>
      <c r="AL33" s="8"/>
      <c r="AM33" s="93"/>
      <c r="AN33" s="142"/>
      <c r="AO33" s="8"/>
      <c r="AP33" s="8"/>
      <c r="AQ33" s="8"/>
      <c r="AR33" s="93"/>
      <c r="AS33" s="142"/>
      <c r="AT33" s="8"/>
      <c r="AU33" s="8"/>
      <c r="AV33" s="8"/>
      <c r="AW33" s="8"/>
      <c r="AX33" s="142"/>
      <c r="AY33" s="8"/>
      <c r="AZ33" s="8"/>
      <c r="BA33" s="8"/>
      <c r="BB33" s="8"/>
      <c r="BC33" s="8"/>
      <c r="BD33" s="8"/>
      <c r="BE33" s="8"/>
      <c r="BF33" s="8"/>
      <c r="BG33" s="8"/>
      <c r="BH33" s="8"/>
      <c r="BI33" s="8"/>
      <c r="BJ33" s="8"/>
      <c r="BK33" s="8"/>
      <c r="BL33" s="8"/>
      <c r="BM33" s="8"/>
      <c r="BN33" s="8"/>
      <c r="BO33" s="8"/>
      <c r="BP33" s="8"/>
      <c r="BQ33" s="8"/>
      <c r="BR33" s="8"/>
      <c r="BS33" s="8"/>
      <c r="BT33" s="8"/>
      <c r="BU33" s="93"/>
    </row>
    <row r="34" spans="1:73" ht="15.6" customHeight="1" x14ac:dyDescent="0.55000000000000004">
      <c r="A34" s="7"/>
      <c r="B34" s="8"/>
      <c r="C34" s="8"/>
      <c r="D34" s="8"/>
      <c r="E34" s="8"/>
      <c r="F34" s="8"/>
      <c r="G34" s="93"/>
      <c r="H34" s="142"/>
      <c r="I34" s="8"/>
      <c r="J34" s="9"/>
      <c r="K34" s="8"/>
      <c r="L34" s="8"/>
      <c r="M34" s="93"/>
      <c r="N34" s="8"/>
      <c r="O34" s="93"/>
      <c r="P34" s="142"/>
      <c r="Q34" s="8"/>
      <c r="R34" s="8"/>
      <c r="S34" s="8"/>
      <c r="T34" s="8"/>
      <c r="U34" s="93"/>
      <c r="V34" s="93"/>
      <c r="W34" s="8"/>
      <c r="X34" s="8"/>
      <c r="Y34" s="8"/>
      <c r="Z34" s="8"/>
      <c r="AA34" s="8"/>
      <c r="AB34" s="8"/>
      <c r="AC34" s="8"/>
      <c r="AD34" s="142"/>
      <c r="AE34" s="8"/>
      <c r="AF34" s="8"/>
      <c r="AG34" s="8"/>
      <c r="AH34" s="93"/>
      <c r="AI34" s="142"/>
      <c r="AJ34" s="8"/>
      <c r="AK34" s="8"/>
      <c r="AL34" s="8"/>
      <c r="AM34" s="93"/>
      <c r="AN34" s="142"/>
      <c r="AO34" s="8"/>
      <c r="AP34" s="8"/>
      <c r="AQ34" s="8"/>
      <c r="AR34" s="93"/>
      <c r="AS34" s="142"/>
      <c r="AT34" s="8"/>
      <c r="AU34" s="8"/>
      <c r="AV34" s="8"/>
      <c r="AW34" s="8"/>
      <c r="AX34" s="142"/>
      <c r="AY34" s="8"/>
      <c r="AZ34" s="8"/>
      <c r="BA34" s="8"/>
      <c r="BB34" s="8"/>
      <c r="BC34" s="8"/>
      <c r="BD34" s="8"/>
      <c r="BE34" s="8"/>
      <c r="BF34" s="8"/>
      <c r="BG34" s="8"/>
      <c r="BH34" s="8"/>
      <c r="BI34" s="8"/>
      <c r="BJ34" s="8"/>
      <c r="BK34" s="8"/>
      <c r="BL34" s="8"/>
      <c r="BM34" s="8"/>
      <c r="BN34" s="8"/>
      <c r="BO34" s="8"/>
      <c r="BP34" s="8"/>
      <c r="BQ34" s="8"/>
      <c r="BR34" s="8"/>
      <c r="BS34" s="8"/>
      <c r="BT34" s="8"/>
      <c r="BU34" s="93"/>
    </row>
    <row r="35" spans="1:73" ht="15.6" customHeight="1" x14ac:dyDescent="0.55000000000000004">
      <c r="A35" s="7"/>
      <c r="B35" s="8"/>
      <c r="C35" s="8"/>
      <c r="D35" s="8"/>
      <c r="E35" s="8"/>
      <c r="F35" s="8"/>
      <c r="G35" s="93"/>
      <c r="H35" s="142"/>
      <c r="I35" s="8"/>
      <c r="J35" s="9"/>
      <c r="K35" s="8"/>
      <c r="L35" s="8"/>
      <c r="M35" s="93"/>
      <c r="N35" s="8"/>
      <c r="O35" s="93"/>
      <c r="P35" s="142"/>
      <c r="Q35" s="8"/>
      <c r="R35" s="8"/>
      <c r="S35" s="8"/>
      <c r="T35" s="8"/>
      <c r="U35" s="93"/>
      <c r="V35" s="93"/>
      <c r="W35" s="8"/>
      <c r="X35" s="8"/>
      <c r="Y35" s="8"/>
      <c r="Z35" s="8"/>
      <c r="AA35" s="8"/>
      <c r="AB35" s="8"/>
      <c r="AC35" s="8"/>
      <c r="AD35" s="142"/>
      <c r="AE35" s="8"/>
      <c r="AF35" s="8"/>
      <c r="AG35" s="8"/>
      <c r="AH35" s="93"/>
      <c r="AI35" s="142"/>
      <c r="AJ35" s="8"/>
      <c r="AK35" s="8"/>
      <c r="AL35" s="8"/>
      <c r="AM35" s="93"/>
      <c r="AN35" s="142"/>
      <c r="AO35" s="8"/>
      <c r="AP35" s="8"/>
      <c r="AQ35" s="8"/>
      <c r="AR35" s="93"/>
      <c r="AS35" s="142"/>
      <c r="AT35" s="8"/>
      <c r="AU35" s="8"/>
      <c r="AV35" s="8"/>
      <c r="AW35" s="8"/>
      <c r="AX35" s="142"/>
      <c r="AY35" s="8"/>
      <c r="AZ35" s="8"/>
      <c r="BA35" s="8"/>
      <c r="BB35" s="8"/>
      <c r="BC35" s="8"/>
      <c r="BD35" s="8"/>
      <c r="BE35" s="8"/>
      <c r="BF35" s="8"/>
      <c r="BG35" s="8"/>
      <c r="BH35" s="8"/>
      <c r="BI35" s="8"/>
      <c r="BJ35" s="8"/>
      <c r="BK35" s="8"/>
      <c r="BL35" s="8"/>
      <c r="BM35" s="8"/>
      <c r="BN35" s="8"/>
      <c r="BO35" s="8"/>
      <c r="BP35" s="8"/>
      <c r="BQ35" s="8"/>
      <c r="BR35" s="8"/>
      <c r="BS35" s="8"/>
      <c r="BT35" s="8"/>
      <c r="BU35" s="93"/>
    </row>
    <row r="36" spans="1:73" ht="15.6" customHeight="1" x14ac:dyDescent="0.55000000000000004">
      <c r="A36" s="7"/>
      <c r="B36" s="8"/>
      <c r="C36" s="8"/>
      <c r="D36" s="8"/>
      <c r="E36" s="8"/>
      <c r="F36" s="8"/>
      <c r="G36" s="93"/>
      <c r="H36" s="142"/>
      <c r="I36" s="8"/>
      <c r="J36" s="9"/>
      <c r="K36" s="8"/>
      <c r="L36" s="8"/>
      <c r="M36" s="93"/>
      <c r="N36" s="8"/>
      <c r="O36" s="93"/>
      <c r="P36" s="142"/>
      <c r="Q36" s="8"/>
      <c r="R36" s="8"/>
      <c r="S36" s="8"/>
      <c r="T36" s="8"/>
      <c r="U36" s="93"/>
      <c r="V36" s="93"/>
      <c r="W36" s="8"/>
      <c r="X36" s="8"/>
      <c r="Y36" s="8"/>
      <c r="Z36" s="8"/>
      <c r="AA36" s="8"/>
      <c r="AB36" s="8"/>
      <c r="AC36" s="8"/>
      <c r="AD36" s="142"/>
      <c r="AE36" s="8"/>
      <c r="AF36" s="8"/>
      <c r="AG36" s="8"/>
      <c r="AH36" s="93"/>
      <c r="AI36" s="142"/>
      <c r="AJ36" s="8"/>
      <c r="AK36" s="8"/>
      <c r="AL36" s="8"/>
      <c r="AM36" s="93"/>
      <c r="AN36" s="142"/>
      <c r="AO36" s="8"/>
      <c r="AP36" s="8"/>
      <c r="AQ36" s="8"/>
      <c r="AR36" s="93"/>
      <c r="AS36" s="142"/>
      <c r="AT36" s="8"/>
      <c r="AU36" s="8"/>
      <c r="AV36" s="8"/>
      <c r="AW36" s="8"/>
      <c r="AX36" s="142"/>
      <c r="AY36" s="8"/>
      <c r="AZ36" s="8"/>
      <c r="BA36" s="8"/>
      <c r="BB36" s="8"/>
      <c r="BC36" s="8"/>
      <c r="BD36" s="8"/>
      <c r="BE36" s="8"/>
      <c r="BF36" s="8"/>
      <c r="BG36" s="8"/>
      <c r="BH36" s="8"/>
      <c r="BI36" s="8"/>
      <c r="BJ36" s="8"/>
      <c r="BK36" s="8"/>
      <c r="BL36" s="8"/>
      <c r="BM36" s="8"/>
      <c r="BN36" s="8"/>
      <c r="BO36" s="8"/>
      <c r="BP36" s="8"/>
      <c r="BQ36" s="8"/>
      <c r="BR36" s="8"/>
      <c r="BS36" s="8"/>
      <c r="BT36" s="8"/>
      <c r="BU36" s="93"/>
    </row>
    <row r="37" spans="1:73" ht="15.6" customHeight="1" x14ac:dyDescent="0.55000000000000004">
      <c r="A37" s="7"/>
      <c r="B37" s="8"/>
      <c r="C37" s="8"/>
      <c r="D37" s="8"/>
      <c r="E37" s="8"/>
      <c r="F37" s="8"/>
      <c r="G37" s="93"/>
      <c r="H37" s="142"/>
      <c r="I37" s="8"/>
      <c r="J37" s="9"/>
      <c r="K37" s="8"/>
      <c r="L37" s="8"/>
      <c r="M37" s="93"/>
      <c r="N37" s="8"/>
      <c r="O37" s="93"/>
      <c r="P37" s="142"/>
      <c r="Q37" s="8"/>
      <c r="R37" s="8"/>
      <c r="S37" s="8"/>
      <c r="T37" s="8"/>
      <c r="U37" s="93"/>
      <c r="V37" s="93"/>
      <c r="W37" s="8"/>
      <c r="X37" s="8"/>
      <c r="Y37" s="8"/>
      <c r="Z37" s="8"/>
      <c r="AA37" s="8"/>
      <c r="AB37" s="8"/>
      <c r="AC37" s="8"/>
      <c r="AD37" s="142"/>
      <c r="AE37" s="8"/>
      <c r="AF37" s="8"/>
      <c r="AG37" s="8"/>
      <c r="AH37" s="93"/>
      <c r="AI37" s="142"/>
      <c r="AJ37" s="8"/>
      <c r="AK37" s="8"/>
      <c r="AL37" s="8"/>
      <c r="AM37" s="93"/>
      <c r="AN37" s="142"/>
      <c r="AO37" s="8"/>
      <c r="AP37" s="8"/>
      <c r="AQ37" s="8"/>
      <c r="AR37" s="93"/>
      <c r="AS37" s="142"/>
      <c r="AT37" s="8"/>
      <c r="AU37" s="8"/>
      <c r="AV37" s="8"/>
      <c r="AW37" s="8"/>
      <c r="AX37" s="142"/>
      <c r="AY37" s="8"/>
      <c r="AZ37" s="8"/>
      <c r="BA37" s="8"/>
      <c r="BB37" s="8"/>
      <c r="BC37" s="8"/>
      <c r="BD37" s="8"/>
      <c r="BE37" s="8"/>
      <c r="BF37" s="8"/>
      <c r="BG37" s="8"/>
      <c r="BH37" s="8"/>
      <c r="BI37" s="8"/>
      <c r="BJ37" s="8"/>
      <c r="BK37" s="8"/>
      <c r="BL37" s="8"/>
      <c r="BM37" s="8"/>
      <c r="BN37" s="8"/>
      <c r="BO37" s="8"/>
      <c r="BP37" s="8"/>
      <c r="BQ37" s="8"/>
      <c r="BR37" s="8"/>
      <c r="BS37" s="8"/>
      <c r="BT37" s="8"/>
      <c r="BU37" s="93"/>
    </row>
    <row r="38" spans="1:73" ht="15.6" customHeight="1" x14ac:dyDescent="0.55000000000000004">
      <c r="A38" s="7"/>
      <c r="B38" s="8"/>
      <c r="C38" s="8"/>
      <c r="D38" s="8"/>
      <c r="E38" s="8"/>
      <c r="F38" s="8"/>
      <c r="G38" s="93"/>
      <c r="H38" s="142"/>
      <c r="I38" s="8"/>
      <c r="J38" s="9"/>
      <c r="K38" s="8"/>
      <c r="L38" s="8"/>
      <c r="M38" s="93"/>
      <c r="N38" s="8"/>
      <c r="O38" s="93"/>
      <c r="P38" s="142"/>
      <c r="Q38" s="8"/>
      <c r="R38" s="8"/>
      <c r="S38" s="8"/>
      <c r="T38" s="8"/>
      <c r="U38" s="93"/>
      <c r="V38" s="93"/>
      <c r="W38" s="8"/>
      <c r="X38" s="8"/>
      <c r="Y38" s="8"/>
      <c r="Z38" s="8"/>
      <c r="AA38" s="8"/>
      <c r="AB38" s="8"/>
      <c r="AC38" s="8"/>
      <c r="AD38" s="142"/>
      <c r="AE38" s="8"/>
      <c r="AF38" s="8"/>
      <c r="AG38" s="8"/>
      <c r="AH38" s="93"/>
      <c r="AI38" s="142"/>
      <c r="AJ38" s="8"/>
      <c r="AK38" s="8"/>
      <c r="AL38" s="8"/>
      <c r="AM38" s="93"/>
      <c r="AN38" s="142"/>
      <c r="AO38" s="8"/>
      <c r="AP38" s="8"/>
      <c r="AQ38" s="8"/>
      <c r="AR38" s="93"/>
      <c r="AS38" s="142"/>
      <c r="AT38" s="8"/>
      <c r="AU38" s="8"/>
      <c r="AV38" s="8"/>
      <c r="AW38" s="8"/>
      <c r="AX38" s="142"/>
      <c r="AY38" s="8"/>
      <c r="AZ38" s="8"/>
      <c r="BA38" s="8"/>
      <c r="BB38" s="8"/>
      <c r="BC38" s="8"/>
      <c r="BD38" s="8"/>
      <c r="BE38" s="8"/>
      <c r="BF38" s="8"/>
      <c r="BG38" s="8"/>
      <c r="BH38" s="8"/>
      <c r="BI38" s="8"/>
      <c r="BJ38" s="8"/>
      <c r="BK38" s="8"/>
      <c r="BL38" s="8"/>
      <c r="BM38" s="8"/>
      <c r="BN38" s="8"/>
      <c r="BO38" s="8"/>
      <c r="BP38" s="8"/>
      <c r="BQ38" s="8"/>
      <c r="BR38" s="8"/>
      <c r="BS38" s="8"/>
      <c r="BT38" s="8"/>
      <c r="BU38" s="93"/>
    </row>
    <row r="39" spans="1:73" ht="15.6" customHeight="1" x14ac:dyDescent="0.55000000000000004">
      <c r="A39" s="7"/>
      <c r="B39" s="8"/>
      <c r="C39" s="8"/>
      <c r="D39" s="8"/>
      <c r="E39" s="8"/>
      <c r="F39" s="8"/>
      <c r="G39" s="93"/>
      <c r="H39" s="142"/>
      <c r="I39" s="8"/>
      <c r="J39" s="9"/>
      <c r="K39" s="8"/>
      <c r="L39" s="8"/>
      <c r="M39" s="93"/>
      <c r="N39" s="8"/>
      <c r="O39" s="93"/>
      <c r="P39" s="142"/>
      <c r="Q39" s="8"/>
      <c r="R39" s="8"/>
      <c r="S39" s="8"/>
      <c r="T39" s="8"/>
      <c r="U39" s="93"/>
      <c r="V39" s="93"/>
      <c r="W39" s="8"/>
      <c r="X39" s="8"/>
      <c r="Y39" s="8"/>
      <c r="Z39" s="8"/>
      <c r="AA39" s="8"/>
      <c r="AB39" s="8"/>
      <c r="AC39" s="8"/>
      <c r="AD39" s="142"/>
      <c r="AE39" s="8"/>
      <c r="AF39" s="8"/>
      <c r="AG39" s="8"/>
      <c r="AH39" s="93"/>
      <c r="AI39" s="142"/>
      <c r="AJ39" s="8"/>
      <c r="AK39" s="8"/>
      <c r="AL39" s="8"/>
      <c r="AM39" s="93"/>
      <c r="AN39" s="142"/>
      <c r="AO39" s="8"/>
      <c r="AP39" s="8"/>
      <c r="AQ39" s="8"/>
      <c r="AR39" s="93"/>
      <c r="AS39" s="142"/>
      <c r="AT39" s="8"/>
      <c r="AU39" s="8"/>
      <c r="AV39" s="8"/>
      <c r="AW39" s="8"/>
      <c r="AX39" s="142"/>
      <c r="AY39" s="8"/>
      <c r="AZ39" s="8"/>
      <c r="BA39" s="8"/>
      <c r="BB39" s="8"/>
      <c r="BC39" s="8"/>
      <c r="BD39" s="8"/>
      <c r="BE39" s="8"/>
      <c r="BF39" s="8"/>
      <c r="BG39" s="8"/>
      <c r="BH39" s="8"/>
      <c r="BI39" s="8"/>
      <c r="BJ39" s="8"/>
      <c r="BK39" s="8"/>
      <c r="BL39" s="8"/>
      <c r="BM39" s="8"/>
      <c r="BN39" s="8"/>
      <c r="BO39" s="8"/>
      <c r="BP39" s="8"/>
      <c r="BQ39" s="8"/>
      <c r="BR39" s="8"/>
      <c r="BS39" s="8"/>
      <c r="BT39" s="8"/>
      <c r="BU39" s="93"/>
    </row>
    <row r="40" spans="1:73" ht="14.4" x14ac:dyDescent="0.55000000000000004">
      <c r="A40" s="7"/>
      <c r="B40" s="8"/>
      <c r="C40" s="8"/>
      <c r="D40" s="8"/>
      <c r="E40" s="8"/>
      <c r="F40" s="8"/>
      <c r="G40" s="93"/>
      <c r="H40" s="142"/>
      <c r="I40" s="8"/>
      <c r="J40" s="9"/>
      <c r="K40" s="8"/>
      <c r="L40" s="8"/>
      <c r="M40" s="93"/>
      <c r="N40" s="8"/>
      <c r="O40" s="93"/>
      <c r="P40" s="142"/>
      <c r="Q40" s="8"/>
      <c r="R40" s="8"/>
      <c r="S40" s="8"/>
      <c r="T40" s="8"/>
      <c r="U40" s="93"/>
      <c r="V40" s="93"/>
      <c r="W40" s="8"/>
      <c r="X40" s="8"/>
      <c r="Y40" s="8"/>
      <c r="Z40" s="8"/>
      <c r="AA40" s="8"/>
      <c r="AB40" s="8"/>
      <c r="AC40" s="8"/>
      <c r="AD40" s="142"/>
      <c r="AE40" s="8"/>
      <c r="AF40" s="8"/>
      <c r="AG40" s="8"/>
      <c r="AH40" s="93"/>
      <c r="AI40" s="142"/>
      <c r="AJ40" s="8"/>
      <c r="AK40" s="8"/>
      <c r="AL40" s="8"/>
      <c r="AM40" s="93"/>
      <c r="AN40" s="142"/>
      <c r="AO40" s="8"/>
      <c r="AP40" s="8"/>
      <c r="AQ40" s="8"/>
      <c r="AR40" s="93"/>
      <c r="AS40" s="142"/>
      <c r="AT40" s="8"/>
      <c r="AU40" s="8"/>
      <c r="AV40" s="8"/>
      <c r="AW40" s="8"/>
      <c r="AX40" s="142"/>
      <c r="AY40" s="8"/>
      <c r="AZ40" s="8"/>
      <c r="BA40" s="8"/>
      <c r="BB40" s="8"/>
      <c r="BC40" s="8"/>
      <c r="BD40" s="8"/>
      <c r="BE40" s="8"/>
      <c r="BF40" s="8"/>
      <c r="BG40" s="8"/>
      <c r="BH40" s="8"/>
      <c r="BI40" s="8"/>
      <c r="BJ40" s="8"/>
      <c r="BK40" s="8"/>
      <c r="BL40" s="8"/>
      <c r="BM40" s="8"/>
      <c r="BN40" s="8"/>
      <c r="BO40" s="8"/>
      <c r="BP40" s="8"/>
      <c r="BQ40" s="8"/>
      <c r="BR40" s="8"/>
      <c r="BS40" s="8"/>
      <c r="BT40" s="8"/>
      <c r="BU40" s="93"/>
    </row>
    <row r="41" spans="1:73" ht="15.6" customHeight="1" x14ac:dyDescent="0.55000000000000004">
      <c r="A41" s="7"/>
      <c r="B41" s="8"/>
      <c r="C41" s="8"/>
      <c r="D41" s="8"/>
      <c r="E41" s="8"/>
      <c r="F41" s="8"/>
      <c r="G41" s="93"/>
      <c r="H41" s="142"/>
      <c r="I41" s="8"/>
      <c r="J41" s="9"/>
      <c r="K41" s="8"/>
      <c r="L41" s="8"/>
      <c r="M41" s="93"/>
      <c r="N41" s="8"/>
      <c r="O41" s="93"/>
      <c r="P41" s="142"/>
      <c r="Q41" s="8"/>
      <c r="R41" s="8"/>
      <c r="S41" s="8"/>
      <c r="T41" s="8"/>
      <c r="U41" s="93"/>
      <c r="V41" s="93"/>
      <c r="W41" s="8"/>
      <c r="X41" s="8"/>
      <c r="Y41" s="8"/>
      <c r="Z41" s="8"/>
      <c r="AA41" s="8"/>
      <c r="AB41" s="8"/>
      <c r="AC41" s="8"/>
      <c r="AD41" s="142"/>
      <c r="AE41" s="8"/>
      <c r="AF41" s="8"/>
      <c r="AG41" s="8"/>
      <c r="AH41" s="93"/>
      <c r="AI41" s="142"/>
      <c r="AJ41" s="8"/>
      <c r="AK41" s="8"/>
      <c r="AL41" s="8"/>
      <c r="AM41" s="93"/>
      <c r="AN41" s="142"/>
      <c r="AO41" s="8"/>
      <c r="AP41" s="8"/>
      <c r="AQ41" s="8"/>
      <c r="AR41" s="93"/>
      <c r="AS41" s="142"/>
      <c r="AT41" s="8"/>
      <c r="AU41" s="8"/>
      <c r="AV41" s="8"/>
      <c r="AW41" s="8"/>
      <c r="AX41" s="142"/>
      <c r="AY41" s="8"/>
      <c r="AZ41" s="8"/>
      <c r="BA41" s="8"/>
      <c r="BB41" s="8"/>
      <c r="BC41" s="8"/>
      <c r="BD41" s="8"/>
      <c r="BE41" s="8"/>
      <c r="BF41" s="8"/>
      <c r="BG41" s="8"/>
      <c r="BH41" s="8"/>
      <c r="BI41" s="8"/>
      <c r="BJ41" s="8"/>
      <c r="BK41" s="8"/>
      <c r="BL41" s="8"/>
      <c r="BM41" s="8"/>
      <c r="BN41" s="8"/>
      <c r="BO41" s="8"/>
      <c r="BP41" s="8"/>
      <c r="BQ41" s="8"/>
      <c r="BR41" s="8"/>
      <c r="BS41" s="8"/>
      <c r="BT41" s="8"/>
      <c r="BU41" s="93"/>
    </row>
    <row r="42" spans="1:73" ht="15.6" customHeight="1" x14ac:dyDescent="0.55000000000000004">
      <c r="A42" s="7"/>
      <c r="B42" s="8"/>
      <c r="C42" s="8"/>
      <c r="D42" s="8"/>
      <c r="E42" s="8"/>
      <c r="F42" s="8"/>
      <c r="G42" s="93"/>
      <c r="H42" s="142"/>
      <c r="I42" s="8"/>
      <c r="J42" s="9"/>
      <c r="K42" s="8"/>
      <c r="L42" s="8"/>
      <c r="M42" s="93"/>
      <c r="N42" s="8"/>
      <c r="O42" s="93"/>
      <c r="P42" s="142"/>
      <c r="Q42" s="8"/>
      <c r="R42" s="8"/>
      <c r="S42" s="8"/>
      <c r="T42" s="8"/>
      <c r="U42" s="93"/>
      <c r="V42" s="93"/>
      <c r="W42" s="8"/>
      <c r="X42" s="8"/>
      <c r="Y42" s="8"/>
      <c r="Z42" s="8"/>
      <c r="AA42" s="8"/>
      <c r="AB42" s="8"/>
      <c r="AC42" s="8"/>
      <c r="AD42" s="142"/>
      <c r="AE42" s="8"/>
      <c r="AF42" s="8"/>
      <c r="AG42" s="8"/>
      <c r="AH42" s="93"/>
      <c r="AI42" s="142"/>
      <c r="AJ42" s="8"/>
      <c r="AK42" s="8"/>
      <c r="AL42" s="8"/>
      <c r="AM42" s="93"/>
      <c r="AN42" s="142"/>
      <c r="AO42" s="8"/>
      <c r="AP42" s="8"/>
      <c r="AQ42" s="8"/>
      <c r="AR42" s="93"/>
      <c r="AS42" s="142"/>
      <c r="AT42" s="8"/>
      <c r="AU42" s="8"/>
      <c r="AV42" s="8"/>
      <c r="AW42" s="8"/>
      <c r="AX42" s="142"/>
      <c r="AY42" s="8"/>
      <c r="AZ42" s="8"/>
      <c r="BA42" s="8"/>
      <c r="BB42" s="8"/>
      <c r="BC42" s="8"/>
      <c r="BD42" s="8"/>
      <c r="BE42" s="8"/>
      <c r="BF42" s="8"/>
      <c r="BG42" s="8"/>
      <c r="BH42" s="8"/>
      <c r="BI42" s="8"/>
      <c r="BJ42" s="8"/>
      <c r="BK42" s="8"/>
      <c r="BL42" s="8"/>
      <c r="BM42" s="8"/>
      <c r="BN42" s="8"/>
      <c r="BO42" s="8"/>
      <c r="BP42" s="8"/>
      <c r="BQ42" s="8"/>
      <c r="BR42" s="8"/>
      <c r="BS42" s="8"/>
      <c r="BT42" s="8"/>
      <c r="BU42" s="93"/>
    </row>
    <row r="43" spans="1:73" ht="15.6" customHeight="1" x14ac:dyDescent="0.55000000000000004">
      <c r="A43" s="7"/>
      <c r="B43" s="8"/>
      <c r="C43" s="8"/>
      <c r="D43" s="8"/>
      <c r="E43" s="8"/>
      <c r="F43" s="8"/>
      <c r="G43" s="93"/>
      <c r="H43" s="142"/>
      <c r="I43" s="8"/>
      <c r="J43" s="9"/>
      <c r="K43" s="8"/>
      <c r="L43" s="8"/>
      <c r="M43" s="93"/>
      <c r="N43" s="8"/>
      <c r="O43" s="93"/>
      <c r="P43" s="142"/>
      <c r="Q43" s="8"/>
      <c r="R43" s="8"/>
      <c r="S43" s="8"/>
      <c r="T43" s="8"/>
      <c r="U43" s="93"/>
      <c r="V43" s="93"/>
      <c r="W43" s="8"/>
      <c r="X43" s="8"/>
      <c r="Y43" s="8"/>
      <c r="Z43" s="8"/>
      <c r="AA43" s="8"/>
      <c r="AB43" s="8"/>
      <c r="AC43" s="8"/>
      <c r="AD43" s="142"/>
      <c r="AE43" s="8"/>
      <c r="AF43" s="8"/>
      <c r="AG43" s="8"/>
      <c r="AH43" s="93"/>
      <c r="AI43" s="142"/>
      <c r="AJ43" s="8"/>
      <c r="AK43" s="8"/>
      <c r="AL43" s="8"/>
      <c r="AM43" s="93"/>
      <c r="AN43" s="142"/>
      <c r="AO43" s="8"/>
      <c r="AP43" s="8"/>
      <c r="AQ43" s="8"/>
      <c r="AR43" s="93"/>
      <c r="AS43" s="142"/>
      <c r="AT43" s="8"/>
      <c r="AU43" s="8"/>
      <c r="AV43" s="8"/>
      <c r="AW43" s="8"/>
      <c r="AX43" s="142"/>
      <c r="AY43" s="8"/>
      <c r="AZ43" s="8"/>
      <c r="BA43" s="8"/>
      <c r="BB43" s="8"/>
      <c r="BC43" s="8"/>
      <c r="BD43" s="8"/>
      <c r="BE43" s="8"/>
      <c r="BF43" s="8"/>
      <c r="BG43" s="8"/>
      <c r="BH43" s="8"/>
      <c r="BI43" s="8"/>
      <c r="BJ43" s="8"/>
      <c r="BK43" s="8"/>
      <c r="BL43" s="8"/>
      <c r="BM43" s="8"/>
      <c r="BN43" s="8"/>
      <c r="BO43" s="8"/>
      <c r="BP43" s="8"/>
      <c r="BQ43" s="8"/>
      <c r="BR43" s="8"/>
      <c r="BS43" s="8"/>
      <c r="BT43" s="8"/>
      <c r="BU43" s="93"/>
    </row>
    <row r="44" spans="1:73" ht="15.6" customHeight="1" x14ac:dyDescent="0.55000000000000004">
      <c r="A44" s="7"/>
      <c r="B44" s="8"/>
      <c r="C44" s="8"/>
      <c r="D44" s="8"/>
      <c r="E44" s="8"/>
      <c r="F44" s="8"/>
      <c r="G44" s="93"/>
      <c r="H44" s="142"/>
      <c r="I44" s="8"/>
      <c r="J44" s="9"/>
      <c r="K44" s="8"/>
      <c r="L44" s="8"/>
      <c r="M44" s="93"/>
      <c r="N44" s="8"/>
      <c r="O44" s="93"/>
      <c r="P44" s="142"/>
      <c r="Q44" s="8"/>
      <c r="R44" s="8"/>
      <c r="S44" s="8"/>
      <c r="T44" s="8"/>
      <c r="U44" s="93"/>
      <c r="V44" s="93"/>
      <c r="W44" s="8"/>
      <c r="X44" s="8"/>
      <c r="Y44" s="8"/>
      <c r="Z44" s="8"/>
      <c r="AA44" s="8"/>
      <c r="AB44" s="8"/>
      <c r="AC44" s="8"/>
      <c r="AD44" s="142"/>
      <c r="AE44" s="8"/>
      <c r="AF44" s="8"/>
      <c r="AG44" s="8"/>
      <c r="AH44" s="93"/>
      <c r="AI44" s="142"/>
      <c r="AJ44" s="8"/>
      <c r="AK44" s="8"/>
      <c r="AL44" s="8"/>
      <c r="AM44" s="93"/>
      <c r="AN44" s="142"/>
      <c r="AO44" s="8"/>
      <c r="AP44" s="8"/>
      <c r="AQ44" s="8"/>
      <c r="AR44" s="93"/>
      <c r="AS44" s="142"/>
      <c r="AT44" s="8"/>
      <c r="AU44" s="8"/>
      <c r="AV44" s="8"/>
      <c r="AW44" s="8"/>
      <c r="AX44" s="142"/>
      <c r="AY44" s="8"/>
      <c r="AZ44" s="8"/>
      <c r="BA44" s="8"/>
      <c r="BB44" s="8"/>
      <c r="BC44" s="8"/>
      <c r="BD44" s="8"/>
      <c r="BE44" s="8"/>
      <c r="BF44" s="8"/>
      <c r="BG44" s="8"/>
      <c r="BH44" s="8"/>
      <c r="BI44" s="8"/>
      <c r="BJ44" s="8"/>
      <c r="BK44" s="8"/>
      <c r="BL44" s="8"/>
      <c r="BM44" s="8"/>
      <c r="BN44" s="8"/>
      <c r="BO44" s="8"/>
      <c r="BP44" s="8"/>
      <c r="BQ44" s="8"/>
      <c r="BR44" s="8"/>
      <c r="BS44" s="8"/>
      <c r="BT44" s="8"/>
      <c r="BU44" s="93"/>
    </row>
    <row r="45" spans="1:73" ht="15.6" customHeight="1" x14ac:dyDescent="0.55000000000000004">
      <c r="A45" s="7"/>
      <c r="B45" s="8"/>
      <c r="C45" s="8"/>
      <c r="D45" s="8"/>
      <c r="E45" s="8"/>
      <c r="F45" s="8"/>
      <c r="G45" s="93"/>
      <c r="H45" s="142"/>
      <c r="I45" s="8"/>
      <c r="J45" s="9"/>
      <c r="K45" s="8"/>
      <c r="L45" s="8"/>
      <c r="M45" s="93"/>
      <c r="N45" s="8"/>
      <c r="O45" s="93"/>
      <c r="P45" s="142"/>
      <c r="Q45" s="8"/>
      <c r="R45" s="8"/>
      <c r="S45" s="8"/>
      <c r="T45" s="8"/>
      <c r="U45" s="93"/>
      <c r="V45" s="93"/>
      <c r="W45" s="8"/>
      <c r="X45" s="8"/>
      <c r="Y45" s="8"/>
      <c r="Z45" s="8"/>
      <c r="AA45" s="8"/>
      <c r="AB45" s="8"/>
      <c r="AC45" s="8"/>
      <c r="AD45" s="142"/>
      <c r="AE45" s="8"/>
      <c r="AF45" s="8"/>
      <c r="AG45" s="8"/>
      <c r="AH45" s="93"/>
      <c r="AI45" s="142"/>
      <c r="AJ45" s="8"/>
      <c r="AK45" s="8"/>
      <c r="AL45" s="8"/>
      <c r="AM45" s="93"/>
      <c r="AN45" s="142"/>
      <c r="AO45" s="8"/>
      <c r="AP45" s="8"/>
      <c r="AQ45" s="8"/>
      <c r="AR45" s="93"/>
      <c r="AS45" s="142"/>
      <c r="AT45" s="8"/>
      <c r="AU45" s="8"/>
      <c r="AV45" s="8"/>
      <c r="AW45" s="8"/>
      <c r="AX45" s="142"/>
      <c r="AY45" s="8"/>
      <c r="AZ45" s="8"/>
      <c r="BA45" s="8"/>
      <c r="BB45" s="8"/>
      <c r="BC45" s="8"/>
      <c r="BD45" s="8"/>
      <c r="BE45" s="8"/>
      <c r="BF45" s="8"/>
      <c r="BG45" s="8"/>
      <c r="BH45" s="8"/>
      <c r="BI45" s="8"/>
      <c r="BJ45" s="8"/>
      <c r="BK45" s="8"/>
      <c r="BL45" s="8"/>
      <c r="BM45" s="8"/>
      <c r="BN45" s="8"/>
      <c r="BO45" s="8"/>
      <c r="BP45" s="8"/>
      <c r="BQ45" s="8"/>
      <c r="BR45" s="8"/>
      <c r="BS45" s="8"/>
      <c r="BT45" s="8"/>
      <c r="BU45" s="93"/>
    </row>
    <row r="46" spans="1:73" ht="15.6" customHeight="1" x14ac:dyDescent="0.55000000000000004">
      <c r="A46" s="7"/>
      <c r="B46" s="8"/>
      <c r="C46" s="8"/>
      <c r="D46" s="8"/>
      <c r="E46" s="8"/>
      <c r="F46" s="8"/>
      <c r="G46" s="93"/>
      <c r="H46" s="142"/>
      <c r="I46" s="8"/>
      <c r="J46" s="9"/>
      <c r="K46" s="8"/>
      <c r="L46" s="8"/>
      <c r="M46" s="93"/>
      <c r="N46" s="8"/>
      <c r="O46" s="93"/>
      <c r="P46" s="142"/>
      <c r="Q46" s="8"/>
      <c r="R46" s="8"/>
      <c r="S46" s="8"/>
      <c r="T46" s="8"/>
      <c r="U46" s="93"/>
      <c r="V46" s="93"/>
      <c r="W46" s="8"/>
      <c r="X46" s="8"/>
      <c r="Y46" s="8"/>
      <c r="Z46" s="8"/>
      <c r="AA46" s="8"/>
      <c r="AB46" s="8"/>
      <c r="AC46" s="8"/>
      <c r="AD46" s="142"/>
      <c r="AE46" s="8"/>
      <c r="AF46" s="8"/>
      <c r="AG46" s="8"/>
      <c r="AH46" s="93"/>
      <c r="AI46" s="142"/>
      <c r="AJ46" s="8"/>
      <c r="AK46" s="8"/>
      <c r="AL46" s="8"/>
      <c r="AM46" s="93"/>
      <c r="AN46" s="142"/>
      <c r="AO46" s="8"/>
      <c r="AP46" s="8"/>
      <c r="AQ46" s="8"/>
      <c r="AR46" s="93"/>
      <c r="AS46" s="142"/>
      <c r="AT46" s="8"/>
      <c r="AU46" s="8"/>
      <c r="AV46" s="8"/>
      <c r="AW46" s="8"/>
      <c r="AX46" s="142"/>
      <c r="AY46" s="8"/>
      <c r="AZ46" s="8"/>
      <c r="BA46" s="8"/>
      <c r="BB46" s="8"/>
      <c r="BC46" s="8"/>
      <c r="BD46" s="8"/>
      <c r="BE46" s="8"/>
      <c r="BF46" s="8"/>
      <c r="BG46" s="8"/>
      <c r="BH46" s="8"/>
      <c r="BI46" s="8"/>
      <c r="BJ46" s="8"/>
      <c r="BK46" s="8"/>
      <c r="BL46" s="8"/>
      <c r="BM46" s="8"/>
      <c r="BN46" s="8"/>
      <c r="BO46" s="8"/>
      <c r="BP46" s="8"/>
      <c r="BQ46" s="8"/>
      <c r="BR46" s="8"/>
      <c r="BS46" s="8"/>
      <c r="BT46" s="8"/>
      <c r="BU46" s="93"/>
    </row>
    <row r="47" spans="1:73" ht="15.6" customHeight="1" x14ac:dyDescent="0.55000000000000004">
      <c r="A47" s="7"/>
      <c r="B47" s="8"/>
      <c r="C47" s="8"/>
      <c r="D47" s="8"/>
      <c r="E47" s="8"/>
      <c r="F47" s="8"/>
      <c r="G47" s="93"/>
      <c r="H47" s="142"/>
      <c r="I47" s="8"/>
      <c r="J47" s="9"/>
      <c r="K47" s="8"/>
      <c r="L47" s="8"/>
      <c r="M47" s="93"/>
      <c r="N47" s="8"/>
      <c r="O47" s="93"/>
      <c r="P47" s="142"/>
      <c r="Q47" s="8"/>
      <c r="R47" s="8"/>
      <c r="S47" s="8"/>
      <c r="T47" s="8"/>
      <c r="U47" s="93"/>
      <c r="V47" s="93"/>
      <c r="W47" s="8"/>
      <c r="X47" s="8"/>
      <c r="Y47" s="8"/>
      <c r="Z47" s="8"/>
      <c r="AA47" s="8"/>
      <c r="AB47" s="8"/>
      <c r="AC47" s="8"/>
      <c r="AD47" s="142"/>
      <c r="AE47" s="8"/>
      <c r="AF47" s="8"/>
      <c r="AG47" s="8"/>
      <c r="AH47" s="93"/>
      <c r="AI47" s="142"/>
      <c r="AJ47" s="8"/>
      <c r="AK47" s="8"/>
      <c r="AL47" s="8"/>
      <c r="AM47" s="93"/>
      <c r="AN47" s="142"/>
      <c r="AO47" s="8"/>
      <c r="AP47" s="8"/>
      <c r="AQ47" s="8"/>
      <c r="AR47" s="93"/>
      <c r="AS47" s="142"/>
      <c r="AT47" s="8"/>
      <c r="AU47" s="8"/>
      <c r="AV47" s="8"/>
      <c r="AW47" s="8"/>
      <c r="AX47" s="142"/>
      <c r="AY47" s="8"/>
      <c r="AZ47" s="8"/>
      <c r="BA47" s="8"/>
      <c r="BB47" s="8"/>
      <c r="BC47" s="8"/>
      <c r="BD47" s="8"/>
      <c r="BE47" s="8"/>
      <c r="BF47" s="8"/>
      <c r="BG47" s="8"/>
      <c r="BH47" s="8"/>
      <c r="BI47" s="8"/>
      <c r="BJ47" s="8"/>
      <c r="BK47" s="8"/>
      <c r="BL47" s="8"/>
      <c r="BM47" s="8"/>
      <c r="BN47" s="8"/>
      <c r="BO47" s="8"/>
      <c r="BP47" s="8"/>
      <c r="BQ47" s="8"/>
      <c r="BR47" s="8"/>
      <c r="BS47" s="8"/>
      <c r="BT47" s="8"/>
      <c r="BU47" s="93"/>
    </row>
    <row r="48" spans="1:73" ht="15.6" customHeight="1" x14ac:dyDescent="0.55000000000000004">
      <c r="A48" s="7"/>
      <c r="B48" s="8"/>
      <c r="C48" s="8"/>
      <c r="D48" s="8"/>
      <c r="E48" s="8"/>
      <c r="F48" s="8"/>
      <c r="G48" s="93"/>
      <c r="H48" s="142"/>
      <c r="I48" s="8"/>
      <c r="J48" s="9"/>
      <c r="K48" s="8"/>
      <c r="L48" s="8"/>
      <c r="M48" s="93"/>
      <c r="N48" s="8"/>
      <c r="O48" s="93"/>
      <c r="P48" s="142"/>
      <c r="Q48" s="8"/>
      <c r="R48" s="8"/>
      <c r="S48" s="8"/>
      <c r="T48" s="8"/>
      <c r="U48" s="93"/>
      <c r="V48" s="93"/>
      <c r="W48" s="8"/>
      <c r="X48" s="8"/>
      <c r="Y48" s="8"/>
      <c r="Z48" s="8"/>
      <c r="AA48" s="8"/>
      <c r="AB48" s="8"/>
      <c r="AC48" s="8"/>
      <c r="AD48" s="142"/>
      <c r="AE48" s="8"/>
      <c r="AF48" s="8"/>
      <c r="AG48" s="8"/>
      <c r="AH48" s="93"/>
      <c r="AI48" s="142"/>
      <c r="AJ48" s="8"/>
      <c r="AK48" s="8"/>
      <c r="AL48" s="8"/>
      <c r="AM48" s="93"/>
      <c r="AN48" s="142"/>
      <c r="AO48" s="8"/>
      <c r="AP48" s="8"/>
      <c r="AQ48" s="8"/>
      <c r="AR48" s="93"/>
      <c r="AS48" s="142"/>
      <c r="AT48" s="8"/>
      <c r="AU48" s="8"/>
      <c r="AV48" s="8"/>
      <c r="AW48" s="8"/>
      <c r="AX48" s="142"/>
      <c r="AY48" s="8"/>
      <c r="AZ48" s="8"/>
      <c r="BA48" s="8"/>
      <c r="BB48" s="8"/>
      <c r="BC48" s="8"/>
      <c r="BD48" s="8"/>
      <c r="BE48" s="8"/>
      <c r="BF48" s="8"/>
      <c r="BG48" s="8"/>
      <c r="BH48" s="8"/>
      <c r="BI48" s="8"/>
      <c r="BJ48" s="8"/>
      <c r="BK48" s="8"/>
      <c r="BL48" s="8"/>
      <c r="BM48" s="8"/>
      <c r="BN48" s="8"/>
      <c r="BO48" s="8"/>
      <c r="BP48" s="8"/>
      <c r="BQ48" s="8"/>
      <c r="BR48" s="8"/>
      <c r="BS48" s="8"/>
      <c r="BT48" s="8"/>
      <c r="BU48" s="93"/>
    </row>
    <row r="49" spans="1:73" ht="15.6" customHeight="1" x14ac:dyDescent="0.55000000000000004">
      <c r="A49" s="7"/>
      <c r="B49" s="8"/>
      <c r="C49" s="8"/>
      <c r="D49" s="8"/>
      <c r="E49" s="8"/>
      <c r="F49" s="8"/>
      <c r="G49" s="93"/>
      <c r="H49" s="142"/>
      <c r="I49" s="8"/>
      <c r="J49" s="9"/>
      <c r="K49" s="8"/>
      <c r="L49" s="8"/>
      <c r="M49" s="93"/>
      <c r="N49" s="8"/>
      <c r="O49" s="93"/>
      <c r="P49" s="142"/>
      <c r="Q49" s="8"/>
      <c r="R49" s="8"/>
      <c r="S49" s="8"/>
      <c r="T49" s="8"/>
      <c r="U49" s="93"/>
      <c r="V49" s="93"/>
      <c r="W49" s="8"/>
      <c r="X49" s="8"/>
      <c r="Y49" s="8"/>
      <c r="Z49" s="8"/>
      <c r="AA49" s="8"/>
      <c r="AB49" s="8"/>
      <c r="AC49" s="8"/>
      <c r="AD49" s="142"/>
      <c r="AE49" s="8"/>
      <c r="AF49" s="8"/>
      <c r="AG49" s="8"/>
      <c r="AH49" s="93"/>
      <c r="AI49" s="142"/>
      <c r="AJ49" s="8"/>
      <c r="AK49" s="8"/>
      <c r="AL49" s="8"/>
      <c r="AM49" s="93"/>
      <c r="AN49" s="142"/>
      <c r="AO49" s="8"/>
      <c r="AP49" s="8"/>
      <c r="AQ49" s="8"/>
      <c r="AR49" s="93"/>
      <c r="AS49" s="142"/>
      <c r="AT49" s="8"/>
      <c r="AU49" s="8"/>
      <c r="AV49" s="8"/>
      <c r="AW49" s="8"/>
      <c r="AX49" s="142"/>
      <c r="AY49" s="8"/>
      <c r="AZ49" s="8"/>
      <c r="BA49" s="8"/>
      <c r="BB49" s="8"/>
      <c r="BC49" s="8"/>
      <c r="BD49" s="8"/>
      <c r="BE49" s="8"/>
      <c r="BF49" s="8"/>
      <c r="BG49" s="8"/>
      <c r="BH49" s="8"/>
      <c r="BI49" s="8"/>
      <c r="BJ49" s="8"/>
      <c r="BK49" s="8"/>
      <c r="BL49" s="8"/>
      <c r="BM49" s="8"/>
      <c r="BN49" s="8"/>
      <c r="BO49" s="8"/>
      <c r="BP49" s="8"/>
      <c r="BQ49" s="8"/>
      <c r="BR49" s="8"/>
      <c r="BS49" s="8"/>
      <c r="BT49" s="8"/>
      <c r="BU49" s="93"/>
    </row>
    <row r="50" spans="1:73" ht="15.6" customHeight="1" x14ac:dyDescent="0.55000000000000004">
      <c r="A50" s="7"/>
      <c r="B50" s="8"/>
      <c r="C50" s="8"/>
      <c r="D50" s="8"/>
      <c r="E50" s="8"/>
      <c r="F50" s="8"/>
      <c r="G50" s="93"/>
      <c r="H50" s="142"/>
      <c r="I50" s="8"/>
      <c r="J50" s="9"/>
      <c r="K50" s="8"/>
      <c r="L50" s="8"/>
      <c r="M50" s="93"/>
      <c r="N50" s="8"/>
      <c r="O50" s="93"/>
      <c r="P50" s="142"/>
      <c r="Q50" s="8"/>
      <c r="R50" s="8"/>
      <c r="S50" s="8"/>
      <c r="T50" s="8"/>
      <c r="U50" s="93"/>
      <c r="V50" s="93"/>
      <c r="W50" s="8"/>
      <c r="X50" s="8"/>
      <c r="Y50" s="8"/>
      <c r="Z50" s="8"/>
      <c r="AA50" s="8"/>
      <c r="AB50" s="8"/>
      <c r="AC50" s="8"/>
      <c r="AD50" s="142"/>
      <c r="AE50" s="8"/>
      <c r="AF50" s="8"/>
      <c r="AG50" s="8"/>
      <c r="AH50" s="93"/>
      <c r="AI50" s="142"/>
      <c r="AJ50" s="8"/>
      <c r="AK50" s="8"/>
      <c r="AL50" s="8"/>
      <c r="AM50" s="93"/>
      <c r="AN50" s="142"/>
      <c r="AO50" s="8"/>
      <c r="AP50" s="8"/>
      <c r="AQ50" s="8"/>
      <c r="AR50" s="93"/>
      <c r="AS50" s="142"/>
      <c r="AT50" s="8"/>
      <c r="AU50" s="8"/>
      <c r="AV50" s="8"/>
      <c r="AW50" s="8"/>
      <c r="AX50" s="142"/>
      <c r="AY50" s="8"/>
      <c r="AZ50" s="8"/>
      <c r="BA50" s="8"/>
      <c r="BB50" s="8"/>
      <c r="BC50" s="8"/>
      <c r="BD50" s="8"/>
      <c r="BE50" s="8"/>
      <c r="BF50" s="8"/>
      <c r="BG50" s="8"/>
      <c r="BH50" s="8"/>
      <c r="BI50" s="8"/>
      <c r="BJ50" s="8"/>
      <c r="BK50" s="8"/>
      <c r="BL50" s="8"/>
      <c r="BM50" s="8"/>
      <c r="BN50" s="8"/>
      <c r="BO50" s="8"/>
      <c r="BP50" s="8"/>
      <c r="BQ50" s="8"/>
      <c r="BR50" s="8"/>
      <c r="BS50" s="8"/>
      <c r="BT50" s="8"/>
      <c r="BU50" s="93"/>
    </row>
    <row r="51" spans="1:73" ht="15.6" customHeight="1" x14ac:dyDescent="0.55000000000000004">
      <c r="A51" s="7"/>
      <c r="B51" s="8"/>
      <c r="C51" s="8"/>
      <c r="D51" s="8"/>
      <c r="E51" s="8"/>
      <c r="F51" s="8"/>
      <c r="G51" s="93"/>
      <c r="H51" s="142"/>
      <c r="I51" s="8"/>
      <c r="J51" s="9"/>
      <c r="K51" s="8"/>
      <c r="L51" s="8"/>
      <c r="M51" s="93"/>
      <c r="N51" s="8"/>
      <c r="O51" s="93"/>
      <c r="P51" s="142"/>
      <c r="Q51" s="8"/>
      <c r="R51" s="8"/>
      <c r="S51" s="8"/>
      <c r="T51" s="8"/>
      <c r="U51" s="93"/>
      <c r="V51" s="93"/>
      <c r="W51" s="8"/>
      <c r="X51" s="8"/>
      <c r="Y51" s="8"/>
      <c r="Z51" s="8"/>
      <c r="AA51" s="8"/>
      <c r="AB51" s="8"/>
      <c r="AC51" s="8"/>
      <c r="AD51" s="142"/>
      <c r="AE51" s="8"/>
      <c r="AF51" s="8"/>
      <c r="AG51" s="8"/>
      <c r="AH51" s="93"/>
      <c r="AI51" s="142"/>
      <c r="AJ51" s="8"/>
      <c r="AK51" s="8"/>
      <c r="AL51" s="8"/>
      <c r="AM51" s="93"/>
      <c r="AN51" s="142"/>
      <c r="AO51" s="8"/>
      <c r="AP51" s="8"/>
      <c r="AQ51" s="8"/>
      <c r="AR51" s="93"/>
      <c r="AS51" s="142"/>
      <c r="AT51" s="8"/>
      <c r="AU51" s="8"/>
      <c r="AV51" s="8"/>
      <c r="AW51" s="8"/>
      <c r="AX51" s="142"/>
      <c r="AY51" s="8"/>
      <c r="AZ51" s="8"/>
      <c r="BA51" s="8"/>
      <c r="BB51" s="8"/>
      <c r="BC51" s="8"/>
      <c r="BD51" s="8"/>
      <c r="BE51" s="8"/>
      <c r="BF51" s="8"/>
      <c r="BG51" s="8"/>
      <c r="BH51" s="8"/>
      <c r="BI51" s="8"/>
      <c r="BJ51" s="8"/>
      <c r="BK51" s="8"/>
      <c r="BL51" s="8"/>
      <c r="BM51" s="8"/>
      <c r="BN51" s="8"/>
      <c r="BO51" s="8"/>
      <c r="BP51" s="8"/>
      <c r="BQ51" s="8"/>
      <c r="BR51" s="8"/>
      <c r="BS51" s="8"/>
      <c r="BT51" s="8"/>
      <c r="BU51" s="93"/>
    </row>
    <row r="52" spans="1:73" ht="15.6" customHeight="1" x14ac:dyDescent="0.55000000000000004">
      <c r="A52" s="7"/>
      <c r="B52" s="8"/>
      <c r="C52" s="8"/>
      <c r="D52" s="8"/>
      <c r="E52" s="8"/>
      <c r="F52" s="8"/>
      <c r="G52" s="93"/>
      <c r="H52" s="142"/>
      <c r="I52" s="8"/>
      <c r="J52" s="9"/>
      <c r="K52" s="8"/>
      <c r="L52" s="8"/>
      <c r="M52" s="93"/>
      <c r="N52" s="8"/>
      <c r="O52" s="93"/>
      <c r="P52" s="142"/>
      <c r="Q52" s="8"/>
      <c r="R52" s="8"/>
      <c r="S52" s="8"/>
      <c r="T52" s="8"/>
      <c r="U52" s="93"/>
      <c r="V52" s="93"/>
      <c r="W52" s="8"/>
      <c r="X52" s="8"/>
      <c r="Y52" s="8"/>
      <c r="Z52" s="8"/>
      <c r="AA52" s="8"/>
      <c r="AB52" s="8"/>
      <c r="AC52" s="8"/>
      <c r="AD52" s="142"/>
      <c r="AE52" s="8"/>
      <c r="AF52" s="8"/>
      <c r="AG52" s="8"/>
      <c r="AH52" s="93"/>
      <c r="AI52" s="142"/>
      <c r="AJ52" s="8"/>
      <c r="AK52" s="8"/>
      <c r="AL52" s="8"/>
      <c r="AM52" s="93"/>
      <c r="AN52" s="142"/>
      <c r="AO52" s="8"/>
      <c r="AP52" s="8"/>
      <c r="AQ52" s="8"/>
      <c r="AR52" s="93"/>
      <c r="AS52" s="142"/>
      <c r="AT52" s="8"/>
      <c r="AU52" s="8"/>
      <c r="AV52" s="8"/>
      <c r="AW52" s="8"/>
      <c r="AX52" s="142"/>
      <c r="AY52" s="8"/>
      <c r="AZ52" s="8"/>
      <c r="BA52" s="8"/>
      <c r="BB52" s="8"/>
      <c r="BC52" s="8"/>
      <c r="BD52" s="8"/>
      <c r="BE52" s="8"/>
      <c r="BF52" s="8"/>
      <c r="BG52" s="8"/>
      <c r="BH52" s="8"/>
      <c r="BI52" s="8"/>
      <c r="BJ52" s="8"/>
      <c r="BK52" s="8"/>
      <c r="BL52" s="8"/>
      <c r="BM52" s="8"/>
      <c r="BN52" s="8"/>
      <c r="BO52" s="8"/>
      <c r="BP52" s="8"/>
      <c r="BQ52" s="8"/>
      <c r="BR52" s="8"/>
      <c r="BS52" s="8"/>
      <c r="BT52" s="8"/>
      <c r="BU52" s="93"/>
    </row>
    <row r="53" spans="1:73" ht="15.6" customHeight="1" x14ac:dyDescent="0.55000000000000004">
      <c r="A53" s="7"/>
      <c r="B53" s="8"/>
      <c r="C53" s="8"/>
      <c r="D53" s="8"/>
      <c r="E53" s="8"/>
      <c r="F53" s="8"/>
      <c r="G53" s="93"/>
      <c r="H53" s="142"/>
      <c r="I53" s="8"/>
      <c r="J53" s="9"/>
      <c r="K53" s="8"/>
      <c r="L53" s="8"/>
      <c r="M53" s="93"/>
      <c r="N53" s="8"/>
      <c r="O53" s="93"/>
      <c r="P53" s="142"/>
      <c r="Q53" s="8"/>
      <c r="R53" s="8"/>
      <c r="S53" s="8"/>
      <c r="T53" s="8"/>
      <c r="U53" s="93"/>
      <c r="V53" s="93"/>
      <c r="W53" s="8"/>
      <c r="X53" s="8"/>
      <c r="Y53" s="8"/>
      <c r="Z53" s="8"/>
      <c r="AA53" s="8"/>
      <c r="AB53" s="8"/>
      <c r="AC53" s="8"/>
      <c r="AD53" s="142"/>
      <c r="AE53" s="8"/>
      <c r="AF53" s="8"/>
      <c r="AG53" s="8"/>
      <c r="AH53" s="93"/>
      <c r="AI53" s="142"/>
      <c r="AJ53" s="8"/>
      <c r="AK53" s="8"/>
      <c r="AL53" s="8"/>
      <c r="AM53" s="93"/>
      <c r="AN53" s="142"/>
      <c r="AO53" s="8"/>
      <c r="AP53" s="8"/>
      <c r="AQ53" s="8"/>
      <c r="AR53" s="93"/>
      <c r="AS53" s="142"/>
      <c r="AT53" s="8"/>
      <c r="AU53" s="8"/>
      <c r="AV53" s="8"/>
      <c r="AW53" s="8"/>
      <c r="AX53" s="142"/>
      <c r="AY53" s="8"/>
      <c r="AZ53" s="8"/>
      <c r="BA53" s="8"/>
      <c r="BB53" s="8"/>
      <c r="BC53" s="8"/>
      <c r="BD53" s="8"/>
      <c r="BE53" s="8"/>
      <c r="BF53" s="8"/>
      <c r="BG53" s="8"/>
      <c r="BH53" s="8"/>
      <c r="BI53" s="8"/>
      <c r="BJ53" s="8"/>
      <c r="BK53" s="8"/>
      <c r="BL53" s="8"/>
      <c r="BM53" s="8"/>
      <c r="BN53" s="8"/>
      <c r="BO53" s="8"/>
      <c r="BP53" s="8"/>
      <c r="BQ53" s="8"/>
      <c r="BR53" s="8"/>
      <c r="BS53" s="8"/>
      <c r="BT53" s="8"/>
      <c r="BU53" s="93"/>
    </row>
    <row r="54" spans="1:73" ht="15.6" customHeight="1" x14ac:dyDescent="0.55000000000000004">
      <c r="A54" s="7"/>
      <c r="B54" s="8"/>
      <c r="C54" s="8"/>
      <c r="D54" s="8"/>
      <c r="E54" s="8"/>
      <c r="F54" s="8"/>
      <c r="G54" s="93"/>
      <c r="H54" s="142"/>
      <c r="I54" s="8"/>
      <c r="J54" s="9"/>
      <c r="K54" s="8"/>
      <c r="L54" s="8"/>
      <c r="M54" s="93"/>
      <c r="N54" s="8"/>
      <c r="O54" s="93"/>
      <c r="P54" s="142"/>
      <c r="Q54" s="8"/>
      <c r="R54" s="8"/>
      <c r="S54" s="8"/>
      <c r="T54" s="8"/>
      <c r="U54" s="93"/>
      <c r="V54" s="93"/>
      <c r="W54" s="8"/>
      <c r="X54" s="8"/>
      <c r="Y54" s="8"/>
      <c r="Z54" s="8"/>
      <c r="AA54" s="8"/>
      <c r="AB54" s="8"/>
      <c r="AC54" s="8"/>
      <c r="AD54" s="142"/>
      <c r="AE54" s="8"/>
      <c r="AF54" s="8"/>
      <c r="AG54" s="8"/>
      <c r="AH54" s="93"/>
      <c r="AI54" s="142"/>
      <c r="AJ54" s="8"/>
      <c r="AK54" s="8"/>
      <c r="AL54" s="8"/>
      <c r="AM54" s="93"/>
      <c r="AN54" s="142"/>
      <c r="AO54" s="8"/>
      <c r="AP54" s="8"/>
      <c r="AQ54" s="8"/>
      <c r="AR54" s="93"/>
      <c r="AS54" s="142"/>
      <c r="AT54" s="8"/>
      <c r="AU54" s="8"/>
      <c r="AV54" s="8"/>
      <c r="AW54" s="8"/>
      <c r="AX54" s="142"/>
      <c r="AY54" s="8"/>
      <c r="AZ54" s="8"/>
      <c r="BA54" s="8"/>
      <c r="BB54" s="8"/>
      <c r="BC54" s="8"/>
      <c r="BD54" s="8"/>
      <c r="BE54" s="8"/>
      <c r="BF54" s="8"/>
      <c r="BG54" s="8"/>
      <c r="BH54" s="8"/>
      <c r="BI54" s="8"/>
      <c r="BJ54" s="8"/>
      <c r="BK54" s="8"/>
      <c r="BL54" s="8"/>
      <c r="BM54" s="8"/>
      <c r="BN54" s="8"/>
      <c r="BO54" s="8"/>
      <c r="BP54" s="8"/>
      <c r="BQ54" s="8"/>
      <c r="BR54" s="8"/>
      <c r="BS54" s="8"/>
      <c r="BT54" s="8"/>
      <c r="BU54" s="93"/>
    </row>
    <row r="55" spans="1:73" ht="15.6" customHeight="1" x14ac:dyDescent="0.55000000000000004">
      <c r="A55" s="7"/>
      <c r="B55" s="8"/>
      <c r="C55" s="8"/>
      <c r="D55" s="8"/>
      <c r="E55" s="8"/>
      <c r="F55" s="8"/>
      <c r="G55" s="93"/>
      <c r="H55" s="142"/>
      <c r="I55" s="8"/>
      <c r="J55" s="9"/>
      <c r="K55" s="8"/>
      <c r="L55" s="8"/>
      <c r="M55" s="93"/>
      <c r="N55" s="8"/>
      <c r="O55" s="93"/>
      <c r="P55" s="142"/>
      <c r="Q55" s="8"/>
      <c r="R55" s="8"/>
      <c r="S55" s="8"/>
      <c r="T55" s="8"/>
      <c r="U55" s="93"/>
      <c r="V55" s="93"/>
      <c r="W55" s="8"/>
      <c r="X55" s="8"/>
      <c r="Y55" s="8"/>
      <c r="Z55" s="8"/>
      <c r="AA55" s="8"/>
      <c r="AB55" s="8"/>
      <c r="AC55" s="8"/>
      <c r="AD55" s="142"/>
      <c r="AE55" s="8"/>
      <c r="AF55" s="8"/>
      <c r="AG55" s="8"/>
      <c r="AH55" s="93"/>
      <c r="AI55" s="142"/>
      <c r="AJ55" s="8"/>
      <c r="AK55" s="8"/>
      <c r="AL55" s="8"/>
      <c r="AM55" s="93"/>
      <c r="AN55" s="142"/>
      <c r="AO55" s="8"/>
      <c r="AP55" s="8"/>
      <c r="AQ55" s="8"/>
      <c r="AR55" s="93"/>
      <c r="AS55" s="142"/>
      <c r="AT55" s="8"/>
      <c r="AU55" s="8"/>
      <c r="AV55" s="8"/>
      <c r="AW55" s="8"/>
      <c r="AX55" s="142"/>
      <c r="AY55" s="8"/>
      <c r="AZ55" s="8"/>
      <c r="BA55" s="8"/>
      <c r="BB55" s="8"/>
      <c r="BC55" s="8"/>
      <c r="BD55" s="8"/>
      <c r="BE55" s="8"/>
      <c r="BF55" s="8"/>
      <c r="BG55" s="8"/>
      <c r="BH55" s="8"/>
      <c r="BI55" s="8"/>
      <c r="BJ55" s="8"/>
      <c r="BK55" s="8"/>
      <c r="BL55" s="8"/>
      <c r="BM55" s="8"/>
      <c r="BN55" s="8"/>
      <c r="BO55" s="8"/>
      <c r="BP55" s="8"/>
      <c r="BQ55" s="8"/>
      <c r="BR55" s="8"/>
      <c r="BS55" s="8"/>
      <c r="BT55" s="8"/>
      <c r="BU55" s="93"/>
    </row>
    <row r="56" spans="1:73" ht="15.6" customHeight="1" x14ac:dyDescent="0.55000000000000004">
      <c r="A56" s="7"/>
      <c r="B56" s="8"/>
      <c r="C56" s="8"/>
      <c r="D56" s="8"/>
      <c r="E56" s="8"/>
      <c r="F56" s="8"/>
      <c r="G56" s="93"/>
      <c r="H56" s="142"/>
      <c r="I56" s="8"/>
      <c r="J56" s="9"/>
      <c r="K56" s="8"/>
      <c r="L56" s="8"/>
      <c r="M56" s="93"/>
      <c r="N56" s="8"/>
      <c r="O56" s="93"/>
      <c r="P56" s="142"/>
      <c r="Q56" s="8"/>
      <c r="R56" s="8"/>
      <c r="S56" s="8"/>
      <c r="T56" s="8"/>
      <c r="U56" s="93"/>
      <c r="V56" s="93"/>
      <c r="W56" s="8"/>
      <c r="X56" s="8"/>
      <c r="Y56" s="8"/>
      <c r="Z56" s="8"/>
      <c r="AA56" s="8"/>
      <c r="AB56" s="8"/>
      <c r="AC56" s="8"/>
      <c r="AD56" s="142"/>
      <c r="AE56" s="8"/>
      <c r="AF56" s="8"/>
      <c r="AG56" s="8"/>
      <c r="AH56" s="93"/>
      <c r="AI56" s="142"/>
      <c r="AJ56" s="8"/>
      <c r="AK56" s="8"/>
      <c r="AL56" s="8"/>
      <c r="AM56" s="93"/>
      <c r="AN56" s="142"/>
      <c r="AO56" s="8"/>
      <c r="AP56" s="8"/>
      <c r="AQ56" s="8"/>
      <c r="AR56" s="93"/>
      <c r="AS56" s="142"/>
      <c r="AT56" s="8"/>
      <c r="AU56" s="8"/>
      <c r="AV56" s="8"/>
      <c r="AW56" s="8"/>
      <c r="AX56" s="142"/>
      <c r="AY56" s="8"/>
      <c r="AZ56" s="8"/>
      <c r="BA56" s="8"/>
      <c r="BB56" s="8"/>
      <c r="BC56" s="8"/>
      <c r="BD56" s="8"/>
      <c r="BE56" s="8"/>
      <c r="BF56" s="8"/>
      <c r="BG56" s="8"/>
      <c r="BH56" s="8"/>
      <c r="BI56" s="8"/>
      <c r="BJ56" s="8"/>
      <c r="BK56" s="8"/>
      <c r="BL56" s="8"/>
      <c r="BM56" s="8"/>
      <c r="BN56" s="8"/>
      <c r="BO56" s="8"/>
      <c r="BP56" s="8"/>
      <c r="BQ56" s="8"/>
      <c r="BR56" s="8"/>
      <c r="BS56" s="8"/>
      <c r="BT56" s="8"/>
      <c r="BU56" s="93"/>
    </row>
    <row r="57" spans="1:73" ht="15.6" customHeight="1" x14ac:dyDescent="0.55000000000000004">
      <c r="A57" s="7"/>
      <c r="B57" s="8"/>
      <c r="C57" s="8"/>
      <c r="D57" s="8"/>
      <c r="E57" s="8"/>
      <c r="F57" s="8"/>
      <c r="G57" s="93"/>
      <c r="H57" s="142"/>
      <c r="I57" s="8"/>
      <c r="J57" s="9"/>
      <c r="K57" s="8"/>
      <c r="L57" s="8"/>
      <c r="M57" s="93"/>
      <c r="N57" s="8"/>
      <c r="O57" s="93"/>
      <c r="P57" s="142"/>
      <c r="Q57" s="8"/>
      <c r="R57" s="8"/>
      <c r="S57" s="8"/>
      <c r="T57" s="8"/>
      <c r="U57" s="93"/>
      <c r="V57" s="93"/>
      <c r="W57" s="8"/>
      <c r="X57" s="8"/>
      <c r="Y57" s="8"/>
      <c r="Z57" s="8"/>
      <c r="AA57" s="8"/>
      <c r="AB57" s="8"/>
      <c r="AC57" s="8"/>
      <c r="AD57" s="142"/>
      <c r="AE57" s="8"/>
      <c r="AF57" s="8"/>
      <c r="AG57" s="8"/>
      <c r="AH57" s="93"/>
      <c r="AI57" s="142"/>
      <c r="AJ57" s="8"/>
      <c r="AK57" s="8"/>
      <c r="AL57" s="8"/>
      <c r="AM57" s="93"/>
      <c r="AN57" s="142"/>
      <c r="AO57" s="8"/>
      <c r="AP57" s="8"/>
      <c r="AQ57" s="8"/>
      <c r="AR57" s="93"/>
      <c r="AS57" s="142"/>
      <c r="AT57" s="8"/>
      <c r="AU57" s="8"/>
      <c r="AV57" s="8"/>
      <c r="AW57" s="8"/>
      <c r="AX57" s="142"/>
      <c r="AY57" s="8"/>
      <c r="AZ57" s="8"/>
      <c r="BA57" s="8"/>
      <c r="BB57" s="8"/>
      <c r="BC57" s="8"/>
      <c r="BD57" s="8"/>
      <c r="BE57" s="8"/>
      <c r="BF57" s="8"/>
      <c r="BG57" s="8"/>
      <c r="BH57" s="8"/>
      <c r="BI57" s="8"/>
      <c r="BJ57" s="8"/>
      <c r="BK57" s="8"/>
      <c r="BL57" s="8"/>
      <c r="BM57" s="8"/>
      <c r="BN57" s="8"/>
      <c r="BO57" s="8"/>
      <c r="BP57" s="8"/>
      <c r="BQ57" s="8"/>
      <c r="BR57" s="8"/>
      <c r="BS57" s="8"/>
      <c r="BT57" s="8"/>
      <c r="BU57" s="93"/>
    </row>
    <row r="58" spans="1:73" ht="15.6" customHeight="1" x14ac:dyDescent="0.55000000000000004">
      <c r="A58" s="7"/>
      <c r="B58" s="8"/>
      <c r="C58" s="8"/>
      <c r="D58" s="8"/>
      <c r="E58" s="8"/>
      <c r="F58" s="8"/>
      <c r="G58" s="93"/>
      <c r="H58" s="142"/>
      <c r="I58" s="8"/>
      <c r="J58" s="9"/>
      <c r="K58" s="8"/>
      <c r="L58" s="8"/>
      <c r="M58" s="93"/>
      <c r="N58" s="8"/>
      <c r="O58" s="93"/>
      <c r="P58" s="142"/>
      <c r="Q58" s="8"/>
      <c r="R58" s="8"/>
      <c r="S58" s="8"/>
      <c r="T58" s="8"/>
      <c r="U58" s="93"/>
      <c r="V58" s="93"/>
      <c r="W58" s="8"/>
      <c r="X58" s="8"/>
      <c r="Y58" s="8"/>
      <c r="Z58" s="8"/>
      <c r="AA58" s="8"/>
      <c r="AB58" s="8"/>
      <c r="AC58" s="8"/>
      <c r="AD58" s="142"/>
      <c r="AE58" s="8"/>
      <c r="AF58" s="8"/>
      <c r="AG58" s="8"/>
      <c r="AH58" s="93"/>
      <c r="AI58" s="142"/>
      <c r="AJ58" s="8"/>
      <c r="AK58" s="8"/>
      <c r="AL58" s="8"/>
      <c r="AM58" s="93"/>
      <c r="AN58" s="142"/>
      <c r="AO58" s="8"/>
      <c r="AP58" s="8"/>
      <c r="AQ58" s="8"/>
      <c r="AR58" s="93"/>
      <c r="AS58" s="142"/>
      <c r="AT58" s="8"/>
      <c r="AU58" s="8"/>
      <c r="AV58" s="8"/>
      <c r="AW58" s="8"/>
      <c r="AX58" s="142"/>
      <c r="AY58" s="8"/>
      <c r="AZ58" s="8"/>
      <c r="BA58" s="8"/>
      <c r="BB58" s="8"/>
      <c r="BC58" s="8"/>
      <c r="BD58" s="8"/>
      <c r="BE58" s="8"/>
      <c r="BF58" s="8"/>
      <c r="BG58" s="8"/>
      <c r="BH58" s="8"/>
      <c r="BI58" s="8"/>
      <c r="BJ58" s="8"/>
      <c r="BK58" s="8"/>
      <c r="BL58" s="8"/>
      <c r="BM58" s="8"/>
      <c r="BN58" s="8"/>
      <c r="BO58" s="8"/>
      <c r="BP58" s="8"/>
      <c r="BQ58" s="8"/>
      <c r="BR58" s="8"/>
      <c r="BS58" s="8"/>
      <c r="BT58" s="8"/>
      <c r="BU58" s="93"/>
    </row>
    <row r="59" spans="1:73" ht="15.6" customHeight="1" x14ac:dyDescent="0.55000000000000004">
      <c r="A59" s="7"/>
      <c r="B59" s="8"/>
      <c r="C59" s="8"/>
      <c r="D59" s="8"/>
      <c r="E59" s="8"/>
      <c r="F59" s="8"/>
      <c r="G59" s="93"/>
      <c r="H59" s="142"/>
      <c r="I59" s="8"/>
      <c r="J59" s="9"/>
      <c r="K59" s="8"/>
      <c r="L59" s="8"/>
      <c r="M59" s="93"/>
      <c r="N59" s="8"/>
      <c r="O59" s="93"/>
      <c r="P59" s="142"/>
      <c r="Q59" s="8"/>
      <c r="R59" s="8"/>
      <c r="S59" s="8"/>
      <c r="T59" s="8"/>
      <c r="U59" s="93"/>
      <c r="V59" s="93"/>
      <c r="W59" s="8"/>
      <c r="X59" s="8"/>
      <c r="Y59" s="8"/>
      <c r="Z59" s="8"/>
      <c r="AA59" s="8"/>
      <c r="AB59" s="8"/>
      <c r="AC59" s="8"/>
      <c r="AD59" s="142"/>
      <c r="AE59" s="8"/>
      <c r="AF59" s="8"/>
      <c r="AG59" s="8"/>
      <c r="AH59" s="93"/>
      <c r="AI59" s="142"/>
      <c r="AJ59" s="8"/>
      <c r="AK59" s="8"/>
      <c r="AL59" s="8"/>
      <c r="AM59" s="93"/>
      <c r="AN59" s="142"/>
      <c r="AO59" s="8"/>
      <c r="AP59" s="8"/>
      <c r="AQ59" s="8"/>
      <c r="AR59" s="93"/>
      <c r="AS59" s="142"/>
      <c r="AT59" s="8"/>
      <c r="AU59" s="8"/>
      <c r="AV59" s="8"/>
      <c r="AW59" s="8"/>
      <c r="AX59" s="142"/>
      <c r="AY59" s="8"/>
      <c r="AZ59" s="8"/>
      <c r="BA59" s="8"/>
      <c r="BB59" s="8"/>
      <c r="BC59" s="8"/>
      <c r="BD59" s="8"/>
      <c r="BE59" s="8"/>
      <c r="BF59" s="8"/>
      <c r="BG59" s="8"/>
      <c r="BH59" s="8"/>
      <c r="BI59" s="8"/>
      <c r="BJ59" s="8"/>
      <c r="BK59" s="8"/>
      <c r="BL59" s="8"/>
      <c r="BM59" s="8"/>
      <c r="BN59" s="8"/>
      <c r="BO59" s="8"/>
      <c r="BP59" s="8"/>
      <c r="BQ59" s="8"/>
      <c r="BR59" s="8"/>
      <c r="BS59" s="8"/>
      <c r="BT59" s="8"/>
      <c r="BU59" s="93"/>
    </row>
    <row r="60" spans="1:73" ht="15.6" customHeight="1" x14ac:dyDescent="0.55000000000000004">
      <c r="A60" s="7"/>
      <c r="B60" s="8"/>
      <c r="C60" s="8"/>
      <c r="D60" s="8"/>
      <c r="E60" s="8"/>
      <c r="F60" s="8"/>
      <c r="G60" s="93"/>
      <c r="H60" s="142"/>
      <c r="I60" s="8"/>
      <c r="J60" s="9"/>
      <c r="K60" s="8"/>
      <c r="L60" s="8"/>
      <c r="M60" s="93"/>
      <c r="N60" s="8"/>
      <c r="O60" s="93"/>
      <c r="P60" s="142"/>
      <c r="Q60" s="8"/>
      <c r="R60" s="8"/>
      <c r="S60" s="8"/>
      <c r="T60" s="8"/>
      <c r="U60" s="93"/>
      <c r="V60" s="93"/>
      <c r="W60" s="8"/>
      <c r="X60" s="8"/>
      <c r="Y60" s="8"/>
      <c r="Z60" s="8"/>
      <c r="AA60" s="8"/>
      <c r="AB60" s="8"/>
      <c r="AC60" s="8"/>
      <c r="AD60" s="142"/>
      <c r="AE60" s="8"/>
      <c r="AF60" s="8"/>
      <c r="AG60" s="8"/>
      <c r="AH60" s="93"/>
      <c r="AI60" s="142"/>
      <c r="AJ60" s="8"/>
      <c r="AK60" s="8"/>
      <c r="AL60" s="8"/>
      <c r="AM60" s="93"/>
      <c r="AN60" s="142"/>
      <c r="AO60" s="8"/>
      <c r="AP60" s="8"/>
      <c r="AQ60" s="8"/>
      <c r="AR60" s="93"/>
      <c r="AS60" s="142"/>
      <c r="AT60" s="8"/>
      <c r="AU60" s="8"/>
      <c r="AV60" s="8"/>
      <c r="AW60" s="8"/>
      <c r="AX60" s="142"/>
      <c r="AY60" s="8"/>
      <c r="AZ60" s="8"/>
      <c r="BA60" s="8"/>
      <c r="BB60" s="8"/>
      <c r="BC60" s="8"/>
      <c r="BD60" s="8"/>
      <c r="BE60" s="8"/>
      <c r="BF60" s="8"/>
      <c r="BG60" s="8"/>
      <c r="BH60" s="8"/>
      <c r="BI60" s="8"/>
      <c r="BJ60" s="8"/>
      <c r="BK60" s="8"/>
      <c r="BL60" s="8"/>
      <c r="BM60" s="8"/>
      <c r="BN60" s="8"/>
      <c r="BO60" s="8"/>
      <c r="BP60" s="8"/>
      <c r="BQ60" s="8"/>
      <c r="BR60" s="8"/>
      <c r="BS60" s="8"/>
      <c r="BT60" s="8"/>
      <c r="BU60" s="93"/>
    </row>
    <row r="61" spans="1:73" ht="15.6" customHeight="1" x14ac:dyDescent="0.55000000000000004">
      <c r="A61" s="7"/>
      <c r="B61" s="8"/>
      <c r="C61" s="8"/>
      <c r="D61" s="8"/>
      <c r="E61" s="8"/>
      <c r="F61" s="8"/>
      <c r="G61" s="93"/>
      <c r="H61" s="142"/>
      <c r="I61" s="8"/>
      <c r="J61" s="9"/>
      <c r="K61" s="8"/>
      <c r="L61" s="8"/>
      <c r="M61" s="93"/>
      <c r="N61" s="8"/>
      <c r="O61" s="93"/>
      <c r="P61" s="142"/>
      <c r="Q61" s="8"/>
      <c r="R61" s="8"/>
      <c r="S61" s="8"/>
      <c r="T61" s="8"/>
      <c r="U61" s="93"/>
      <c r="V61" s="93"/>
      <c r="W61" s="8"/>
      <c r="X61" s="8"/>
      <c r="Y61" s="8"/>
      <c r="Z61" s="8"/>
      <c r="AA61" s="8"/>
      <c r="AB61" s="8"/>
      <c r="AC61" s="8"/>
      <c r="AD61" s="142"/>
      <c r="AE61" s="8"/>
      <c r="AF61" s="8"/>
      <c r="AG61" s="8"/>
      <c r="AH61" s="93"/>
      <c r="AI61" s="142"/>
      <c r="AJ61" s="8"/>
      <c r="AK61" s="8"/>
      <c r="AL61" s="8"/>
      <c r="AM61" s="93"/>
      <c r="AN61" s="142"/>
      <c r="AO61" s="8"/>
      <c r="AP61" s="8"/>
      <c r="AQ61" s="8"/>
      <c r="AR61" s="93"/>
      <c r="AS61" s="142"/>
      <c r="AT61" s="8"/>
      <c r="AU61" s="8"/>
      <c r="AV61" s="8"/>
      <c r="AW61" s="8"/>
      <c r="AX61" s="142"/>
      <c r="AY61" s="8"/>
      <c r="AZ61" s="8"/>
      <c r="BA61" s="8"/>
      <c r="BB61" s="8"/>
      <c r="BC61" s="8"/>
      <c r="BD61" s="8"/>
      <c r="BE61" s="8"/>
      <c r="BF61" s="8"/>
      <c r="BG61" s="8"/>
      <c r="BH61" s="8"/>
      <c r="BI61" s="8"/>
      <c r="BJ61" s="8"/>
      <c r="BK61" s="8"/>
      <c r="BL61" s="8"/>
      <c r="BM61" s="8"/>
      <c r="BN61" s="8"/>
      <c r="BO61" s="8"/>
      <c r="BP61" s="8"/>
      <c r="BQ61" s="8"/>
      <c r="BR61" s="8"/>
      <c r="BS61" s="8"/>
      <c r="BT61" s="8"/>
      <c r="BU61" s="93"/>
    </row>
    <row r="62" spans="1:73" ht="15.6" customHeight="1" x14ac:dyDescent="0.55000000000000004">
      <c r="A62" s="7"/>
      <c r="B62" s="8"/>
      <c r="C62" s="8"/>
      <c r="D62" s="8"/>
      <c r="E62" s="8"/>
      <c r="F62" s="8"/>
      <c r="G62" s="93"/>
      <c r="H62" s="142"/>
      <c r="I62" s="8"/>
      <c r="J62" s="9"/>
      <c r="K62" s="8"/>
      <c r="L62" s="8"/>
      <c r="M62" s="93"/>
      <c r="N62" s="8"/>
      <c r="O62" s="93"/>
      <c r="P62" s="142"/>
      <c r="Q62" s="8"/>
      <c r="R62" s="8"/>
      <c r="S62" s="8"/>
      <c r="T62" s="8"/>
      <c r="U62" s="93"/>
      <c r="V62" s="93"/>
      <c r="W62" s="8"/>
      <c r="X62" s="8"/>
      <c r="Y62" s="8"/>
      <c r="Z62" s="8"/>
      <c r="AA62" s="8"/>
      <c r="AB62" s="8"/>
      <c r="AC62" s="8"/>
      <c r="AD62" s="142"/>
      <c r="AE62" s="8"/>
      <c r="AF62" s="8"/>
      <c r="AG62" s="8"/>
      <c r="AH62" s="93"/>
      <c r="AI62" s="142"/>
      <c r="AJ62" s="8"/>
      <c r="AK62" s="8"/>
      <c r="AL62" s="8"/>
      <c r="AM62" s="93"/>
      <c r="AN62" s="142"/>
      <c r="AO62" s="8"/>
      <c r="AP62" s="8"/>
      <c r="AQ62" s="8"/>
      <c r="AR62" s="93"/>
      <c r="AS62" s="142"/>
      <c r="AT62" s="8"/>
      <c r="AU62" s="8"/>
      <c r="AV62" s="8"/>
      <c r="AW62" s="8"/>
      <c r="AX62" s="142"/>
      <c r="AY62" s="8"/>
      <c r="AZ62" s="8"/>
      <c r="BA62" s="8"/>
      <c r="BB62" s="8"/>
      <c r="BC62" s="8"/>
      <c r="BD62" s="8"/>
      <c r="BE62" s="8"/>
      <c r="BF62" s="8"/>
      <c r="BG62" s="8"/>
      <c r="BH62" s="8"/>
      <c r="BI62" s="8"/>
      <c r="BJ62" s="8"/>
      <c r="BK62" s="8"/>
      <c r="BL62" s="8"/>
      <c r="BM62" s="8"/>
      <c r="BN62" s="8"/>
      <c r="BO62" s="8"/>
      <c r="BP62" s="8"/>
      <c r="BQ62" s="8"/>
      <c r="BR62" s="8"/>
      <c r="BS62" s="8"/>
      <c r="BT62" s="8"/>
      <c r="BU62" s="93"/>
    </row>
    <row r="63" spans="1:73" ht="15.6" customHeight="1" x14ac:dyDescent="0.55000000000000004">
      <c r="A63" s="7"/>
      <c r="B63" s="8"/>
      <c r="C63" s="8"/>
      <c r="D63" s="8"/>
      <c r="E63" s="8"/>
      <c r="F63" s="8"/>
      <c r="G63" s="93"/>
      <c r="H63" s="142"/>
      <c r="I63" s="8"/>
      <c r="J63" s="9"/>
      <c r="K63" s="8"/>
      <c r="L63" s="8"/>
      <c r="M63" s="93"/>
      <c r="N63" s="8"/>
      <c r="O63" s="93"/>
      <c r="P63" s="142"/>
      <c r="Q63" s="8"/>
      <c r="R63" s="8"/>
      <c r="S63" s="8"/>
      <c r="T63" s="8"/>
      <c r="U63" s="93"/>
      <c r="V63" s="93"/>
      <c r="W63" s="8"/>
      <c r="X63" s="8"/>
      <c r="Y63" s="8"/>
      <c r="Z63" s="8"/>
      <c r="AA63" s="8"/>
      <c r="AB63" s="8"/>
      <c r="AC63" s="8"/>
      <c r="AD63" s="142"/>
      <c r="AE63" s="8"/>
      <c r="AF63" s="8"/>
      <c r="AG63" s="8"/>
      <c r="AH63" s="93"/>
      <c r="AI63" s="142"/>
      <c r="AJ63" s="8"/>
      <c r="AK63" s="8"/>
      <c r="AL63" s="8"/>
      <c r="AM63" s="93"/>
      <c r="AN63" s="142"/>
      <c r="AO63" s="8"/>
      <c r="AP63" s="8"/>
      <c r="AQ63" s="8"/>
      <c r="AR63" s="93"/>
      <c r="AS63" s="142"/>
      <c r="AT63" s="8"/>
      <c r="AU63" s="8"/>
      <c r="AV63" s="8"/>
      <c r="AW63" s="8"/>
      <c r="AX63" s="142"/>
      <c r="AY63" s="8"/>
      <c r="AZ63" s="8"/>
      <c r="BA63" s="8"/>
      <c r="BB63" s="8"/>
      <c r="BC63" s="8"/>
      <c r="BD63" s="8"/>
      <c r="BE63" s="8"/>
      <c r="BF63" s="8"/>
      <c r="BG63" s="8"/>
      <c r="BH63" s="8"/>
      <c r="BI63" s="8"/>
      <c r="BJ63" s="8"/>
      <c r="BK63" s="8"/>
      <c r="BL63" s="8"/>
      <c r="BM63" s="8"/>
      <c r="BN63" s="8"/>
      <c r="BO63" s="8"/>
      <c r="BP63" s="8"/>
      <c r="BQ63" s="8"/>
      <c r="BR63" s="8"/>
      <c r="BS63" s="8"/>
      <c r="BT63" s="8"/>
      <c r="BU63" s="93"/>
    </row>
    <row r="64" spans="1:73" ht="15.6" customHeight="1" x14ac:dyDescent="0.55000000000000004">
      <c r="A64" s="7"/>
      <c r="B64" s="8"/>
      <c r="C64" s="8"/>
      <c r="D64" s="8"/>
      <c r="E64" s="8"/>
      <c r="F64" s="8"/>
      <c r="G64" s="93"/>
      <c r="H64" s="142"/>
      <c r="I64" s="8"/>
      <c r="J64" s="9"/>
      <c r="K64" s="8"/>
      <c r="L64" s="8"/>
      <c r="M64" s="93"/>
      <c r="N64" s="8"/>
      <c r="O64" s="93"/>
      <c r="P64" s="142"/>
      <c r="Q64" s="8"/>
      <c r="R64" s="8"/>
      <c r="S64" s="8"/>
      <c r="T64" s="8"/>
      <c r="U64" s="93"/>
      <c r="V64" s="93"/>
      <c r="W64" s="8"/>
      <c r="X64" s="8"/>
      <c r="Y64" s="8"/>
      <c r="Z64" s="8"/>
      <c r="AA64" s="8"/>
      <c r="AB64" s="8"/>
      <c r="AC64" s="8"/>
      <c r="AD64" s="142"/>
      <c r="AE64" s="8"/>
      <c r="AF64" s="8"/>
      <c r="AG64" s="8"/>
      <c r="AH64" s="93"/>
      <c r="AI64" s="142"/>
      <c r="AJ64" s="8"/>
      <c r="AK64" s="8"/>
      <c r="AL64" s="8"/>
      <c r="AM64" s="93"/>
      <c r="AN64" s="142"/>
      <c r="AO64" s="8"/>
      <c r="AP64" s="8"/>
      <c r="AQ64" s="8"/>
      <c r="AR64" s="93"/>
      <c r="AS64" s="142"/>
      <c r="AT64" s="8"/>
      <c r="AU64" s="8"/>
      <c r="AV64" s="8"/>
      <c r="AW64" s="8"/>
      <c r="AX64" s="142"/>
      <c r="AY64" s="8"/>
      <c r="AZ64" s="8"/>
      <c r="BA64" s="8"/>
      <c r="BB64" s="8"/>
      <c r="BC64" s="8"/>
      <c r="BD64" s="8"/>
      <c r="BE64" s="8"/>
      <c r="BF64" s="8"/>
      <c r="BG64" s="8"/>
      <c r="BH64" s="8"/>
      <c r="BI64" s="8"/>
      <c r="BJ64" s="8"/>
      <c r="BK64" s="8"/>
      <c r="BL64" s="8"/>
      <c r="BM64" s="8"/>
      <c r="BN64" s="8"/>
      <c r="BO64" s="8"/>
      <c r="BP64" s="8"/>
      <c r="BQ64" s="8"/>
      <c r="BR64" s="8"/>
      <c r="BS64" s="8"/>
      <c r="BT64" s="8"/>
      <c r="BU64" s="93"/>
    </row>
    <row r="65" spans="1:73" ht="15.6" customHeight="1" x14ac:dyDescent="0.55000000000000004">
      <c r="A65" s="7"/>
      <c r="B65" s="8"/>
      <c r="C65" s="8"/>
      <c r="D65" s="8"/>
      <c r="E65" s="8"/>
      <c r="F65" s="8"/>
      <c r="G65" s="93"/>
      <c r="H65" s="142"/>
      <c r="I65" s="8"/>
      <c r="J65" s="9"/>
      <c r="K65" s="8"/>
      <c r="L65" s="8"/>
      <c r="M65" s="93"/>
      <c r="N65" s="8"/>
      <c r="O65" s="93"/>
      <c r="P65" s="142"/>
      <c r="Q65" s="8"/>
      <c r="R65" s="8"/>
      <c r="S65" s="8"/>
      <c r="T65" s="8"/>
      <c r="U65" s="93"/>
      <c r="V65" s="93"/>
      <c r="W65" s="8"/>
      <c r="X65" s="8"/>
      <c r="Y65" s="8"/>
      <c r="Z65" s="8"/>
      <c r="AA65" s="8"/>
      <c r="AB65" s="8"/>
      <c r="AC65" s="8"/>
      <c r="AD65" s="142"/>
      <c r="AE65" s="8"/>
      <c r="AF65" s="8"/>
      <c r="AG65" s="8"/>
      <c r="AH65" s="93"/>
      <c r="AI65" s="142"/>
      <c r="AJ65" s="8"/>
      <c r="AK65" s="8"/>
      <c r="AL65" s="8"/>
      <c r="AM65" s="93"/>
      <c r="AN65" s="142"/>
      <c r="AO65" s="8"/>
      <c r="AP65" s="8"/>
      <c r="AQ65" s="8"/>
      <c r="AR65" s="93"/>
      <c r="AS65" s="142"/>
      <c r="AT65" s="8"/>
      <c r="AU65" s="8"/>
      <c r="AV65" s="8"/>
      <c r="AW65" s="8"/>
      <c r="AX65" s="142"/>
      <c r="AY65" s="8"/>
      <c r="AZ65" s="8"/>
      <c r="BA65" s="8"/>
      <c r="BB65" s="8"/>
      <c r="BC65" s="8"/>
      <c r="BD65" s="8"/>
      <c r="BE65" s="8"/>
      <c r="BF65" s="8"/>
      <c r="BG65" s="8"/>
      <c r="BH65" s="8"/>
      <c r="BI65" s="8"/>
      <c r="BJ65" s="8"/>
      <c r="BK65" s="8"/>
      <c r="BL65" s="8"/>
      <c r="BM65" s="8"/>
      <c r="BN65" s="8"/>
      <c r="BO65" s="8"/>
      <c r="BP65" s="8"/>
      <c r="BQ65" s="8"/>
      <c r="BR65" s="8"/>
      <c r="BS65" s="8"/>
      <c r="BT65" s="8"/>
      <c r="BU65" s="93"/>
    </row>
    <row r="66" spans="1:73" ht="15.6" customHeight="1" x14ac:dyDescent="0.55000000000000004">
      <c r="A66" s="7"/>
      <c r="B66" s="8"/>
      <c r="C66" s="8"/>
      <c r="D66" s="8"/>
      <c r="E66" s="8"/>
      <c r="F66" s="8"/>
      <c r="G66" s="93"/>
      <c r="H66" s="142"/>
      <c r="I66" s="8"/>
      <c r="J66" s="9"/>
      <c r="K66" s="8"/>
      <c r="L66" s="8"/>
      <c r="M66" s="93"/>
      <c r="N66" s="8"/>
      <c r="O66" s="93"/>
      <c r="P66" s="142"/>
      <c r="Q66" s="8"/>
      <c r="R66" s="8"/>
      <c r="S66" s="8"/>
      <c r="T66" s="8"/>
      <c r="U66" s="93"/>
      <c r="V66" s="93"/>
      <c r="W66" s="8"/>
      <c r="X66" s="8"/>
      <c r="Y66" s="8"/>
      <c r="Z66" s="8"/>
      <c r="AA66" s="8"/>
      <c r="AB66" s="8"/>
      <c r="AC66" s="8"/>
      <c r="AD66" s="142"/>
      <c r="AE66" s="8"/>
      <c r="AF66" s="8"/>
      <c r="AG66" s="8"/>
      <c r="AH66" s="93"/>
      <c r="AI66" s="142"/>
      <c r="AJ66" s="8"/>
      <c r="AK66" s="8"/>
      <c r="AL66" s="8"/>
      <c r="AM66" s="93"/>
      <c r="AN66" s="142"/>
      <c r="AO66" s="8"/>
      <c r="AP66" s="8"/>
      <c r="AQ66" s="8"/>
      <c r="AR66" s="93"/>
      <c r="AS66" s="142"/>
      <c r="AT66" s="8"/>
      <c r="AU66" s="8"/>
      <c r="AV66" s="8"/>
      <c r="AW66" s="8"/>
      <c r="AX66" s="142"/>
      <c r="AY66" s="8"/>
      <c r="AZ66" s="8"/>
      <c r="BA66" s="8"/>
      <c r="BB66" s="8"/>
      <c r="BC66" s="8"/>
      <c r="BD66" s="8"/>
      <c r="BE66" s="8"/>
      <c r="BF66" s="8"/>
      <c r="BG66" s="8"/>
      <c r="BH66" s="8"/>
      <c r="BI66" s="8"/>
      <c r="BJ66" s="8"/>
      <c r="BK66" s="8"/>
      <c r="BL66" s="8"/>
      <c r="BM66" s="8"/>
      <c r="BN66" s="8"/>
      <c r="BO66" s="8"/>
      <c r="BP66" s="8"/>
      <c r="BQ66" s="8"/>
      <c r="BR66" s="8"/>
      <c r="BS66" s="8"/>
      <c r="BT66" s="8"/>
      <c r="BU66" s="93"/>
    </row>
    <row r="67" spans="1:73" ht="15.6" customHeight="1" x14ac:dyDescent="0.55000000000000004">
      <c r="A67" s="7"/>
      <c r="B67" s="8"/>
      <c r="C67" s="8"/>
      <c r="D67" s="8"/>
      <c r="E67" s="8"/>
      <c r="F67" s="8"/>
      <c r="G67" s="93"/>
      <c r="H67" s="142"/>
      <c r="I67" s="8"/>
      <c r="J67" s="9"/>
      <c r="K67" s="8"/>
      <c r="L67" s="8"/>
      <c r="M67" s="93"/>
      <c r="N67" s="8"/>
      <c r="O67" s="93"/>
      <c r="P67" s="142"/>
      <c r="Q67" s="8"/>
      <c r="R67" s="8"/>
      <c r="S67" s="8"/>
      <c r="T67" s="8"/>
      <c r="U67" s="93"/>
      <c r="V67" s="93"/>
      <c r="W67" s="8"/>
      <c r="X67" s="8"/>
      <c r="Y67" s="8"/>
      <c r="Z67" s="8"/>
      <c r="AA67" s="8"/>
      <c r="AB67" s="8"/>
      <c r="AC67" s="8"/>
      <c r="AD67" s="142"/>
      <c r="AE67" s="8"/>
      <c r="AF67" s="8"/>
      <c r="AG67" s="8"/>
      <c r="AH67" s="93"/>
      <c r="AI67" s="142"/>
      <c r="AJ67" s="8"/>
      <c r="AK67" s="8"/>
      <c r="AL67" s="8"/>
      <c r="AM67" s="93"/>
      <c r="AN67" s="142"/>
      <c r="AO67" s="8"/>
      <c r="AP67" s="8"/>
      <c r="AQ67" s="8"/>
      <c r="AR67" s="93"/>
      <c r="AS67" s="142"/>
      <c r="AT67" s="8"/>
      <c r="AU67" s="8"/>
      <c r="AV67" s="8"/>
      <c r="AW67" s="8"/>
      <c r="AX67" s="142"/>
      <c r="AY67" s="8"/>
      <c r="AZ67" s="8"/>
      <c r="BA67" s="8"/>
      <c r="BB67" s="8"/>
      <c r="BC67" s="8"/>
      <c r="BD67" s="8"/>
      <c r="BE67" s="8"/>
      <c r="BF67" s="8"/>
      <c r="BG67" s="8"/>
      <c r="BH67" s="8"/>
      <c r="BI67" s="8"/>
      <c r="BJ67" s="8"/>
      <c r="BK67" s="8"/>
      <c r="BL67" s="8"/>
      <c r="BM67" s="8"/>
      <c r="BN67" s="8"/>
      <c r="BO67" s="8"/>
      <c r="BP67" s="8"/>
      <c r="BQ67" s="8"/>
      <c r="BR67" s="8"/>
      <c r="BS67" s="8"/>
      <c r="BT67" s="8"/>
      <c r="BU67" s="93"/>
    </row>
    <row r="68" spans="1:73" ht="15.6" customHeight="1" x14ac:dyDescent="0.55000000000000004">
      <c r="A68" s="7"/>
      <c r="B68" s="8"/>
      <c r="C68" s="8"/>
      <c r="D68" s="8"/>
      <c r="E68" s="8"/>
      <c r="F68" s="8"/>
      <c r="G68" s="93"/>
      <c r="H68" s="142"/>
      <c r="I68" s="8"/>
      <c r="J68" s="9"/>
      <c r="K68" s="8"/>
      <c r="L68" s="8"/>
      <c r="M68" s="93"/>
      <c r="N68" s="8"/>
      <c r="O68" s="93"/>
      <c r="P68" s="142"/>
      <c r="Q68" s="8"/>
      <c r="R68" s="8"/>
      <c r="S68" s="8"/>
      <c r="T68" s="8"/>
      <c r="U68" s="93"/>
      <c r="V68" s="93"/>
      <c r="W68" s="8"/>
      <c r="X68" s="8"/>
      <c r="Y68" s="8"/>
      <c r="Z68" s="8"/>
      <c r="AA68" s="8"/>
      <c r="AB68" s="8"/>
      <c r="AC68" s="8"/>
      <c r="AD68" s="142"/>
      <c r="AE68" s="8"/>
      <c r="AF68" s="8"/>
      <c r="AG68" s="8"/>
      <c r="AH68" s="93"/>
      <c r="AI68" s="142"/>
      <c r="AJ68" s="8"/>
      <c r="AK68" s="8"/>
      <c r="AL68" s="8"/>
      <c r="AM68" s="93"/>
      <c r="AN68" s="142"/>
      <c r="AO68" s="8"/>
      <c r="AP68" s="8"/>
      <c r="AQ68" s="8"/>
      <c r="AR68" s="93"/>
      <c r="AS68" s="142"/>
      <c r="AT68" s="8"/>
      <c r="AU68" s="8"/>
      <c r="AV68" s="8"/>
      <c r="AW68" s="8"/>
      <c r="AX68" s="142"/>
      <c r="AY68" s="8"/>
      <c r="AZ68" s="8"/>
      <c r="BA68" s="8"/>
      <c r="BB68" s="8"/>
      <c r="BC68" s="8"/>
      <c r="BD68" s="8"/>
      <c r="BE68" s="8"/>
      <c r="BF68" s="8"/>
      <c r="BG68" s="8"/>
      <c r="BH68" s="8"/>
      <c r="BI68" s="8"/>
      <c r="BJ68" s="8"/>
      <c r="BK68" s="8"/>
      <c r="BL68" s="8"/>
      <c r="BM68" s="8"/>
      <c r="BN68" s="8"/>
      <c r="BO68" s="8"/>
      <c r="BP68" s="8"/>
      <c r="BQ68" s="8"/>
      <c r="BR68" s="8"/>
      <c r="BS68" s="8"/>
      <c r="BT68" s="8"/>
      <c r="BU68" s="93"/>
    </row>
    <row r="69" spans="1:73" ht="15.6" customHeight="1" x14ac:dyDescent="0.55000000000000004">
      <c r="A69" s="7"/>
      <c r="B69" s="8"/>
      <c r="C69" s="8"/>
      <c r="D69" s="8"/>
      <c r="E69" s="8"/>
      <c r="F69" s="8"/>
      <c r="G69" s="93"/>
      <c r="H69" s="142"/>
      <c r="I69" s="8"/>
      <c r="J69" s="9"/>
      <c r="K69" s="8"/>
      <c r="L69" s="8"/>
      <c r="M69" s="93"/>
      <c r="N69" s="8"/>
      <c r="O69" s="93"/>
      <c r="P69" s="142"/>
      <c r="Q69" s="8"/>
      <c r="R69" s="8"/>
      <c r="S69" s="8"/>
      <c r="T69" s="8"/>
      <c r="U69" s="93"/>
      <c r="V69" s="93"/>
      <c r="W69" s="8"/>
      <c r="X69" s="8"/>
      <c r="Y69" s="8"/>
      <c r="Z69" s="8"/>
      <c r="AA69" s="8"/>
      <c r="AB69" s="8"/>
      <c r="AC69" s="8"/>
      <c r="AD69" s="142"/>
      <c r="AE69" s="8"/>
      <c r="AF69" s="8"/>
      <c r="AG69" s="8"/>
      <c r="AH69" s="93"/>
      <c r="AI69" s="142"/>
      <c r="AJ69" s="8"/>
      <c r="AK69" s="8"/>
      <c r="AL69" s="8"/>
      <c r="AM69" s="93"/>
      <c r="AN69" s="142"/>
      <c r="AO69" s="8"/>
      <c r="AP69" s="8"/>
      <c r="AQ69" s="8"/>
      <c r="AR69" s="93"/>
      <c r="AS69" s="142"/>
      <c r="AT69" s="8"/>
      <c r="AU69" s="8"/>
      <c r="AV69" s="8"/>
      <c r="AW69" s="8"/>
      <c r="AX69" s="142"/>
      <c r="AY69" s="8"/>
      <c r="AZ69" s="8"/>
      <c r="BA69" s="8"/>
      <c r="BB69" s="8"/>
      <c r="BC69" s="8"/>
      <c r="BD69" s="8"/>
      <c r="BE69" s="8"/>
      <c r="BF69" s="8"/>
      <c r="BG69" s="8"/>
      <c r="BH69" s="8"/>
      <c r="BI69" s="8"/>
      <c r="BJ69" s="8"/>
      <c r="BK69" s="8"/>
      <c r="BL69" s="8"/>
      <c r="BM69" s="8"/>
      <c r="BN69" s="8"/>
      <c r="BO69" s="8"/>
      <c r="BP69" s="8"/>
      <c r="BQ69" s="8"/>
      <c r="BR69" s="8"/>
      <c r="BS69" s="8"/>
      <c r="BT69" s="8"/>
      <c r="BU69" s="93"/>
    </row>
    <row r="70" spans="1:73" ht="15.6" customHeight="1" x14ac:dyDescent="0.55000000000000004">
      <c r="A70" s="7"/>
      <c r="B70" s="8"/>
      <c r="C70" s="8"/>
      <c r="D70" s="8"/>
      <c r="E70" s="8"/>
      <c r="F70" s="8"/>
      <c r="G70" s="93"/>
      <c r="H70" s="142"/>
      <c r="I70" s="8"/>
      <c r="J70" s="9"/>
      <c r="K70" s="8"/>
      <c r="L70" s="8"/>
      <c r="M70" s="93"/>
      <c r="N70" s="8"/>
      <c r="O70" s="93"/>
      <c r="P70" s="142"/>
      <c r="Q70" s="8"/>
      <c r="R70" s="8"/>
      <c r="S70" s="8"/>
      <c r="T70" s="8"/>
      <c r="U70" s="93"/>
      <c r="V70" s="93"/>
      <c r="W70" s="8"/>
      <c r="X70" s="8"/>
      <c r="Y70" s="8"/>
      <c r="Z70" s="8"/>
      <c r="AA70" s="8"/>
      <c r="AB70" s="8"/>
      <c r="AC70" s="8"/>
      <c r="AD70" s="142"/>
      <c r="AE70" s="8"/>
      <c r="AF70" s="8"/>
      <c r="AG70" s="8"/>
      <c r="AH70" s="93"/>
      <c r="AI70" s="142"/>
      <c r="AJ70" s="8"/>
      <c r="AK70" s="8"/>
      <c r="AL70" s="8"/>
      <c r="AM70" s="93"/>
      <c r="AN70" s="142"/>
      <c r="AO70" s="8"/>
      <c r="AP70" s="8"/>
      <c r="AQ70" s="8"/>
      <c r="AR70" s="93"/>
      <c r="AS70" s="142"/>
      <c r="AT70" s="8"/>
      <c r="AU70" s="8"/>
      <c r="AV70" s="8"/>
      <c r="AW70" s="8"/>
      <c r="AX70" s="142"/>
      <c r="AY70" s="8"/>
      <c r="AZ70" s="8"/>
      <c r="BA70" s="8"/>
      <c r="BB70" s="8"/>
      <c r="BC70" s="8"/>
      <c r="BD70" s="8"/>
      <c r="BE70" s="8"/>
      <c r="BF70" s="8"/>
      <c r="BG70" s="8"/>
      <c r="BH70" s="8"/>
      <c r="BI70" s="8"/>
      <c r="BJ70" s="8"/>
      <c r="BK70" s="8"/>
      <c r="BL70" s="8"/>
      <c r="BM70" s="8"/>
      <c r="BN70" s="8"/>
      <c r="BO70" s="8"/>
      <c r="BP70" s="8"/>
      <c r="BQ70" s="8"/>
      <c r="BR70" s="8"/>
      <c r="BS70" s="8"/>
      <c r="BT70" s="8"/>
      <c r="BU70" s="93"/>
    </row>
    <row r="71" spans="1:73" ht="15.6" customHeight="1" x14ac:dyDescent="0.55000000000000004">
      <c r="A71" s="7"/>
      <c r="B71" s="8"/>
      <c r="C71" s="8"/>
      <c r="D71" s="8"/>
      <c r="E71" s="8"/>
      <c r="F71" s="8"/>
      <c r="G71" s="93"/>
      <c r="H71" s="142"/>
      <c r="I71" s="8"/>
      <c r="J71" s="9"/>
      <c r="K71" s="8"/>
      <c r="L71" s="8"/>
      <c r="M71" s="93"/>
      <c r="N71" s="8"/>
      <c r="O71" s="93"/>
      <c r="P71" s="142"/>
      <c r="Q71" s="8"/>
      <c r="R71" s="8"/>
      <c r="S71" s="8"/>
      <c r="T71" s="8"/>
      <c r="U71" s="93"/>
      <c r="V71" s="93"/>
      <c r="W71" s="8"/>
      <c r="X71" s="8"/>
      <c r="Y71" s="8"/>
      <c r="Z71" s="8"/>
      <c r="AA71" s="8"/>
      <c r="AB71" s="8"/>
      <c r="AC71" s="8"/>
      <c r="AD71" s="142"/>
      <c r="AE71" s="8"/>
      <c r="AF71" s="8"/>
      <c r="AG71" s="8"/>
      <c r="AH71" s="93"/>
      <c r="AI71" s="142"/>
      <c r="AJ71" s="8"/>
      <c r="AK71" s="8"/>
      <c r="AL71" s="8"/>
      <c r="AM71" s="93"/>
      <c r="AN71" s="142"/>
      <c r="AO71" s="8"/>
      <c r="AP71" s="8"/>
      <c r="AQ71" s="8"/>
      <c r="AR71" s="93"/>
      <c r="AS71" s="142"/>
      <c r="AT71" s="8"/>
      <c r="AU71" s="8"/>
      <c r="AV71" s="8"/>
      <c r="AW71" s="8"/>
      <c r="AX71" s="142"/>
      <c r="AY71" s="8"/>
      <c r="AZ71" s="8"/>
      <c r="BA71" s="8"/>
      <c r="BB71" s="8"/>
      <c r="BC71" s="8"/>
      <c r="BD71" s="8"/>
      <c r="BE71" s="8"/>
      <c r="BF71" s="8"/>
      <c r="BG71" s="8"/>
      <c r="BH71" s="8"/>
      <c r="BI71" s="8"/>
      <c r="BJ71" s="8"/>
      <c r="BK71" s="8"/>
      <c r="BL71" s="8"/>
      <c r="BM71" s="8"/>
      <c r="BN71" s="8"/>
      <c r="BO71" s="8"/>
      <c r="BP71" s="8"/>
      <c r="BQ71" s="8"/>
      <c r="BR71" s="8"/>
      <c r="BS71" s="8"/>
      <c r="BT71" s="8"/>
      <c r="BU71" s="93"/>
    </row>
    <row r="72" spans="1:73" ht="15.6" customHeight="1" x14ac:dyDescent="0.55000000000000004">
      <c r="A72" s="7"/>
      <c r="B72" s="8"/>
      <c r="C72" s="8"/>
      <c r="D72" s="8"/>
      <c r="E72" s="8"/>
      <c r="F72" s="8"/>
      <c r="G72" s="93"/>
      <c r="H72" s="142"/>
      <c r="I72" s="8"/>
      <c r="J72" s="9"/>
      <c r="K72" s="8"/>
      <c r="L72" s="8"/>
      <c r="M72" s="93"/>
      <c r="N72" s="8"/>
      <c r="O72" s="93"/>
      <c r="P72" s="142"/>
      <c r="Q72" s="8"/>
      <c r="R72" s="8"/>
      <c r="S72" s="8"/>
      <c r="T72" s="8"/>
      <c r="U72" s="93"/>
      <c r="V72" s="93"/>
      <c r="W72" s="8"/>
      <c r="X72" s="8"/>
      <c r="Y72" s="8"/>
      <c r="Z72" s="8"/>
      <c r="AA72" s="8"/>
      <c r="AB72" s="8"/>
      <c r="AC72" s="8"/>
      <c r="AD72" s="142"/>
      <c r="AE72" s="8"/>
      <c r="AF72" s="8"/>
      <c r="AG72" s="8"/>
      <c r="AH72" s="93"/>
      <c r="AI72" s="142"/>
      <c r="AJ72" s="8"/>
      <c r="AK72" s="8"/>
      <c r="AL72" s="8"/>
      <c r="AM72" s="93"/>
      <c r="AN72" s="142"/>
      <c r="AO72" s="8"/>
      <c r="AP72" s="8"/>
      <c r="AQ72" s="8"/>
      <c r="AR72" s="93"/>
      <c r="AS72" s="142"/>
      <c r="AT72" s="8"/>
      <c r="AU72" s="8"/>
      <c r="AV72" s="8"/>
      <c r="AW72" s="8"/>
      <c r="AX72" s="142"/>
      <c r="AY72" s="8"/>
      <c r="AZ72" s="8"/>
      <c r="BA72" s="8"/>
      <c r="BB72" s="8"/>
      <c r="BC72" s="8"/>
      <c r="BD72" s="8"/>
      <c r="BE72" s="8"/>
      <c r="BF72" s="8"/>
      <c r="BG72" s="8"/>
      <c r="BH72" s="8"/>
      <c r="BI72" s="8"/>
      <c r="BJ72" s="8"/>
      <c r="BK72" s="8"/>
      <c r="BL72" s="8"/>
      <c r="BM72" s="8"/>
      <c r="BN72" s="8"/>
      <c r="BO72" s="8"/>
      <c r="BP72" s="8"/>
      <c r="BQ72" s="8"/>
      <c r="BR72" s="8"/>
      <c r="BS72" s="8"/>
      <c r="BT72" s="8"/>
      <c r="BU72" s="93"/>
    </row>
    <row r="73" spans="1:73" ht="15.6" customHeight="1" x14ac:dyDescent="0.55000000000000004">
      <c r="A73" s="7"/>
      <c r="B73" s="8"/>
      <c r="C73" s="8"/>
      <c r="D73" s="8"/>
      <c r="E73" s="8"/>
      <c r="F73" s="8"/>
      <c r="G73" s="93"/>
      <c r="H73" s="142"/>
      <c r="I73" s="8"/>
      <c r="J73" s="9"/>
      <c r="K73" s="8"/>
      <c r="L73" s="8"/>
      <c r="M73" s="93"/>
      <c r="N73" s="8"/>
      <c r="O73" s="93"/>
      <c r="P73" s="142"/>
      <c r="Q73" s="8"/>
      <c r="R73" s="8"/>
      <c r="S73" s="8"/>
      <c r="T73" s="8"/>
      <c r="U73" s="93"/>
      <c r="V73" s="93"/>
      <c r="W73" s="8"/>
      <c r="X73" s="8"/>
      <c r="Y73" s="8"/>
      <c r="Z73" s="8"/>
      <c r="AA73" s="8"/>
      <c r="AB73" s="8"/>
      <c r="AC73" s="8"/>
      <c r="AD73" s="142"/>
      <c r="AE73" s="8"/>
      <c r="AF73" s="8"/>
      <c r="AG73" s="8"/>
      <c r="AH73" s="93"/>
      <c r="AI73" s="142"/>
      <c r="AJ73" s="8"/>
      <c r="AK73" s="8"/>
      <c r="AL73" s="8"/>
      <c r="AM73" s="93"/>
      <c r="AN73" s="142"/>
      <c r="AO73" s="8"/>
      <c r="AP73" s="8"/>
      <c r="AQ73" s="8"/>
      <c r="AR73" s="93"/>
      <c r="AS73" s="142"/>
      <c r="AT73" s="8"/>
      <c r="AU73" s="8"/>
      <c r="AV73" s="8"/>
      <c r="AW73" s="8"/>
      <c r="AX73" s="142"/>
      <c r="AY73" s="8"/>
      <c r="AZ73" s="8"/>
      <c r="BA73" s="8"/>
      <c r="BB73" s="8"/>
      <c r="BC73" s="8"/>
      <c r="BD73" s="8"/>
      <c r="BE73" s="8"/>
      <c r="BF73" s="8"/>
      <c r="BG73" s="8"/>
      <c r="BH73" s="8"/>
      <c r="BI73" s="8"/>
      <c r="BJ73" s="8"/>
      <c r="BK73" s="8"/>
      <c r="BL73" s="8"/>
      <c r="BM73" s="8"/>
      <c r="BN73" s="8"/>
      <c r="BO73" s="8"/>
      <c r="BP73" s="8"/>
      <c r="BQ73" s="8"/>
      <c r="BR73" s="8"/>
      <c r="BS73" s="8"/>
      <c r="BT73" s="8"/>
      <c r="BU73" s="93"/>
    </row>
    <row r="74" spans="1:73" ht="15.6" customHeight="1" x14ac:dyDescent="0.55000000000000004">
      <c r="A74" s="7"/>
      <c r="B74" s="8"/>
      <c r="C74" s="8"/>
      <c r="D74" s="8"/>
      <c r="E74" s="8"/>
      <c r="F74" s="8"/>
      <c r="G74" s="93"/>
      <c r="H74" s="142"/>
      <c r="I74" s="8"/>
      <c r="J74" s="9"/>
      <c r="K74" s="8"/>
      <c r="L74" s="8"/>
      <c r="M74" s="93"/>
      <c r="N74" s="8"/>
      <c r="O74" s="93"/>
      <c r="P74" s="142"/>
      <c r="Q74" s="8"/>
      <c r="R74" s="8"/>
      <c r="S74" s="8"/>
      <c r="T74" s="8"/>
      <c r="U74" s="93"/>
      <c r="V74" s="93"/>
      <c r="W74" s="8"/>
      <c r="X74" s="8"/>
      <c r="Y74" s="8"/>
      <c r="Z74" s="8"/>
      <c r="AA74" s="8"/>
      <c r="AB74" s="8"/>
      <c r="AC74" s="8"/>
      <c r="AD74" s="142"/>
      <c r="AE74" s="8"/>
      <c r="AF74" s="8"/>
      <c r="AG74" s="8"/>
      <c r="AH74" s="93"/>
      <c r="AI74" s="142"/>
      <c r="AJ74" s="8"/>
      <c r="AK74" s="8"/>
      <c r="AL74" s="8"/>
      <c r="AM74" s="93"/>
      <c r="AN74" s="142"/>
      <c r="AO74" s="8"/>
      <c r="AP74" s="8"/>
      <c r="AQ74" s="8"/>
      <c r="AR74" s="93"/>
      <c r="AS74" s="142"/>
      <c r="AT74" s="8"/>
      <c r="AU74" s="8"/>
      <c r="AV74" s="8"/>
      <c r="AW74" s="8"/>
      <c r="AX74" s="142"/>
      <c r="AY74" s="8"/>
      <c r="AZ74" s="8"/>
      <c r="BA74" s="8"/>
      <c r="BB74" s="8"/>
      <c r="BC74" s="8"/>
      <c r="BD74" s="8"/>
      <c r="BE74" s="8"/>
      <c r="BF74" s="8"/>
      <c r="BG74" s="8"/>
      <c r="BH74" s="8"/>
      <c r="BI74" s="8"/>
      <c r="BJ74" s="8"/>
      <c r="BK74" s="8"/>
      <c r="BL74" s="8"/>
      <c r="BM74" s="8"/>
      <c r="BN74" s="8"/>
      <c r="BO74" s="8"/>
      <c r="BP74" s="8"/>
      <c r="BQ74" s="8"/>
      <c r="BR74" s="8"/>
      <c r="BS74" s="8"/>
      <c r="BT74" s="8"/>
      <c r="BU74" s="93"/>
    </row>
    <row r="75" spans="1:73" ht="15.6" customHeight="1" x14ac:dyDescent="0.55000000000000004">
      <c r="A75" s="7"/>
      <c r="B75" s="8"/>
      <c r="C75" s="8"/>
      <c r="D75" s="8"/>
      <c r="E75" s="8"/>
      <c r="F75" s="8"/>
      <c r="G75" s="93"/>
      <c r="H75" s="142"/>
      <c r="I75" s="8"/>
      <c r="J75" s="9"/>
      <c r="K75" s="8"/>
      <c r="L75" s="8"/>
      <c r="M75" s="93"/>
      <c r="N75" s="8"/>
      <c r="O75" s="93"/>
      <c r="P75" s="142"/>
      <c r="Q75" s="8"/>
      <c r="R75" s="8"/>
      <c r="S75" s="8"/>
      <c r="T75" s="8"/>
      <c r="U75" s="93"/>
      <c r="V75" s="93"/>
      <c r="W75" s="8"/>
      <c r="X75" s="8"/>
      <c r="Y75" s="8"/>
      <c r="Z75" s="8"/>
      <c r="AA75" s="8"/>
      <c r="AB75" s="8"/>
      <c r="AC75" s="8"/>
      <c r="AD75" s="142"/>
      <c r="AE75" s="8"/>
      <c r="AF75" s="8"/>
      <c r="AG75" s="8"/>
      <c r="AH75" s="93"/>
      <c r="AI75" s="142"/>
      <c r="AJ75" s="8"/>
      <c r="AK75" s="8"/>
      <c r="AL75" s="8"/>
      <c r="AM75" s="93"/>
      <c r="AN75" s="142"/>
      <c r="AO75" s="8"/>
      <c r="AP75" s="8"/>
      <c r="AQ75" s="8"/>
      <c r="AR75" s="93"/>
      <c r="AS75" s="142"/>
      <c r="AT75" s="8"/>
      <c r="AU75" s="8"/>
      <c r="AV75" s="8"/>
      <c r="AW75" s="8"/>
      <c r="AX75" s="142"/>
      <c r="AY75" s="8"/>
      <c r="AZ75" s="8"/>
      <c r="BA75" s="8"/>
      <c r="BB75" s="8"/>
      <c r="BC75" s="8"/>
      <c r="BD75" s="8"/>
      <c r="BE75" s="8"/>
      <c r="BF75" s="8"/>
      <c r="BG75" s="8"/>
      <c r="BH75" s="8"/>
      <c r="BI75" s="8"/>
      <c r="BJ75" s="8"/>
      <c r="BK75" s="8"/>
      <c r="BL75" s="8"/>
      <c r="BM75" s="8"/>
      <c r="BN75" s="8"/>
      <c r="BO75" s="8"/>
      <c r="BP75" s="8"/>
      <c r="BQ75" s="8"/>
      <c r="BR75" s="8"/>
      <c r="BS75" s="8"/>
      <c r="BT75" s="8"/>
      <c r="BU75" s="93"/>
    </row>
    <row r="76" spans="1:73" ht="15.6" customHeight="1" x14ac:dyDescent="0.55000000000000004">
      <c r="A76" s="7"/>
      <c r="B76" s="8"/>
      <c r="C76" s="8"/>
      <c r="D76" s="8"/>
      <c r="E76" s="8"/>
      <c r="F76" s="8"/>
      <c r="G76" s="93"/>
      <c r="H76" s="142"/>
      <c r="I76" s="8"/>
      <c r="J76" s="9"/>
      <c r="K76" s="8"/>
      <c r="L76" s="8"/>
      <c r="M76" s="93"/>
      <c r="N76" s="8"/>
      <c r="O76" s="93"/>
      <c r="P76" s="142"/>
      <c r="Q76" s="8"/>
      <c r="R76" s="8"/>
      <c r="S76" s="8"/>
      <c r="T76" s="8"/>
      <c r="U76" s="93"/>
      <c r="V76" s="93"/>
      <c r="W76" s="8"/>
      <c r="X76" s="8"/>
      <c r="Y76" s="8"/>
      <c r="Z76" s="8"/>
      <c r="AA76" s="8"/>
      <c r="AB76" s="8"/>
      <c r="AC76" s="8"/>
      <c r="AD76" s="142"/>
      <c r="AE76" s="8"/>
      <c r="AF76" s="8"/>
      <c r="AG76" s="8"/>
      <c r="AH76" s="93"/>
      <c r="AI76" s="142"/>
      <c r="AJ76" s="8"/>
      <c r="AK76" s="8"/>
      <c r="AL76" s="8"/>
      <c r="AM76" s="93"/>
      <c r="AN76" s="142"/>
      <c r="AO76" s="8"/>
      <c r="AP76" s="8"/>
      <c r="AQ76" s="8"/>
      <c r="AR76" s="93"/>
      <c r="AS76" s="142"/>
      <c r="AT76" s="8"/>
      <c r="AU76" s="8"/>
      <c r="AV76" s="8"/>
      <c r="AW76" s="8"/>
      <c r="AX76" s="142"/>
      <c r="AY76" s="8"/>
      <c r="AZ76" s="8"/>
      <c r="BA76" s="8"/>
      <c r="BB76" s="8"/>
      <c r="BC76" s="8"/>
      <c r="BD76" s="8"/>
      <c r="BE76" s="8"/>
      <c r="BF76" s="8"/>
      <c r="BG76" s="8"/>
      <c r="BH76" s="8"/>
      <c r="BI76" s="8"/>
      <c r="BJ76" s="8"/>
      <c r="BK76" s="8"/>
      <c r="BL76" s="8"/>
      <c r="BM76" s="8"/>
      <c r="BN76" s="8"/>
      <c r="BO76" s="8"/>
      <c r="BP76" s="8"/>
      <c r="BQ76" s="8"/>
      <c r="BR76" s="8"/>
      <c r="BS76" s="8"/>
      <c r="BT76" s="8"/>
      <c r="BU76" s="93"/>
    </row>
    <row r="77" spans="1:73" ht="15.6" customHeight="1" x14ac:dyDescent="0.55000000000000004">
      <c r="A77" s="7"/>
      <c r="B77" s="8"/>
      <c r="C77" s="8"/>
      <c r="D77" s="8"/>
      <c r="E77" s="8"/>
      <c r="F77" s="8"/>
      <c r="G77" s="93"/>
      <c r="H77" s="142"/>
      <c r="I77" s="8"/>
      <c r="J77" s="9"/>
      <c r="K77" s="8"/>
      <c r="L77" s="8"/>
      <c r="M77" s="93"/>
      <c r="N77" s="8"/>
      <c r="O77" s="93"/>
      <c r="P77" s="142"/>
      <c r="Q77" s="8"/>
      <c r="R77" s="8"/>
      <c r="S77" s="8"/>
      <c r="T77" s="8"/>
      <c r="U77" s="93"/>
      <c r="V77" s="93"/>
      <c r="W77" s="8"/>
      <c r="X77" s="8"/>
      <c r="Y77" s="8"/>
      <c r="Z77" s="8"/>
      <c r="AA77" s="8"/>
      <c r="AB77" s="8"/>
      <c r="AC77" s="8"/>
      <c r="AD77" s="142"/>
      <c r="AE77" s="8"/>
      <c r="AF77" s="8"/>
      <c r="AG77" s="8"/>
      <c r="AH77" s="93"/>
      <c r="AI77" s="142"/>
      <c r="AJ77" s="8"/>
      <c r="AK77" s="8"/>
      <c r="AL77" s="8"/>
      <c r="AM77" s="93"/>
      <c r="AN77" s="142"/>
      <c r="AO77" s="8"/>
      <c r="AP77" s="8"/>
      <c r="AQ77" s="8"/>
      <c r="AR77" s="93"/>
      <c r="AS77" s="142"/>
      <c r="AT77" s="8"/>
      <c r="AU77" s="8"/>
      <c r="AV77" s="8"/>
      <c r="AW77" s="8"/>
      <c r="AX77" s="142"/>
      <c r="AY77" s="8"/>
      <c r="AZ77" s="8"/>
      <c r="BA77" s="8"/>
      <c r="BB77" s="8"/>
      <c r="BC77" s="8"/>
      <c r="BD77" s="8"/>
      <c r="BE77" s="8"/>
      <c r="BF77" s="8"/>
      <c r="BG77" s="8"/>
      <c r="BH77" s="8"/>
      <c r="BI77" s="8"/>
      <c r="BJ77" s="8"/>
      <c r="BK77" s="8"/>
      <c r="BL77" s="8"/>
      <c r="BM77" s="8"/>
      <c r="BN77" s="8"/>
      <c r="BO77" s="8"/>
      <c r="BP77" s="8"/>
      <c r="BQ77" s="8"/>
      <c r="BR77" s="8"/>
      <c r="BS77" s="8"/>
      <c r="BT77" s="8"/>
      <c r="BU77" s="93"/>
    </row>
    <row r="78" spans="1:73" ht="15.6" customHeight="1" x14ac:dyDescent="0.55000000000000004">
      <c r="A78" s="7"/>
      <c r="B78" s="8"/>
      <c r="C78" s="8"/>
      <c r="D78" s="8"/>
      <c r="E78" s="8"/>
      <c r="F78" s="8"/>
      <c r="G78" s="93"/>
      <c r="H78" s="142"/>
      <c r="I78" s="8"/>
      <c r="J78" s="9"/>
      <c r="K78" s="8"/>
      <c r="L78" s="8"/>
      <c r="M78" s="93"/>
      <c r="N78" s="8"/>
      <c r="O78" s="93"/>
      <c r="P78" s="142"/>
      <c r="Q78" s="8"/>
      <c r="R78" s="8"/>
      <c r="S78" s="8"/>
      <c r="T78" s="8"/>
      <c r="U78" s="93"/>
      <c r="V78" s="93"/>
      <c r="W78" s="8"/>
      <c r="X78" s="8"/>
      <c r="Y78" s="8"/>
      <c r="Z78" s="8"/>
      <c r="AA78" s="8"/>
      <c r="AB78" s="8"/>
      <c r="AC78" s="8"/>
      <c r="AD78" s="142"/>
      <c r="AE78" s="8"/>
      <c r="AF78" s="8"/>
      <c r="AG78" s="8"/>
      <c r="AH78" s="93"/>
      <c r="AI78" s="142"/>
      <c r="AJ78" s="8"/>
      <c r="AK78" s="8"/>
      <c r="AL78" s="8"/>
      <c r="AM78" s="93"/>
      <c r="AN78" s="142"/>
      <c r="AO78" s="8"/>
      <c r="AP78" s="8"/>
      <c r="AQ78" s="8"/>
      <c r="AR78" s="93"/>
      <c r="AS78" s="142"/>
      <c r="AT78" s="8"/>
      <c r="AU78" s="8"/>
      <c r="AV78" s="8"/>
      <c r="AW78" s="8"/>
      <c r="AX78" s="142"/>
      <c r="AY78" s="8"/>
      <c r="AZ78" s="8"/>
      <c r="BA78" s="8"/>
      <c r="BB78" s="8"/>
      <c r="BC78" s="8"/>
      <c r="BD78" s="8"/>
      <c r="BE78" s="8"/>
      <c r="BF78" s="8"/>
      <c r="BG78" s="8"/>
      <c r="BH78" s="8"/>
      <c r="BI78" s="8"/>
      <c r="BJ78" s="8"/>
      <c r="BK78" s="8"/>
      <c r="BL78" s="8"/>
      <c r="BM78" s="8"/>
      <c r="BN78" s="8"/>
      <c r="BO78" s="8"/>
      <c r="BP78" s="8"/>
      <c r="BQ78" s="8"/>
      <c r="BR78" s="8"/>
      <c r="BS78" s="8"/>
      <c r="BT78" s="8"/>
      <c r="BU78" s="93"/>
    </row>
    <row r="79" spans="1:73" ht="15.6" customHeight="1" x14ac:dyDescent="0.55000000000000004">
      <c r="A79" s="7"/>
      <c r="B79" s="8"/>
      <c r="C79" s="8"/>
      <c r="D79" s="8"/>
      <c r="E79" s="8"/>
      <c r="F79" s="8"/>
      <c r="G79" s="93"/>
      <c r="H79" s="142"/>
      <c r="I79" s="8"/>
      <c r="J79" s="9"/>
      <c r="K79" s="8"/>
      <c r="L79" s="8"/>
      <c r="M79" s="93"/>
      <c r="N79" s="8"/>
      <c r="O79" s="93"/>
      <c r="P79" s="142"/>
      <c r="Q79" s="8"/>
      <c r="R79" s="8"/>
      <c r="S79" s="8"/>
      <c r="T79" s="8"/>
      <c r="U79" s="93"/>
      <c r="V79" s="93"/>
      <c r="W79" s="8"/>
      <c r="X79" s="8"/>
      <c r="Y79" s="8"/>
      <c r="Z79" s="8"/>
      <c r="AA79" s="8"/>
      <c r="AB79" s="8"/>
      <c r="AC79" s="8"/>
      <c r="AD79" s="142"/>
      <c r="AE79" s="8"/>
      <c r="AF79" s="8"/>
      <c r="AG79" s="8"/>
      <c r="AH79" s="93"/>
      <c r="AI79" s="142"/>
      <c r="AJ79" s="8"/>
      <c r="AK79" s="8"/>
      <c r="AL79" s="8"/>
      <c r="AM79" s="93"/>
      <c r="AN79" s="142"/>
      <c r="AO79" s="8"/>
      <c r="AP79" s="8"/>
      <c r="AQ79" s="8"/>
      <c r="AR79" s="93"/>
      <c r="AS79" s="142"/>
      <c r="AT79" s="8"/>
      <c r="AU79" s="8"/>
      <c r="AV79" s="8"/>
      <c r="AW79" s="8"/>
      <c r="AX79" s="142"/>
      <c r="AY79" s="8"/>
      <c r="AZ79" s="8"/>
      <c r="BA79" s="8"/>
      <c r="BB79" s="8"/>
      <c r="BC79" s="8"/>
      <c r="BD79" s="8"/>
      <c r="BE79" s="8"/>
      <c r="BF79" s="8"/>
      <c r="BG79" s="8"/>
      <c r="BH79" s="8"/>
      <c r="BI79" s="8"/>
      <c r="BJ79" s="8"/>
      <c r="BK79" s="8"/>
      <c r="BL79" s="8"/>
      <c r="BM79" s="8"/>
      <c r="BN79" s="8"/>
      <c r="BO79" s="8"/>
      <c r="BP79" s="8"/>
      <c r="BQ79" s="8"/>
      <c r="BR79" s="8"/>
      <c r="BS79" s="8"/>
      <c r="BT79" s="8"/>
      <c r="BU79" s="93"/>
    </row>
    <row r="80" spans="1:73" ht="15.6" customHeight="1" x14ac:dyDescent="0.55000000000000004">
      <c r="A80" s="7"/>
      <c r="B80" s="8"/>
      <c r="C80" s="8"/>
      <c r="D80" s="8"/>
      <c r="E80" s="8"/>
      <c r="F80" s="8"/>
      <c r="G80" s="93"/>
      <c r="H80" s="142"/>
      <c r="I80" s="8"/>
      <c r="J80" s="9"/>
      <c r="K80" s="8"/>
      <c r="L80" s="8"/>
      <c r="M80" s="93"/>
      <c r="N80" s="8"/>
      <c r="O80" s="93"/>
      <c r="P80" s="142"/>
      <c r="Q80" s="8"/>
      <c r="R80" s="8"/>
      <c r="S80" s="8"/>
      <c r="T80" s="8"/>
      <c r="U80" s="93"/>
      <c r="V80" s="93"/>
      <c r="W80" s="8"/>
      <c r="X80" s="8"/>
      <c r="Y80" s="8"/>
      <c r="Z80" s="8"/>
      <c r="AA80" s="8"/>
      <c r="AB80" s="8"/>
      <c r="AC80" s="8"/>
      <c r="AD80" s="142"/>
      <c r="AE80" s="8"/>
      <c r="AF80" s="8"/>
      <c r="AG80" s="8"/>
      <c r="AH80" s="93"/>
      <c r="AI80" s="142"/>
      <c r="AJ80" s="8"/>
      <c r="AK80" s="8"/>
      <c r="AL80" s="8"/>
      <c r="AM80" s="93"/>
      <c r="AN80" s="142"/>
      <c r="AO80" s="8"/>
      <c r="AP80" s="8"/>
      <c r="AQ80" s="8"/>
      <c r="AR80" s="93"/>
      <c r="AS80" s="142"/>
      <c r="AT80" s="8"/>
      <c r="AU80" s="8"/>
      <c r="AV80" s="8"/>
      <c r="AW80" s="8"/>
      <c r="AX80" s="142"/>
      <c r="AY80" s="8"/>
      <c r="AZ80" s="8"/>
      <c r="BA80" s="8"/>
      <c r="BB80" s="8"/>
      <c r="BC80" s="8"/>
      <c r="BD80" s="8"/>
      <c r="BE80" s="8"/>
      <c r="BF80" s="8"/>
      <c r="BG80" s="8"/>
      <c r="BH80" s="8"/>
      <c r="BI80" s="8"/>
      <c r="BJ80" s="8"/>
      <c r="BK80" s="8"/>
      <c r="BL80" s="8"/>
      <c r="BM80" s="8"/>
      <c r="BN80" s="8"/>
      <c r="BO80" s="8"/>
      <c r="BP80" s="8"/>
      <c r="BQ80" s="8"/>
      <c r="BR80" s="8"/>
      <c r="BS80" s="8"/>
      <c r="BT80" s="8"/>
      <c r="BU80" s="93"/>
    </row>
    <row r="81" spans="1:216" ht="15.6" customHeight="1" x14ac:dyDescent="0.55000000000000004">
      <c r="A81" s="7"/>
      <c r="B81" s="8"/>
      <c r="C81" s="8"/>
      <c r="D81" s="8"/>
      <c r="E81" s="8"/>
      <c r="F81" s="8"/>
      <c r="G81" s="93"/>
      <c r="H81" s="142"/>
      <c r="I81" s="8"/>
      <c r="J81" s="9"/>
      <c r="K81" s="8"/>
      <c r="L81" s="8"/>
      <c r="M81" s="93"/>
      <c r="N81" s="8"/>
      <c r="O81" s="93"/>
      <c r="P81" s="142"/>
      <c r="Q81" s="8"/>
      <c r="R81" s="8"/>
      <c r="S81" s="8"/>
      <c r="T81" s="8"/>
      <c r="U81" s="93"/>
      <c r="V81" s="93"/>
      <c r="W81" s="8"/>
      <c r="X81" s="8"/>
      <c r="Y81" s="8"/>
      <c r="Z81" s="8"/>
      <c r="AA81" s="8"/>
      <c r="AB81" s="8"/>
      <c r="AC81" s="8"/>
      <c r="AD81" s="142"/>
      <c r="AE81" s="8"/>
      <c r="AF81" s="8"/>
      <c r="AG81" s="8"/>
      <c r="AH81" s="93"/>
      <c r="AI81" s="142"/>
      <c r="AJ81" s="8"/>
      <c r="AK81" s="8"/>
      <c r="AL81" s="8"/>
      <c r="AM81" s="93"/>
      <c r="AN81" s="142"/>
      <c r="AO81" s="8"/>
      <c r="AP81" s="8"/>
      <c r="AQ81" s="8"/>
      <c r="AR81" s="93"/>
      <c r="AS81" s="142"/>
      <c r="AT81" s="8"/>
      <c r="AU81" s="8"/>
      <c r="AV81" s="8"/>
      <c r="AW81" s="8"/>
      <c r="AX81" s="142"/>
      <c r="AY81" s="8"/>
      <c r="AZ81" s="8"/>
      <c r="BA81" s="8"/>
      <c r="BB81" s="8"/>
      <c r="BC81" s="8"/>
      <c r="BD81" s="8"/>
      <c r="BE81" s="8"/>
      <c r="BF81" s="8"/>
      <c r="BG81" s="8"/>
      <c r="BH81" s="8"/>
      <c r="BI81" s="8"/>
      <c r="BJ81" s="8"/>
      <c r="BK81" s="8"/>
      <c r="BL81" s="8"/>
      <c r="BM81" s="8"/>
      <c r="BN81" s="8"/>
      <c r="BO81" s="8"/>
      <c r="BP81" s="8"/>
      <c r="BQ81" s="8"/>
      <c r="BR81" s="8"/>
      <c r="BS81" s="8"/>
      <c r="BT81" s="8"/>
      <c r="BU81" s="93"/>
    </row>
    <row r="82" spans="1:216" ht="15.6" customHeight="1" x14ac:dyDescent="0.55000000000000004">
      <c r="A82" s="7"/>
      <c r="B82" s="8"/>
      <c r="C82" s="8"/>
      <c r="D82" s="8"/>
      <c r="E82" s="8"/>
      <c r="F82" s="8"/>
      <c r="G82" s="93"/>
      <c r="H82" s="142"/>
      <c r="I82" s="8"/>
      <c r="J82" s="9"/>
      <c r="K82" s="8"/>
      <c r="L82" s="8"/>
      <c r="M82" s="93"/>
      <c r="N82" s="8"/>
      <c r="O82" s="93"/>
      <c r="P82" s="142"/>
      <c r="Q82" s="8"/>
      <c r="R82" s="8"/>
      <c r="S82" s="8"/>
      <c r="T82" s="8"/>
      <c r="U82" s="93"/>
      <c r="V82" s="93"/>
      <c r="W82" s="8"/>
      <c r="X82" s="8"/>
      <c r="Y82" s="8"/>
      <c r="Z82" s="8"/>
      <c r="AA82" s="8"/>
      <c r="AB82" s="8"/>
      <c r="AC82" s="8"/>
      <c r="AD82" s="142"/>
      <c r="AE82" s="8"/>
      <c r="AF82" s="8"/>
      <c r="AG82" s="8"/>
      <c r="AH82" s="93"/>
      <c r="AI82" s="142"/>
      <c r="AJ82" s="8"/>
      <c r="AK82" s="8"/>
      <c r="AL82" s="8"/>
      <c r="AM82" s="93"/>
      <c r="AN82" s="142"/>
      <c r="AO82" s="8"/>
      <c r="AP82" s="8"/>
      <c r="AQ82" s="8"/>
      <c r="AR82" s="93"/>
      <c r="AS82" s="142"/>
      <c r="AT82" s="8"/>
      <c r="AU82" s="8"/>
      <c r="AV82" s="8"/>
      <c r="AW82" s="8"/>
      <c r="AX82" s="142"/>
      <c r="AY82" s="8"/>
      <c r="AZ82" s="8"/>
      <c r="BA82" s="8"/>
      <c r="BB82" s="8"/>
      <c r="BC82" s="8"/>
      <c r="BD82" s="8"/>
      <c r="BE82" s="8"/>
      <c r="BF82" s="8"/>
      <c r="BG82" s="8"/>
      <c r="BH82" s="8"/>
      <c r="BI82" s="8"/>
      <c r="BJ82" s="8"/>
      <c r="BK82" s="8"/>
      <c r="BL82" s="8"/>
      <c r="BM82" s="8"/>
      <c r="BN82" s="8"/>
      <c r="BO82" s="8"/>
      <c r="BP82" s="8"/>
      <c r="BQ82" s="8"/>
      <c r="BR82" s="8"/>
      <c r="BS82" s="8"/>
      <c r="BT82" s="8"/>
      <c r="BU82" s="93"/>
    </row>
    <row r="83" spans="1:216" ht="15.6" customHeight="1" x14ac:dyDescent="0.55000000000000004">
      <c r="A83" s="7"/>
      <c r="B83" s="8"/>
      <c r="C83" s="8"/>
      <c r="D83" s="8"/>
      <c r="E83" s="8"/>
      <c r="F83" s="8"/>
      <c r="G83" s="93"/>
      <c r="H83" s="142"/>
      <c r="I83" s="8"/>
      <c r="J83" s="9"/>
      <c r="K83" s="8"/>
      <c r="L83" s="8"/>
      <c r="M83" s="93"/>
      <c r="N83" s="8"/>
      <c r="O83" s="93"/>
      <c r="P83" s="142"/>
      <c r="Q83" s="8"/>
      <c r="R83" s="8"/>
      <c r="S83" s="8"/>
      <c r="T83" s="8"/>
      <c r="U83" s="93"/>
      <c r="V83" s="93"/>
      <c r="W83" s="8"/>
      <c r="X83" s="8"/>
      <c r="Y83" s="8"/>
      <c r="Z83" s="8"/>
      <c r="AA83" s="8"/>
      <c r="AB83" s="8"/>
      <c r="AC83" s="8"/>
      <c r="AD83" s="142"/>
      <c r="AE83" s="8"/>
      <c r="AF83" s="8"/>
      <c r="AG83" s="8"/>
      <c r="AH83" s="93"/>
      <c r="AI83" s="142"/>
      <c r="AJ83" s="8"/>
      <c r="AK83" s="8"/>
      <c r="AL83" s="8"/>
      <c r="AM83" s="93"/>
      <c r="AN83" s="142"/>
      <c r="AO83" s="8"/>
      <c r="AP83" s="8"/>
      <c r="AQ83" s="8"/>
      <c r="AR83" s="93"/>
      <c r="AS83" s="142"/>
      <c r="AT83" s="8"/>
      <c r="AU83" s="8"/>
      <c r="AV83" s="8"/>
      <c r="AW83" s="8"/>
      <c r="AX83" s="142"/>
      <c r="AY83" s="8"/>
      <c r="AZ83" s="8"/>
      <c r="BA83" s="8"/>
      <c r="BB83" s="8"/>
      <c r="BC83" s="8"/>
      <c r="BD83" s="8"/>
      <c r="BE83" s="8"/>
      <c r="BF83" s="8"/>
      <c r="BG83" s="8"/>
      <c r="BH83" s="8"/>
      <c r="BI83" s="8"/>
      <c r="BJ83" s="8"/>
      <c r="BK83" s="8"/>
      <c r="BL83" s="8"/>
      <c r="BM83" s="8"/>
      <c r="BN83" s="8"/>
      <c r="BO83" s="8"/>
      <c r="BP83" s="8"/>
      <c r="BQ83" s="8"/>
      <c r="BR83" s="8"/>
      <c r="BS83" s="8"/>
      <c r="BT83" s="8"/>
      <c r="BU83" s="93"/>
    </row>
    <row r="84" spans="1:216" ht="15.6" customHeight="1" x14ac:dyDescent="0.55000000000000004">
      <c r="A84" s="7"/>
      <c r="B84" s="8"/>
      <c r="C84" s="8"/>
      <c r="D84" s="8"/>
      <c r="E84" s="8"/>
      <c r="F84" s="8"/>
      <c r="G84" s="93"/>
      <c r="H84" s="142"/>
      <c r="I84" s="8"/>
      <c r="J84" s="9"/>
      <c r="K84" s="8"/>
      <c r="L84" s="8"/>
      <c r="M84" s="93"/>
      <c r="N84" s="8"/>
      <c r="O84" s="93"/>
      <c r="P84" s="142"/>
      <c r="Q84" s="8"/>
      <c r="R84" s="8"/>
      <c r="S84" s="8"/>
      <c r="T84" s="8"/>
      <c r="U84" s="93"/>
      <c r="V84" s="93"/>
      <c r="W84" s="8"/>
      <c r="X84" s="8"/>
      <c r="Y84" s="8"/>
      <c r="Z84" s="8"/>
      <c r="AA84" s="8"/>
      <c r="AB84" s="8"/>
      <c r="AC84" s="8"/>
      <c r="AD84" s="142"/>
      <c r="AE84" s="8"/>
      <c r="AF84" s="8"/>
      <c r="AG84" s="8"/>
      <c r="AH84" s="93"/>
      <c r="AI84" s="142"/>
      <c r="AJ84" s="8"/>
      <c r="AK84" s="8"/>
      <c r="AL84" s="8"/>
      <c r="AM84" s="93"/>
      <c r="AN84" s="142"/>
      <c r="AO84" s="8"/>
      <c r="AP84" s="8"/>
      <c r="AQ84" s="8"/>
      <c r="AR84" s="93"/>
      <c r="AS84" s="142"/>
      <c r="AT84" s="8"/>
      <c r="AU84" s="8"/>
      <c r="AV84" s="8"/>
      <c r="AW84" s="8"/>
      <c r="AX84" s="142"/>
      <c r="AY84" s="8"/>
      <c r="AZ84" s="8"/>
      <c r="BA84" s="8"/>
      <c r="BB84" s="8"/>
      <c r="BC84" s="8"/>
      <c r="BD84" s="8"/>
      <c r="BE84" s="8"/>
      <c r="BF84" s="8"/>
      <c r="BG84" s="8"/>
      <c r="BH84" s="8"/>
      <c r="BI84" s="8"/>
      <c r="BJ84" s="8"/>
      <c r="BK84" s="8"/>
      <c r="BL84" s="8"/>
      <c r="BM84" s="8"/>
      <c r="BN84" s="8"/>
      <c r="BO84" s="8"/>
      <c r="BP84" s="8"/>
      <c r="BQ84" s="8"/>
      <c r="BR84" s="8"/>
      <c r="BS84" s="8"/>
      <c r="BT84" s="8"/>
      <c r="BU84" s="93"/>
    </row>
    <row r="85" spans="1:216" ht="15.6" customHeight="1" x14ac:dyDescent="0.55000000000000004">
      <c r="A85" s="121"/>
      <c r="B85" s="8"/>
      <c r="C85" s="8"/>
      <c r="D85" s="8"/>
      <c r="E85" s="8"/>
      <c r="F85" s="8"/>
      <c r="G85" s="93"/>
      <c r="H85" s="142"/>
      <c r="I85" s="8"/>
      <c r="J85" s="9"/>
      <c r="K85" s="8"/>
      <c r="L85" s="8"/>
      <c r="M85" s="93"/>
      <c r="N85" s="8"/>
      <c r="O85" s="93"/>
      <c r="P85" s="142"/>
      <c r="Q85" s="8"/>
      <c r="R85" s="8"/>
      <c r="S85" s="8"/>
      <c r="T85" s="8"/>
      <c r="U85" s="93"/>
      <c r="V85" s="93"/>
      <c r="W85" s="8"/>
      <c r="X85" s="8"/>
      <c r="Y85" s="8"/>
      <c r="Z85" s="8"/>
      <c r="AA85" s="8"/>
      <c r="AB85" s="8"/>
      <c r="AC85" s="8"/>
      <c r="AD85" s="142"/>
      <c r="AE85" s="8"/>
      <c r="AF85" s="8"/>
      <c r="AG85" s="8"/>
      <c r="AH85" s="93"/>
      <c r="AI85" s="142"/>
      <c r="AJ85" s="8"/>
      <c r="AK85" s="8"/>
      <c r="AL85" s="8"/>
      <c r="AM85" s="93"/>
      <c r="AN85" s="142"/>
      <c r="AO85" s="8"/>
      <c r="AP85" s="8"/>
      <c r="AQ85" s="8"/>
      <c r="AR85" s="93"/>
      <c r="AS85" s="142"/>
      <c r="AT85" s="8"/>
      <c r="AU85" s="8"/>
      <c r="AV85" s="8"/>
      <c r="AW85" s="8"/>
      <c r="AX85" s="142"/>
      <c r="AY85" s="8"/>
      <c r="AZ85" s="8"/>
      <c r="BA85" s="8"/>
      <c r="BB85" s="8"/>
      <c r="BC85" s="8"/>
      <c r="BD85" s="8"/>
      <c r="BE85" s="8"/>
      <c r="BF85" s="8"/>
      <c r="BG85" s="8"/>
      <c r="BH85" s="8"/>
      <c r="BI85" s="8"/>
      <c r="BJ85" s="8"/>
      <c r="BK85" s="8"/>
      <c r="BL85" s="8"/>
      <c r="BM85" s="8"/>
      <c r="BN85" s="8"/>
      <c r="BO85" s="8"/>
      <c r="BP85" s="8"/>
      <c r="BQ85" s="8"/>
      <c r="BR85" s="8"/>
      <c r="BS85" s="8"/>
      <c r="BT85" s="8"/>
      <c r="BU85" s="93"/>
    </row>
    <row r="86" spans="1:216" ht="15.6" customHeight="1" x14ac:dyDescent="0.55000000000000004">
      <c r="A86" s="121">
        <v>1</v>
      </c>
      <c r="B86" s="122">
        <v>1</v>
      </c>
      <c r="C86" s="122">
        <v>1</v>
      </c>
      <c r="D86" s="122">
        <v>1</v>
      </c>
      <c r="E86" s="122">
        <v>1</v>
      </c>
      <c r="F86" s="122">
        <v>1</v>
      </c>
      <c r="G86" s="123">
        <v>1</v>
      </c>
      <c r="H86" s="143">
        <v>1</v>
      </c>
      <c r="I86" s="122">
        <v>1</v>
      </c>
      <c r="J86" s="170">
        <v>1</v>
      </c>
      <c r="K86" s="122">
        <v>1</v>
      </c>
      <c r="L86" s="122">
        <v>1</v>
      </c>
      <c r="M86" s="122">
        <v>1</v>
      </c>
      <c r="N86" s="122">
        <v>1</v>
      </c>
      <c r="O86" s="123">
        <v>1</v>
      </c>
      <c r="P86" s="143">
        <v>1</v>
      </c>
      <c r="Q86" s="122">
        <v>1</v>
      </c>
      <c r="R86" s="122">
        <v>1</v>
      </c>
      <c r="S86" s="122">
        <v>1</v>
      </c>
      <c r="T86" s="122">
        <v>1</v>
      </c>
      <c r="U86" s="123">
        <v>1</v>
      </c>
      <c r="V86" s="123">
        <v>1</v>
      </c>
      <c r="W86" s="122">
        <v>1</v>
      </c>
      <c r="X86" s="122">
        <v>1</v>
      </c>
      <c r="Y86" s="122">
        <v>1</v>
      </c>
      <c r="Z86" s="122">
        <v>1</v>
      </c>
      <c r="AA86" s="122">
        <v>1</v>
      </c>
      <c r="AB86" s="122">
        <v>1</v>
      </c>
      <c r="AC86" s="122">
        <v>1</v>
      </c>
      <c r="AD86" s="143">
        <v>1</v>
      </c>
      <c r="AE86" s="122">
        <v>1</v>
      </c>
      <c r="AF86" s="122">
        <v>1</v>
      </c>
      <c r="AG86" s="122">
        <v>1</v>
      </c>
      <c r="AH86" s="123">
        <v>1</v>
      </c>
      <c r="AI86" s="143">
        <v>1</v>
      </c>
      <c r="AJ86" s="122">
        <v>1</v>
      </c>
      <c r="AK86" s="122">
        <v>1</v>
      </c>
      <c r="AL86" s="122">
        <v>1</v>
      </c>
      <c r="AM86" s="123">
        <v>1</v>
      </c>
      <c r="AN86" s="143">
        <v>1</v>
      </c>
      <c r="AO86" s="122">
        <v>1</v>
      </c>
      <c r="AP86" s="122">
        <v>1</v>
      </c>
      <c r="AQ86" s="122">
        <v>1</v>
      </c>
      <c r="AR86" s="123">
        <v>1</v>
      </c>
      <c r="AS86" s="143">
        <v>1</v>
      </c>
      <c r="AT86" s="122">
        <v>1</v>
      </c>
      <c r="AU86" s="122">
        <v>1</v>
      </c>
      <c r="AV86" s="122">
        <v>1</v>
      </c>
      <c r="AW86" s="122">
        <v>1</v>
      </c>
      <c r="AX86" s="143">
        <v>1</v>
      </c>
      <c r="AY86" s="122">
        <v>1</v>
      </c>
      <c r="AZ86" s="122">
        <v>1</v>
      </c>
      <c r="BA86" s="122">
        <v>1</v>
      </c>
      <c r="BB86" s="122">
        <v>1</v>
      </c>
      <c r="BC86" s="122">
        <v>1</v>
      </c>
      <c r="BD86" s="122">
        <v>1</v>
      </c>
      <c r="BE86" s="122">
        <v>1</v>
      </c>
      <c r="BF86" s="122">
        <v>1</v>
      </c>
      <c r="BG86" s="122">
        <v>1</v>
      </c>
      <c r="BH86" s="122">
        <v>1</v>
      </c>
      <c r="BI86" s="122">
        <v>1</v>
      </c>
      <c r="BJ86" s="122">
        <v>1</v>
      </c>
      <c r="BK86" s="122">
        <v>1</v>
      </c>
      <c r="BL86" s="122">
        <v>1</v>
      </c>
      <c r="BM86" s="122">
        <v>1</v>
      </c>
      <c r="BN86" s="122">
        <v>1</v>
      </c>
      <c r="BO86" s="122">
        <v>1</v>
      </c>
      <c r="BP86" s="122">
        <v>1</v>
      </c>
      <c r="BQ86" s="122">
        <v>1</v>
      </c>
      <c r="BR86" s="122">
        <v>1</v>
      </c>
      <c r="BS86" s="122">
        <v>1</v>
      </c>
      <c r="BT86" s="122">
        <v>1</v>
      </c>
      <c r="BU86" s="123">
        <v>1</v>
      </c>
      <c r="BV86" s="124">
        <v>1</v>
      </c>
      <c r="BW86" s="124">
        <v>1</v>
      </c>
      <c r="BX86" s="124">
        <v>1</v>
      </c>
      <c r="BY86" s="124">
        <v>1</v>
      </c>
      <c r="BZ86" s="124">
        <v>1</v>
      </c>
      <c r="CA86" s="124">
        <v>1</v>
      </c>
      <c r="CB86" s="124">
        <v>1</v>
      </c>
      <c r="CC86" s="124">
        <v>1</v>
      </c>
      <c r="CD86" s="124">
        <v>1</v>
      </c>
      <c r="CE86" s="124">
        <v>1</v>
      </c>
      <c r="CF86" s="124">
        <v>1</v>
      </c>
      <c r="CG86" s="124">
        <v>1</v>
      </c>
      <c r="CH86" s="124">
        <v>1</v>
      </c>
      <c r="CI86" s="124">
        <v>1</v>
      </c>
      <c r="CJ86" s="124">
        <v>1</v>
      </c>
      <c r="CK86" s="124">
        <v>1</v>
      </c>
      <c r="CL86" s="124">
        <v>1</v>
      </c>
      <c r="CM86" s="124">
        <v>1</v>
      </c>
      <c r="CN86" s="124">
        <v>1</v>
      </c>
      <c r="CO86" s="124">
        <v>1</v>
      </c>
      <c r="CP86" s="124">
        <v>1</v>
      </c>
      <c r="CQ86" s="124">
        <v>1</v>
      </c>
      <c r="CR86" s="124">
        <v>1</v>
      </c>
      <c r="CS86" s="124">
        <v>1</v>
      </c>
      <c r="CT86" s="124">
        <v>1</v>
      </c>
      <c r="CU86" s="124">
        <v>1</v>
      </c>
      <c r="CV86" s="124">
        <v>1</v>
      </c>
      <c r="CW86" s="124">
        <v>1</v>
      </c>
      <c r="CX86" s="124">
        <v>1</v>
      </c>
      <c r="CY86" s="124">
        <v>1</v>
      </c>
      <c r="CZ86" s="124">
        <v>1</v>
      </c>
      <c r="DA86" s="124"/>
      <c r="DB86" s="124">
        <v>1</v>
      </c>
      <c r="DC86" s="124">
        <v>1</v>
      </c>
      <c r="DD86" s="124">
        <v>1</v>
      </c>
      <c r="DE86" s="124"/>
      <c r="DF86" s="124">
        <v>1</v>
      </c>
      <c r="DG86" s="124">
        <v>1</v>
      </c>
      <c r="DH86" s="124">
        <v>1</v>
      </c>
      <c r="DI86" s="124">
        <v>1</v>
      </c>
      <c r="DJ86" s="124"/>
      <c r="DK86" s="124">
        <v>1</v>
      </c>
      <c r="DL86" s="124">
        <v>1</v>
      </c>
      <c r="DM86" s="124">
        <v>1</v>
      </c>
      <c r="DN86" s="124"/>
      <c r="DO86" s="124">
        <v>1</v>
      </c>
      <c r="DP86" s="124">
        <v>1</v>
      </c>
      <c r="DQ86" s="124">
        <v>1</v>
      </c>
      <c r="DR86" s="124">
        <v>1</v>
      </c>
      <c r="DS86" s="124">
        <v>1</v>
      </c>
      <c r="DT86" s="124">
        <v>1</v>
      </c>
      <c r="DU86" s="124">
        <v>1</v>
      </c>
      <c r="DV86" s="124">
        <v>1</v>
      </c>
      <c r="DW86" s="124">
        <v>1</v>
      </c>
      <c r="DX86" s="124"/>
      <c r="DY86" s="124">
        <v>1</v>
      </c>
      <c r="DZ86" s="124"/>
      <c r="EA86" s="124">
        <v>1</v>
      </c>
      <c r="EB86" s="124"/>
      <c r="EC86" s="124">
        <v>1</v>
      </c>
      <c r="ED86" s="124"/>
      <c r="EE86" s="124">
        <v>1</v>
      </c>
      <c r="EF86" s="124">
        <v>1</v>
      </c>
      <c r="EG86" s="124">
        <v>1</v>
      </c>
      <c r="EH86" s="124">
        <v>1</v>
      </c>
      <c r="EI86" s="124">
        <v>1</v>
      </c>
      <c r="EJ86" s="124">
        <v>1</v>
      </c>
      <c r="EK86" s="124">
        <v>1</v>
      </c>
      <c r="EL86" s="124">
        <v>1</v>
      </c>
      <c r="EM86" s="124">
        <v>1</v>
      </c>
      <c r="EN86" s="124">
        <v>1</v>
      </c>
      <c r="EO86" s="124">
        <v>1</v>
      </c>
      <c r="EP86" s="124">
        <v>1</v>
      </c>
      <c r="EQ86" s="124">
        <v>1</v>
      </c>
      <c r="ER86" s="124">
        <v>1</v>
      </c>
      <c r="ES86" s="124">
        <v>1</v>
      </c>
      <c r="ET86" s="124">
        <v>1</v>
      </c>
      <c r="EU86" s="124">
        <v>1</v>
      </c>
      <c r="EV86" s="124">
        <v>1</v>
      </c>
      <c r="EW86" s="124">
        <v>1</v>
      </c>
      <c r="EX86" s="124">
        <v>1</v>
      </c>
      <c r="EY86" s="124">
        <v>1</v>
      </c>
      <c r="EZ86" s="124">
        <v>1</v>
      </c>
      <c r="FA86" s="124">
        <v>1</v>
      </c>
      <c r="FB86" s="124">
        <v>1</v>
      </c>
      <c r="FC86" s="124">
        <v>1</v>
      </c>
      <c r="FD86" s="124">
        <v>1</v>
      </c>
      <c r="FE86" s="124">
        <v>1</v>
      </c>
      <c r="FF86" s="124">
        <v>1</v>
      </c>
      <c r="FG86" s="124">
        <v>1</v>
      </c>
      <c r="FH86" s="124">
        <v>1</v>
      </c>
      <c r="FI86" s="124">
        <v>1</v>
      </c>
      <c r="FJ86" s="124">
        <v>1</v>
      </c>
      <c r="FK86" s="124">
        <v>1</v>
      </c>
      <c r="FL86" s="124">
        <v>1</v>
      </c>
      <c r="FM86" s="124">
        <v>1</v>
      </c>
      <c r="FN86" s="124">
        <v>1</v>
      </c>
      <c r="FO86" s="124">
        <v>1</v>
      </c>
      <c r="FP86" s="124">
        <v>1</v>
      </c>
      <c r="FQ86" s="124">
        <v>1</v>
      </c>
      <c r="FR86" s="124">
        <v>1</v>
      </c>
      <c r="FS86" s="124">
        <v>1</v>
      </c>
      <c r="FT86" s="124">
        <v>1</v>
      </c>
      <c r="FU86" s="124">
        <v>1</v>
      </c>
      <c r="FV86" s="124">
        <v>1</v>
      </c>
      <c r="FW86" s="124">
        <v>1</v>
      </c>
      <c r="FX86" s="124">
        <v>1</v>
      </c>
      <c r="FY86" s="124">
        <v>1</v>
      </c>
      <c r="FZ86" s="124">
        <v>1</v>
      </c>
      <c r="GA86" s="124">
        <v>1</v>
      </c>
      <c r="GB86" s="124">
        <v>1</v>
      </c>
      <c r="GC86" s="124">
        <v>1</v>
      </c>
      <c r="GD86" s="124">
        <v>1</v>
      </c>
      <c r="GE86" s="124">
        <v>1</v>
      </c>
      <c r="GF86" s="124">
        <v>1</v>
      </c>
      <c r="GG86" s="124">
        <v>1</v>
      </c>
      <c r="GH86" s="124">
        <v>1</v>
      </c>
      <c r="GI86" s="124">
        <v>1</v>
      </c>
      <c r="GJ86" s="124">
        <v>1</v>
      </c>
      <c r="GK86" s="124">
        <v>1</v>
      </c>
      <c r="GL86" s="124">
        <v>1</v>
      </c>
      <c r="GM86" s="124">
        <v>1</v>
      </c>
      <c r="GN86" s="124">
        <v>1</v>
      </c>
      <c r="GO86" s="124">
        <v>1</v>
      </c>
      <c r="GP86" s="124">
        <v>1</v>
      </c>
      <c r="GQ86" s="124">
        <v>1</v>
      </c>
      <c r="GR86" s="124">
        <v>1</v>
      </c>
      <c r="GS86" s="124">
        <v>1</v>
      </c>
      <c r="GT86" s="124">
        <v>1</v>
      </c>
      <c r="GU86" s="124">
        <v>1</v>
      </c>
      <c r="GV86" s="124">
        <v>1</v>
      </c>
      <c r="GW86" s="124">
        <v>1</v>
      </c>
      <c r="GX86" s="124">
        <v>1</v>
      </c>
      <c r="GY86" s="124">
        <v>1</v>
      </c>
      <c r="GZ86" s="124">
        <v>1</v>
      </c>
      <c r="HA86" s="124">
        <v>1</v>
      </c>
      <c r="HB86" s="124">
        <v>1</v>
      </c>
      <c r="HC86" s="124">
        <v>1</v>
      </c>
      <c r="HD86" s="124">
        <v>1</v>
      </c>
      <c r="HE86" s="124">
        <v>1</v>
      </c>
      <c r="HF86" s="124">
        <v>1</v>
      </c>
      <c r="HG86" s="124">
        <v>1</v>
      </c>
      <c r="HH86" s="124">
        <v>1</v>
      </c>
    </row>
    <row r="87" spans="1:216" ht="15.6" customHeight="1" x14ac:dyDescent="0.55000000000000004">
      <c r="A87" s="7"/>
      <c r="B87" s="8"/>
      <c r="C87" s="8"/>
      <c r="D87" s="8"/>
      <c r="E87" s="8"/>
      <c r="F87" s="8"/>
      <c r="G87" s="93"/>
      <c r="H87" s="142"/>
      <c r="I87" s="93"/>
      <c r="J87" s="9"/>
      <c r="K87" s="8"/>
      <c r="L87" s="8"/>
      <c r="M87" s="93"/>
      <c r="N87" s="8"/>
      <c r="O87" s="93"/>
      <c r="P87" s="142"/>
      <c r="Q87" s="8"/>
      <c r="R87" s="8"/>
      <c r="S87" s="8"/>
      <c r="T87" s="8"/>
      <c r="U87" s="93"/>
      <c r="V87" s="219"/>
      <c r="W87" s="9"/>
      <c r="X87" s="8"/>
      <c r="Y87" s="8"/>
      <c r="Z87" s="8"/>
      <c r="AA87" s="8"/>
      <c r="AB87" s="8"/>
      <c r="AC87" s="8"/>
      <c r="AD87" s="136"/>
      <c r="AE87" s="8"/>
      <c r="AF87" s="8"/>
      <c r="AG87" s="8"/>
      <c r="AH87" s="93"/>
      <c r="AI87" s="142"/>
      <c r="AJ87" s="8"/>
      <c r="AK87" s="8"/>
      <c r="AL87" s="8"/>
      <c r="AM87" s="93"/>
      <c r="AN87" s="142"/>
      <c r="AO87" s="8"/>
      <c r="AP87" s="8"/>
      <c r="AQ87" s="8"/>
      <c r="AR87" s="93"/>
      <c r="AS87" s="142"/>
      <c r="AT87" s="8"/>
      <c r="AU87" s="8"/>
      <c r="AV87" s="8"/>
      <c r="AW87" s="8"/>
      <c r="AX87" s="142"/>
      <c r="AY87" s="8"/>
      <c r="AZ87" s="8"/>
      <c r="BA87" s="8"/>
      <c r="BB87" s="8"/>
      <c r="BC87" s="8"/>
      <c r="BD87" s="8"/>
      <c r="BE87" s="8"/>
      <c r="BF87" s="8"/>
      <c r="BG87" s="8"/>
      <c r="BH87" s="8"/>
      <c r="BI87" s="8"/>
      <c r="BJ87" s="8"/>
      <c r="BK87" s="8"/>
      <c r="BL87" s="8"/>
      <c r="BM87" s="8"/>
      <c r="BN87" s="8"/>
      <c r="BO87" s="8"/>
      <c r="BP87" s="8"/>
      <c r="BQ87" s="8"/>
      <c r="BR87" s="8"/>
      <c r="BS87" s="8"/>
      <c r="BT87" s="8"/>
      <c r="BU87" s="93"/>
    </row>
    <row r="88" spans="1:216" ht="15.6" customHeight="1" x14ac:dyDescent="0.55000000000000004">
      <c r="A88" s="7"/>
      <c r="B88" s="8"/>
      <c r="C88" s="8"/>
      <c r="D88" s="8"/>
      <c r="E88" s="8"/>
      <c r="F88" s="8"/>
      <c r="G88" s="93"/>
      <c r="H88" s="142"/>
      <c r="I88" s="93"/>
      <c r="J88" s="9"/>
      <c r="K88" s="8"/>
      <c r="L88" s="8"/>
      <c r="M88" s="93"/>
      <c r="N88" s="8"/>
      <c r="O88" s="93"/>
      <c r="P88" s="142"/>
      <c r="Q88" s="8"/>
      <c r="R88" s="8"/>
      <c r="S88" s="8"/>
      <c r="T88" s="8"/>
      <c r="U88" s="93"/>
      <c r="V88" s="219"/>
      <c r="W88" s="9"/>
      <c r="X88" s="8"/>
      <c r="Y88" s="8"/>
      <c r="Z88" s="8"/>
      <c r="AA88" s="8"/>
      <c r="AB88" s="8"/>
      <c r="AC88" s="8"/>
      <c r="AD88" s="136"/>
      <c r="AE88" s="8"/>
      <c r="AF88" s="8"/>
      <c r="AG88" s="8"/>
      <c r="AH88" s="93"/>
      <c r="AI88" s="142"/>
      <c r="AJ88" s="8"/>
      <c r="AK88" s="8"/>
      <c r="AL88" s="8"/>
      <c r="AM88" s="93"/>
      <c r="AN88" s="142"/>
      <c r="AO88" s="8"/>
      <c r="AP88" s="8"/>
      <c r="AQ88" s="8"/>
      <c r="AR88" s="93"/>
      <c r="AS88" s="142"/>
      <c r="AT88" s="8"/>
      <c r="AU88" s="8"/>
      <c r="AV88" s="8"/>
      <c r="AW88" s="8"/>
      <c r="AX88" s="142"/>
      <c r="AY88" s="8"/>
      <c r="AZ88" s="8"/>
      <c r="BA88" s="8"/>
      <c r="BB88" s="8"/>
      <c r="BC88" s="8"/>
      <c r="BD88" s="8"/>
      <c r="BE88" s="8"/>
      <c r="BF88" s="8"/>
      <c r="BG88" s="8"/>
      <c r="BH88" s="8"/>
      <c r="BI88" s="8"/>
      <c r="BJ88" s="8"/>
      <c r="BK88" s="8"/>
      <c r="BL88" s="8"/>
      <c r="BM88" s="8"/>
      <c r="BN88" s="8"/>
      <c r="BO88" s="8"/>
      <c r="BP88" s="8"/>
      <c r="BQ88" s="8"/>
      <c r="BR88" s="8"/>
      <c r="BS88" s="8"/>
      <c r="BT88" s="8"/>
      <c r="BU88" s="93"/>
    </row>
    <row r="89" spans="1:216" ht="15.6" customHeight="1" x14ac:dyDescent="0.55000000000000004">
      <c r="A89" s="7"/>
      <c r="B89" s="8"/>
      <c r="C89" s="8"/>
      <c r="D89" s="8"/>
      <c r="E89" s="8"/>
      <c r="F89" s="8"/>
      <c r="G89" s="93"/>
      <c r="H89" s="142"/>
      <c r="I89" s="93"/>
      <c r="J89" s="9"/>
      <c r="K89" s="8"/>
      <c r="L89" s="8"/>
      <c r="M89" s="93"/>
      <c r="N89" s="8"/>
      <c r="O89" s="93"/>
      <c r="P89" s="142"/>
      <c r="Q89" s="8"/>
      <c r="R89" s="8"/>
      <c r="S89" s="8"/>
      <c r="T89" s="8"/>
      <c r="U89" s="93"/>
      <c r="V89" s="219"/>
      <c r="W89" s="9"/>
      <c r="X89" s="8"/>
      <c r="Y89" s="8"/>
      <c r="Z89" s="8"/>
      <c r="AA89" s="8"/>
      <c r="AB89" s="8"/>
      <c r="AC89" s="8"/>
      <c r="AD89" s="136"/>
      <c r="AE89" s="8"/>
      <c r="AF89" s="8"/>
      <c r="AG89" s="8"/>
      <c r="AH89" s="93"/>
      <c r="AI89" s="142"/>
      <c r="AJ89" s="8"/>
      <c r="AK89" s="8"/>
      <c r="AL89" s="8"/>
      <c r="AM89" s="93"/>
      <c r="AN89" s="142"/>
      <c r="AO89" s="8"/>
      <c r="AP89" s="8"/>
      <c r="AQ89" s="8"/>
      <c r="AR89" s="93"/>
      <c r="AS89" s="142"/>
      <c r="AT89" s="8"/>
      <c r="AU89" s="8"/>
      <c r="AV89" s="8"/>
      <c r="AW89" s="8"/>
      <c r="AX89" s="142"/>
      <c r="AY89" s="8"/>
      <c r="AZ89" s="8"/>
      <c r="BA89" s="8"/>
      <c r="BB89" s="8"/>
      <c r="BC89" s="8"/>
      <c r="BD89" s="8"/>
      <c r="BE89" s="8"/>
      <c r="BF89" s="8"/>
      <c r="BG89" s="8"/>
      <c r="BH89" s="8"/>
      <c r="BI89" s="8"/>
      <c r="BJ89" s="8"/>
      <c r="BK89" s="8"/>
      <c r="BL89" s="8"/>
      <c r="BM89" s="8"/>
      <c r="BN89" s="8"/>
      <c r="BO89" s="8"/>
      <c r="BP89" s="8"/>
      <c r="BQ89" s="8"/>
      <c r="BR89" s="8"/>
      <c r="BS89" s="8"/>
      <c r="BT89" s="8"/>
      <c r="BU89" s="93"/>
    </row>
    <row r="90" spans="1:216" ht="15.6" customHeight="1" x14ac:dyDescent="0.55000000000000004">
      <c r="A90" s="7"/>
      <c r="B90" s="8"/>
      <c r="C90" s="8"/>
      <c r="D90" s="8"/>
      <c r="E90" s="8"/>
      <c r="F90" s="8"/>
      <c r="G90" s="93"/>
      <c r="H90" s="142"/>
      <c r="I90" s="93"/>
      <c r="J90" s="9"/>
      <c r="K90" s="8"/>
      <c r="L90" s="8"/>
      <c r="M90" s="93"/>
      <c r="N90" s="8"/>
      <c r="O90" s="93"/>
      <c r="P90" s="142"/>
      <c r="Q90" s="8"/>
      <c r="R90" s="8"/>
      <c r="S90" s="8"/>
      <c r="T90" s="8"/>
      <c r="U90" s="93"/>
      <c r="V90" s="219"/>
      <c r="W90" s="9"/>
      <c r="X90" s="8"/>
      <c r="Y90" s="8"/>
      <c r="Z90" s="8"/>
      <c r="AA90" s="8"/>
      <c r="AB90" s="8"/>
      <c r="AC90" s="8"/>
      <c r="AD90" s="136"/>
      <c r="AE90" s="8"/>
      <c r="AF90" s="8"/>
      <c r="AG90" s="8"/>
      <c r="AH90" s="93"/>
      <c r="AI90" s="142"/>
      <c r="AJ90" s="8"/>
      <c r="AK90" s="8"/>
      <c r="AL90" s="8"/>
      <c r="AM90" s="93"/>
      <c r="AN90" s="142"/>
      <c r="AO90" s="8"/>
      <c r="AP90" s="8"/>
      <c r="AQ90" s="8"/>
      <c r="AR90" s="93"/>
      <c r="AS90" s="142"/>
      <c r="AT90" s="8"/>
      <c r="AU90" s="8"/>
      <c r="AV90" s="8"/>
      <c r="AW90" s="8"/>
      <c r="AX90" s="142"/>
      <c r="AY90" s="8"/>
      <c r="AZ90" s="8"/>
      <c r="BA90" s="8"/>
      <c r="BB90" s="8"/>
      <c r="BC90" s="8"/>
      <c r="BD90" s="8"/>
      <c r="BE90" s="8"/>
      <c r="BF90" s="8"/>
      <c r="BG90" s="8"/>
      <c r="BH90" s="8"/>
      <c r="BI90" s="8"/>
      <c r="BJ90" s="8"/>
      <c r="BK90" s="8"/>
      <c r="BL90" s="8"/>
      <c r="BM90" s="8"/>
      <c r="BN90" s="8"/>
      <c r="BO90" s="8"/>
      <c r="BP90" s="8"/>
      <c r="BQ90" s="8"/>
      <c r="BR90" s="8"/>
      <c r="BS90" s="8"/>
      <c r="BT90" s="8"/>
      <c r="BU90" s="93"/>
    </row>
    <row r="91" spans="1:216" ht="15.6" customHeight="1" x14ac:dyDescent="0.55000000000000004">
      <c r="A91" s="7"/>
      <c r="B91" s="8"/>
      <c r="C91" s="8"/>
      <c r="D91" s="8"/>
      <c r="E91" s="8"/>
      <c r="F91" s="8"/>
      <c r="G91" s="93"/>
      <c r="H91" s="142"/>
      <c r="I91" s="93"/>
      <c r="J91" s="9"/>
      <c r="K91" s="8"/>
      <c r="L91" s="8"/>
      <c r="M91" s="93"/>
      <c r="N91" s="8"/>
      <c r="O91" s="93"/>
      <c r="P91" s="142"/>
      <c r="Q91" s="8"/>
      <c r="R91" s="8"/>
      <c r="S91" s="8"/>
      <c r="T91" s="8"/>
      <c r="U91" s="93"/>
      <c r="V91" s="219"/>
      <c r="W91" s="9"/>
      <c r="X91" s="8"/>
      <c r="Y91" s="8"/>
      <c r="Z91" s="8"/>
      <c r="AA91" s="8"/>
      <c r="AB91" s="8"/>
      <c r="AC91" s="8"/>
      <c r="AD91" s="136"/>
      <c r="AE91" s="8"/>
      <c r="AF91" s="8"/>
      <c r="AG91" s="8"/>
      <c r="AH91" s="93"/>
      <c r="AI91" s="142"/>
      <c r="AJ91" s="8"/>
      <c r="AK91" s="8"/>
      <c r="AL91" s="8"/>
      <c r="AM91" s="93"/>
      <c r="AN91" s="142"/>
      <c r="AO91" s="8"/>
      <c r="AP91" s="8"/>
      <c r="AQ91" s="8"/>
      <c r="AR91" s="93"/>
      <c r="AS91" s="142"/>
      <c r="AT91" s="8"/>
      <c r="AU91" s="8"/>
      <c r="AV91" s="8"/>
      <c r="AW91" s="8"/>
      <c r="AX91" s="142"/>
      <c r="AY91" s="8"/>
      <c r="AZ91" s="8"/>
      <c r="BA91" s="8"/>
      <c r="BB91" s="8"/>
      <c r="BC91" s="8"/>
      <c r="BD91" s="8"/>
      <c r="BE91" s="8"/>
      <c r="BF91" s="8"/>
      <c r="BG91" s="8"/>
      <c r="BH91" s="8"/>
      <c r="BI91" s="8"/>
      <c r="BJ91" s="8"/>
      <c r="BK91" s="8"/>
      <c r="BL91" s="8"/>
      <c r="BM91" s="8"/>
      <c r="BN91" s="8"/>
      <c r="BO91" s="8"/>
      <c r="BP91" s="8"/>
      <c r="BQ91" s="8"/>
      <c r="BR91" s="8"/>
      <c r="BS91" s="8"/>
      <c r="BT91" s="8"/>
      <c r="BU91" s="93"/>
    </row>
    <row r="92" spans="1:216" ht="15.6" customHeight="1" x14ac:dyDescent="0.55000000000000004">
      <c r="A92" s="7"/>
      <c r="B92" s="8"/>
      <c r="C92" s="8"/>
      <c r="D92" s="8"/>
      <c r="E92" s="8"/>
      <c r="F92" s="8"/>
      <c r="G92" s="93"/>
      <c r="H92" s="142"/>
      <c r="I92" s="93"/>
      <c r="J92" s="9"/>
      <c r="K92" s="8"/>
      <c r="L92" s="8"/>
      <c r="M92" s="93"/>
      <c r="N92" s="8"/>
      <c r="O92" s="93"/>
      <c r="P92" s="142"/>
      <c r="Q92" s="8"/>
      <c r="R92" s="8"/>
      <c r="S92" s="8"/>
      <c r="T92" s="8"/>
      <c r="U92" s="93"/>
      <c r="V92" s="219"/>
      <c r="W92" s="9"/>
      <c r="X92" s="8"/>
      <c r="Y92" s="8"/>
      <c r="Z92" s="8"/>
      <c r="AA92" s="8"/>
      <c r="AB92" s="8"/>
      <c r="AC92" s="8"/>
      <c r="AD92" s="136"/>
      <c r="AE92" s="8"/>
      <c r="AF92" s="8"/>
      <c r="AG92" s="8"/>
      <c r="AH92" s="93"/>
      <c r="AI92" s="142"/>
      <c r="AJ92" s="8"/>
      <c r="AK92" s="8"/>
      <c r="AL92" s="8"/>
      <c r="AM92" s="93"/>
      <c r="AN92" s="142"/>
      <c r="AO92" s="8"/>
      <c r="AP92" s="8"/>
      <c r="AQ92" s="8"/>
      <c r="AR92" s="93"/>
      <c r="AS92" s="142"/>
      <c r="AT92" s="8"/>
      <c r="AU92" s="8"/>
      <c r="AV92" s="8"/>
      <c r="AW92" s="8"/>
      <c r="AX92" s="142"/>
      <c r="AY92" s="8"/>
      <c r="AZ92" s="8"/>
      <c r="BA92" s="8"/>
      <c r="BB92" s="8"/>
      <c r="BC92" s="8"/>
      <c r="BD92" s="8"/>
      <c r="BE92" s="8"/>
      <c r="BF92" s="8"/>
      <c r="BG92" s="8"/>
      <c r="BH92" s="8"/>
      <c r="BI92" s="8"/>
      <c r="BJ92" s="8"/>
      <c r="BK92" s="8"/>
      <c r="BL92" s="8"/>
      <c r="BM92" s="8"/>
      <c r="BN92" s="8"/>
      <c r="BO92" s="8"/>
      <c r="BP92" s="8"/>
      <c r="BQ92" s="8"/>
      <c r="BR92" s="8"/>
      <c r="BS92" s="8"/>
      <c r="BT92" s="8"/>
      <c r="BU92" s="93"/>
    </row>
    <row r="93" spans="1:216" ht="15.6" customHeight="1" x14ac:dyDescent="0.55000000000000004">
      <c r="A93" s="7"/>
      <c r="B93" s="8"/>
      <c r="C93" s="8"/>
      <c r="D93" s="8"/>
      <c r="E93" s="8"/>
      <c r="F93" s="8"/>
      <c r="G93" s="93"/>
      <c r="H93" s="142"/>
      <c r="I93" s="93"/>
      <c r="J93" s="9"/>
      <c r="K93" s="8"/>
      <c r="L93" s="8"/>
      <c r="M93" s="93"/>
      <c r="N93" s="8"/>
      <c r="O93" s="93"/>
      <c r="P93" s="142"/>
      <c r="Q93" s="8"/>
      <c r="R93" s="8"/>
      <c r="S93" s="8"/>
      <c r="T93" s="8"/>
      <c r="U93" s="93"/>
      <c r="V93" s="219"/>
      <c r="W93" s="9"/>
      <c r="X93" s="8"/>
      <c r="Y93" s="8"/>
      <c r="Z93" s="8"/>
      <c r="AA93" s="8"/>
      <c r="AB93" s="8"/>
      <c r="AC93" s="8"/>
      <c r="AD93" s="136"/>
      <c r="AE93" s="8"/>
      <c r="AF93" s="8"/>
      <c r="AG93" s="8"/>
      <c r="AH93" s="93"/>
      <c r="AI93" s="142"/>
      <c r="AJ93" s="8"/>
      <c r="AK93" s="8"/>
      <c r="AL93" s="8"/>
      <c r="AM93" s="93"/>
      <c r="AN93" s="142"/>
      <c r="AO93" s="8"/>
      <c r="AP93" s="8"/>
      <c r="AQ93" s="8"/>
      <c r="AR93" s="93"/>
      <c r="AS93" s="142"/>
      <c r="AT93" s="8"/>
      <c r="AU93" s="8"/>
      <c r="AV93" s="8"/>
      <c r="AW93" s="8"/>
      <c r="AX93" s="142"/>
      <c r="AY93" s="8"/>
      <c r="AZ93" s="8"/>
      <c r="BA93" s="8"/>
      <c r="BB93" s="8"/>
      <c r="BC93" s="8"/>
      <c r="BD93" s="8"/>
      <c r="BE93" s="8"/>
      <c r="BF93" s="8"/>
      <c r="BG93" s="8"/>
      <c r="BH93" s="8"/>
      <c r="BI93" s="8"/>
      <c r="BJ93" s="8"/>
      <c r="BK93" s="8"/>
      <c r="BL93" s="8"/>
      <c r="BM93" s="8"/>
      <c r="BN93" s="8"/>
      <c r="BO93" s="8"/>
      <c r="BP93" s="8"/>
      <c r="BQ93" s="8"/>
      <c r="BR93" s="8"/>
      <c r="BS93" s="8"/>
      <c r="BT93" s="8"/>
      <c r="BU93" s="93"/>
    </row>
    <row r="94" spans="1:216" ht="15.6" customHeight="1" x14ac:dyDescent="0.55000000000000004">
      <c r="A94" s="7"/>
      <c r="B94" s="8"/>
      <c r="C94" s="8"/>
      <c r="D94" s="8"/>
      <c r="E94" s="8"/>
      <c r="F94" s="8"/>
      <c r="G94" s="93"/>
      <c r="H94" s="142"/>
      <c r="I94" s="93"/>
      <c r="J94" s="9"/>
      <c r="K94" s="8"/>
      <c r="L94" s="8"/>
      <c r="M94" s="93"/>
      <c r="N94" s="8"/>
      <c r="O94" s="93"/>
      <c r="P94" s="142"/>
      <c r="Q94" s="8"/>
      <c r="R94" s="8"/>
      <c r="S94" s="8"/>
      <c r="T94" s="8"/>
      <c r="U94" s="93"/>
      <c r="V94" s="219"/>
      <c r="W94" s="9"/>
      <c r="X94" s="8"/>
      <c r="Y94" s="8"/>
      <c r="Z94" s="8"/>
      <c r="AA94" s="8"/>
      <c r="AB94" s="8"/>
      <c r="AC94" s="8"/>
      <c r="AD94" s="136"/>
      <c r="AE94" s="8"/>
      <c r="AF94" s="8"/>
      <c r="AG94" s="8"/>
      <c r="AH94" s="93"/>
      <c r="AI94" s="142"/>
      <c r="AJ94" s="8"/>
      <c r="AK94" s="8"/>
      <c r="AL94" s="8"/>
      <c r="AM94" s="93"/>
      <c r="AN94" s="142"/>
      <c r="AO94" s="8"/>
      <c r="AP94" s="8"/>
      <c r="AQ94" s="8"/>
      <c r="AR94" s="93"/>
      <c r="AS94" s="142"/>
      <c r="AT94" s="8"/>
      <c r="AU94" s="8"/>
      <c r="AV94" s="8"/>
      <c r="AW94" s="8"/>
      <c r="AX94" s="142"/>
      <c r="AY94" s="8"/>
      <c r="AZ94" s="8"/>
      <c r="BA94" s="8"/>
      <c r="BB94" s="8"/>
      <c r="BC94" s="8"/>
      <c r="BD94" s="8"/>
      <c r="BE94" s="8"/>
      <c r="BF94" s="8"/>
      <c r="BG94" s="8"/>
      <c r="BH94" s="8"/>
      <c r="BI94" s="8"/>
      <c r="BJ94" s="8"/>
      <c r="BK94" s="8"/>
      <c r="BL94" s="8"/>
      <c r="BM94" s="8"/>
      <c r="BN94" s="8"/>
      <c r="BO94" s="8"/>
      <c r="BP94" s="8"/>
      <c r="BQ94" s="8"/>
      <c r="BR94" s="8"/>
      <c r="BS94" s="8"/>
      <c r="BT94" s="8"/>
      <c r="BU94" s="93"/>
    </row>
    <row r="95" spans="1:216" ht="15.6" customHeight="1" x14ac:dyDescent="0.55000000000000004">
      <c r="A95" s="7"/>
      <c r="B95" s="8"/>
      <c r="C95" s="8"/>
      <c r="D95" s="8"/>
      <c r="E95" s="8"/>
      <c r="F95" s="8"/>
      <c r="G95" s="93"/>
      <c r="H95" s="142"/>
      <c r="I95" s="93"/>
      <c r="J95" s="9"/>
      <c r="K95" s="8"/>
      <c r="L95" s="8"/>
      <c r="M95" s="93"/>
      <c r="N95" s="8"/>
      <c r="O95" s="93"/>
      <c r="P95" s="142"/>
      <c r="Q95" s="8"/>
      <c r="R95" s="8"/>
      <c r="S95" s="8"/>
      <c r="T95" s="8"/>
      <c r="U95" s="93"/>
      <c r="V95" s="219"/>
      <c r="W95" s="9"/>
      <c r="X95" s="8"/>
      <c r="Y95" s="8"/>
      <c r="Z95" s="8"/>
      <c r="AA95" s="8"/>
      <c r="AB95" s="8"/>
      <c r="AC95" s="8"/>
      <c r="AD95" s="136"/>
      <c r="AE95" s="8"/>
      <c r="AF95" s="8"/>
      <c r="AG95" s="8"/>
      <c r="AH95" s="93"/>
      <c r="AI95" s="142"/>
      <c r="AJ95" s="8"/>
      <c r="AK95" s="8"/>
      <c r="AL95" s="8"/>
      <c r="AM95" s="93"/>
      <c r="AN95" s="142"/>
      <c r="AO95" s="8"/>
      <c r="AP95" s="8"/>
      <c r="AQ95" s="8"/>
      <c r="AR95" s="93"/>
      <c r="AS95" s="142"/>
      <c r="AT95" s="8"/>
      <c r="AU95" s="8"/>
      <c r="AV95" s="8"/>
      <c r="AW95" s="8"/>
      <c r="AX95" s="142"/>
      <c r="AY95" s="8"/>
      <c r="AZ95" s="8"/>
      <c r="BA95" s="8"/>
      <c r="BB95" s="8"/>
      <c r="BC95" s="8"/>
      <c r="BD95" s="8"/>
      <c r="BE95" s="8"/>
      <c r="BF95" s="8"/>
      <c r="BG95" s="8"/>
      <c r="BH95" s="8"/>
      <c r="BI95" s="8"/>
      <c r="BJ95" s="8"/>
      <c r="BK95" s="8"/>
      <c r="BL95" s="8"/>
      <c r="BM95" s="8"/>
      <c r="BN95" s="8"/>
      <c r="BO95" s="8"/>
      <c r="BP95" s="8"/>
      <c r="BQ95" s="8"/>
      <c r="BR95" s="8"/>
      <c r="BS95" s="8"/>
      <c r="BT95" s="8"/>
      <c r="BU95" s="93"/>
    </row>
    <row r="96" spans="1:216" ht="15.6" customHeight="1" x14ac:dyDescent="0.55000000000000004">
      <c r="A96" s="7"/>
      <c r="B96" s="8"/>
      <c r="C96" s="8"/>
      <c r="D96" s="8"/>
      <c r="E96" s="8"/>
      <c r="F96" s="8"/>
      <c r="G96" s="93"/>
      <c r="H96" s="142"/>
      <c r="I96" s="93"/>
      <c r="J96" s="9"/>
      <c r="K96" s="8"/>
      <c r="L96" s="8"/>
      <c r="M96" s="93"/>
      <c r="N96" s="8"/>
      <c r="O96" s="93"/>
      <c r="P96" s="142"/>
      <c r="Q96" s="8"/>
      <c r="R96" s="8"/>
      <c r="S96" s="8"/>
      <c r="T96" s="8"/>
      <c r="U96" s="93"/>
      <c r="V96" s="219"/>
      <c r="W96" s="9"/>
      <c r="X96" s="8"/>
      <c r="Y96" s="8"/>
      <c r="Z96" s="8"/>
      <c r="AA96" s="8"/>
      <c r="AB96" s="8"/>
      <c r="AC96" s="8"/>
      <c r="AD96" s="136"/>
      <c r="AE96" s="8"/>
      <c r="AF96" s="8"/>
      <c r="AG96" s="8"/>
      <c r="AH96" s="93"/>
      <c r="AI96" s="142"/>
      <c r="AJ96" s="8"/>
      <c r="AK96" s="8"/>
      <c r="AL96" s="8"/>
      <c r="AM96" s="93"/>
      <c r="AN96" s="142"/>
      <c r="AO96" s="8"/>
      <c r="AP96" s="8"/>
      <c r="AQ96" s="8"/>
      <c r="AR96" s="93"/>
      <c r="AS96" s="142"/>
      <c r="AT96" s="8"/>
      <c r="AU96" s="8"/>
      <c r="AV96" s="8"/>
      <c r="AW96" s="8"/>
      <c r="AX96" s="142"/>
      <c r="AY96" s="8"/>
      <c r="AZ96" s="8"/>
      <c r="BA96" s="8"/>
      <c r="BB96" s="8"/>
      <c r="BC96" s="8"/>
      <c r="BD96" s="8"/>
      <c r="BE96" s="8"/>
      <c r="BF96" s="8"/>
      <c r="BG96" s="8"/>
      <c r="BH96" s="8"/>
      <c r="BI96" s="8"/>
      <c r="BJ96" s="8"/>
      <c r="BK96" s="8"/>
      <c r="BL96" s="8"/>
      <c r="BM96" s="8"/>
      <c r="BN96" s="8"/>
      <c r="BO96" s="8"/>
      <c r="BP96" s="8"/>
      <c r="BQ96" s="8"/>
      <c r="BR96" s="8"/>
      <c r="BS96" s="8"/>
      <c r="BT96" s="8"/>
      <c r="BU96" s="93"/>
    </row>
    <row r="97" spans="1:73" ht="15.6" customHeight="1" x14ac:dyDescent="0.55000000000000004">
      <c r="A97" s="7"/>
      <c r="B97" s="8"/>
      <c r="C97" s="8"/>
      <c r="D97" s="8"/>
      <c r="E97" s="8"/>
      <c r="F97" s="8"/>
      <c r="G97" s="93"/>
      <c r="H97" s="142"/>
      <c r="I97" s="93"/>
      <c r="J97" s="9"/>
      <c r="K97" s="8"/>
      <c r="L97" s="8"/>
      <c r="M97" s="93"/>
      <c r="N97" s="8"/>
      <c r="O97" s="93"/>
      <c r="P97" s="142"/>
      <c r="Q97" s="8"/>
      <c r="R97" s="8"/>
      <c r="S97" s="8"/>
      <c r="T97" s="8"/>
      <c r="U97" s="93"/>
      <c r="V97" s="219"/>
      <c r="W97" s="9"/>
      <c r="X97" s="8"/>
      <c r="Y97" s="8"/>
      <c r="Z97" s="8"/>
      <c r="AA97" s="8"/>
      <c r="AB97" s="8"/>
      <c r="AC97" s="8"/>
      <c r="AD97" s="136"/>
      <c r="AE97" s="8"/>
      <c r="AF97" s="8"/>
      <c r="AG97" s="8"/>
      <c r="AH97" s="93"/>
      <c r="AI97" s="142"/>
      <c r="AJ97" s="8"/>
      <c r="AK97" s="8"/>
      <c r="AL97" s="8"/>
      <c r="AM97" s="93"/>
      <c r="AN97" s="142"/>
      <c r="AO97" s="8"/>
      <c r="AP97" s="8"/>
      <c r="AQ97" s="8"/>
      <c r="AR97" s="93"/>
      <c r="AS97" s="142"/>
      <c r="AT97" s="8"/>
      <c r="AU97" s="8"/>
      <c r="AV97" s="8"/>
      <c r="AW97" s="8"/>
      <c r="AX97" s="142"/>
      <c r="AY97" s="8"/>
      <c r="AZ97" s="8"/>
      <c r="BA97" s="8"/>
      <c r="BB97" s="8"/>
      <c r="BC97" s="8"/>
      <c r="BD97" s="8"/>
      <c r="BE97" s="8"/>
      <c r="BF97" s="8"/>
      <c r="BG97" s="8"/>
      <c r="BH97" s="8"/>
      <c r="BI97" s="8"/>
      <c r="BJ97" s="8"/>
      <c r="BK97" s="8"/>
      <c r="BL97" s="8"/>
      <c r="BM97" s="8"/>
      <c r="BN97" s="8"/>
      <c r="BO97" s="8"/>
      <c r="BP97" s="8"/>
      <c r="BQ97" s="8"/>
      <c r="BR97" s="8"/>
      <c r="BS97" s="8"/>
      <c r="BT97" s="8"/>
      <c r="BU97" s="93"/>
    </row>
    <row r="98" spans="1:73" ht="15.6" customHeight="1" x14ac:dyDescent="0.55000000000000004">
      <c r="A98" s="7"/>
      <c r="B98" s="8"/>
      <c r="C98" s="8"/>
      <c r="D98" s="8"/>
      <c r="E98" s="8"/>
      <c r="F98" s="8"/>
      <c r="G98" s="93"/>
      <c r="H98" s="142"/>
      <c r="I98" s="93"/>
      <c r="J98" s="9"/>
      <c r="K98" s="8"/>
      <c r="L98" s="8"/>
      <c r="M98" s="93"/>
      <c r="N98" s="8"/>
      <c r="O98" s="93"/>
      <c r="P98" s="142"/>
      <c r="Q98" s="8"/>
      <c r="R98" s="8"/>
      <c r="S98" s="8"/>
      <c r="T98" s="8"/>
      <c r="U98" s="93"/>
      <c r="V98" s="219"/>
      <c r="W98" s="9"/>
      <c r="X98" s="8"/>
      <c r="Y98" s="8"/>
      <c r="Z98" s="8"/>
      <c r="AA98" s="8"/>
      <c r="AB98" s="8"/>
      <c r="AC98" s="8"/>
      <c r="AD98" s="136"/>
      <c r="AE98" s="8"/>
      <c r="AF98" s="8"/>
      <c r="AG98" s="8"/>
      <c r="AH98" s="93"/>
      <c r="AI98" s="142"/>
      <c r="AJ98" s="8"/>
      <c r="AK98" s="8"/>
      <c r="AL98" s="8"/>
      <c r="AM98" s="93"/>
      <c r="AN98" s="142"/>
      <c r="AO98" s="8"/>
      <c r="AP98" s="8"/>
      <c r="AQ98" s="8"/>
      <c r="AR98" s="93"/>
      <c r="AS98" s="142"/>
      <c r="AT98" s="8"/>
      <c r="AU98" s="8"/>
      <c r="AV98" s="8"/>
      <c r="AW98" s="8"/>
      <c r="AX98" s="142"/>
      <c r="AY98" s="8"/>
      <c r="AZ98" s="8"/>
      <c r="BA98" s="8"/>
      <c r="BB98" s="8"/>
      <c r="BC98" s="8"/>
      <c r="BD98" s="8"/>
      <c r="BE98" s="8"/>
      <c r="BF98" s="8"/>
      <c r="BG98" s="8"/>
      <c r="BH98" s="8"/>
      <c r="BI98" s="8"/>
      <c r="BJ98" s="8"/>
      <c r="BK98" s="8"/>
      <c r="BL98" s="8"/>
      <c r="BM98" s="8"/>
      <c r="BN98" s="8"/>
      <c r="BO98" s="8"/>
      <c r="BP98" s="8"/>
      <c r="BQ98" s="8"/>
      <c r="BR98" s="8"/>
      <c r="BS98" s="8"/>
      <c r="BT98" s="8"/>
      <c r="BU98" s="93"/>
    </row>
    <row r="99" spans="1:73" ht="15.6" customHeight="1" x14ac:dyDescent="0.55000000000000004">
      <c r="A99" s="7"/>
      <c r="B99" s="8"/>
      <c r="C99" s="8"/>
      <c r="D99" s="8"/>
      <c r="E99" s="8"/>
      <c r="F99" s="8"/>
      <c r="G99" s="93"/>
      <c r="H99" s="142"/>
      <c r="I99" s="93"/>
      <c r="J99" s="9"/>
      <c r="K99" s="8"/>
      <c r="L99" s="8"/>
      <c r="M99" s="93"/>
      <c r="N99" s="8"/>
      <c r="O99" s="93"/>
      <c r="P99" s="142"/>
      <c r="Q99" s="8"/>
      <c r="R99" s="8"/>
      <c r="S99" s="8"/>
      <c r="T99" s="8"/>
      <c r="U99" s="93"/>
      <c r="V99" s="219"/>
      <c r="W99" s="9"/>
      <c r="X99" s="8"/>
      <c r="Y99" s="8"/>
      <c r="Z99" s="8"/>
      <c r="AA99" s="8"/>
      <c r="AB99" s="8"/>
      <c r="AC99" s="8"/>
      <c r="AD99" s="136"/>
      <c r="AE99" s="8"/>
      <c r="AF99" s="8"/>
      <c r="AG99" s="8"/>
      <c r="AH99" s="93"/>
      <c r="AI99" s="142"/>
      <c r="AJ99" s="8"/>
      <c r="AK99" s="8"/>
      <c r="AL99" s="8"/>
      <c r="AM99" s="93"/>
      <c r="AN99" s="142"/>
      <c r="AO99" s="8"/>
      <c r="AP99" s="8"/>
      <c r="AQ99" s="8"/>
      <c r="AR99" s="93"/>
      <c r="AS99" s="142"/>
      <c r="AT99" s="8"/>
      <c r="AU99" s="8"/>
      <c r="AV99" s="8"/>
      <c r="AW99" s="8"/>
      <c r="AX99" s="142"/>
      <c r="AY99" s="8"/>
      <c r="AZ99" s="8"/>
      <c r="BA99" s="8"/>
      <c r="BB99" s="8"/>
      <c r="BC99" s="8"/>
      <c r="BD99" s="8"/>
      <c r="BE99" s="8"/>
      <c r="BF99" s="8"/>
      <c r="BG99" s="8"/>
      <c r="BH99" s="8"/>
      <c r="BI99" s="8"/>
      <c r="BJ99" s="8"/>
      <c r="BK99" s="8"/>
      <c r="BL99" s="8"/>
      <c r="BM99" s="8"/>
      <c r="BN99" s="8"/>
      <c r="BO99" s="8"/>
      <c r="BP99" s="8"/>
      <c r="BQ99" s="8"/>
      <c r="BR99" s="8"/>
      <c r="BS99" s="8"/>
      <c r="BT99" s="8"/>
      <c r="BU99" s="93"/>
    </row>
    <row r="100" spans="1:73" ht="15.6" customHeight="1" x14ac:dyDescent="0.55000000000000004">
      <c r="A100" s="7"/>
      <c r="B100" s="8"/>
      <c r="C100" s="8"/>
      <c r="D100" s="8"/>
      <c r="E100" s="8"/>
      <c r="F100" s="8"/>
      <c r="G100" s="93"/>
      <c r="H100" s="142"/>
      <c r="I100" s="93"/>
      <c r="J100" s="9"/>
      <c r="K100" s="8"/>
      <c r="L100" s="8"/>
      <c r="M100" s="93"/>
      <c r="N100" s="8"/>
      <c r="O100" s="93"/>
      <c r="P100" s="142"/>
      <c r="Q100" s="8"/>
      <c r="R100" s="8"/>
      <c r="S100" s="8"/>
      <c r="T100" s="8"/>
      <c r="U100" s="93"/>
      <c r="V100" s="219"/>
      <c r="W100" s="9"/>
      <c r="X100" s="8"/>
      <c r="Y100" s="8"/>
      <c r="Z100" s="8"/>
      <c r="AA100" s="8"/>
      <c r="AB100" s="8"/>
      <c r="AC100" s="8"/>
      <c r="AD100" s="136"/>
      <c r="AE100" s="8"/>
      <c r="AF100" s="8"/>
      <c r="AG100" s="8"/>
      <c r="AH100" s="93"/>
      <c r="AI100" s="142"/>
      <c r="AJ100" s="8"/>
      <c r="AK100" s="8"/>
      <c r="AL100" s="8"/>
      <c r="AM100" s="93"/>
      <c r="AN100" s="142"/>
      <c r="AO100" s="8"/>
      <c r="AP100" s="8"/>
      <c r="AQ100" s="8"/>
      <c r="AR100" s="93"/>
      <c r="AS100" s="142"/>
      <c r="AT100" s="8"/>
      <c r="AU100" s="8"/>
      <c r="AV100" s="8"/>
      <c r="AW100" s="8"/>
      <c r="AX100" s="142"/>
      <c r="AY100" s="8"/>
      <c r="AZ100" s="8"/>
      <c r="BA100" s="8"/>
      <c r="BB100" s="8"/>
      <c r="BC100" s="8"/>
      <c r="BD100" s="8"/>
      <c r="BE100" s="8"/>
      <c r="BF100" s="8"/>
      <c r="BG100" s="8"/>
      <c r="BH100" s="8"/>
      <c r="BI100" s="8"/>
      <c r="BJ100" s="8"/>
      <c r="BK100" s="8"/>
      <c r="BL100" s="8"/>
      <c r="BM100" s="8"/>
      <c r="BN100" s="8"/>
      <c r="BO100" s="8"/>
      <c r="BP100" s="8"/>
      <c r="BQ100" s="8"/>
      <c r="BR100" s="8"/>
      <c r="BS100" s="8"/>
      <c r="BT100" s="8"/>
      <c r="BU100" s="93"/>
    </row>
    <row r="101" spans="1:73" ht="15.6" customHeight="1" x14ac:dyDescent="0.55000000000000004">
      <c r="A101" s="7"/>
      <c r="B101" s="8"/>
      <c r="C101" s="8"/>
      <c r="D101" s="8"/>
      <c r="E101" s="8"/>
      <c r="F101" s="8"/>
      <c r="G101" s="93"/>
      <c r="H101" s="142"/>
      <c r="I101" s="93"/>
      <c r="J101" s="9"/>
      <c r="K101" s="8"/>
      <c r="L101" s="8"/>
      <c r="M101" s="93"/>
      <c r="N101" s="8"/>
      <c r="O101" s="93"/>
      <c r="P101" s="142"/>
      <c r="Q101" s="8"/>
      <c r="R101" s="8"/>
      <c r="S101" s="8"/>
      <c r="T101" s="8"/>
      <c r="U101" s="93"/>
      <c r="V101" s="219"/>
      <c r="W101" s="9"/>
      <c r="X101" s="8"/>
      <c r="Y101" s="8"/>
      <c r="Z101" s="8"/>
      <c r="AA101" s="8"/>
      <c r="AB101" s="8"/>
      <c r="AC101" s="8"/>
      <c r="AD101" s="136"/>
      <c r="AE101" s="8"/>
      <c r="AF101" s="8"/>
      <c r="AG101" s="8"/>
      <c r="AH101" s="93"/>
      <c r="AI101" s="142"/>
      <c r="AJ101" s="8"/>
      <c r="AK101" s="8"/>
      <c r="AL101" s="8"/>
      <c r="AM101" s="93"/>
      <c r="AN101" s="142"/>
      <c r="AO101" s="8"/>
      <c r="AP101" s="8"/>
      <c r="AQ101" s="8"/>
      <c r="AR101" s="93"/>
      <c r="AS101" s="142"/>
      <c r="AT101" s="8"/>
      <c r="AU101" s="8"/>
      <c r="AV101" s="8"/>
      <c r="AW101" s="8"/>
      <c r="AX101" s="142"/>
      <c r="AY101" s="8"/>
      <c r="AZ101" s="8"/>
      <c r="BA101" s="8"/>
      <c r="BB101" s="8"/>
      <c r="BC101" s="8"/>
      <c r="BD101" s="8"/>
      <c r="BE101" s="8"/>
      <c r="BF101" s="8"/>
      <c r="BG101" s="8"/>
      <c r="BH101" s="8"/>
      <c r="BI101" s="8"/>
      <c r="BJ101" s="8"/>
      <c r="BK101" s="8"/>
      <c r="BL101" s="8"/>
      <c r="BM101" s="8"/>
      <c r="BN101" s="8"/>
      <c r="BO101" s="8"/>
      <c r="BP101" s="8"/>
      <c r="BQ101" s="8"/>
      <c r="BR101" s="8"/>
      <c r="BS101" s="8"/>
      <c r="BT101" s="8"/>
      <c r="BU101" s="93"/>
    </row>
    <row r="102" spans="1:73" ht="15.6" customHeight="1" x14ac:dyDescent="0.55000000000000004">
      <c r="A102" s="7"/>
      <c r="B102" s="8"/>
      <c r="C102" s="8"/>
      <c r="D102" s="8"/>
      <c r="E102" s="8"/>
      <c r="F102" s="8"/>
      <c r="G102" s="93"/>
      <c r="H102" s="142"/>
      <c r="I102" s="93"/>
      <c r="J102" s="9"/>
      <c r="K102" s="8"/>
      <c r="L102" s="8"/>
      <c r="M102" s="93"/>
      <c r="N102" s="8"/>
      <c r="O102" s="93"/>
      <c r="P102" s="142"/>
      <c r="Q102" s="8"/>
      <c r="R102" s="8"/>
      <c r="S102" s="8"/>
      <c r="T102" s="8"/>
      <c r="U102" s="93"/>
      <c r="V102" s="219"/>
      <c r="W102" s="9"/>
      <c r="X102" s="8"/>
      <c r="Y102" s="8"/>
      <c r="Z102" s="8"/>
      <c r="AA102" s="8"/>
      <c r="AB102" s="8"/>
      <c r="AC102" s="8"/>
      <c r="AD102" s="136"/>
      <c r="AE102" s="8"/>
      <c r="AF102" s="8"/>
      <c r="AG102" s="8"/>
      <c r="AH102" s="93"/>
      <c r="AI102" s="142"/>
      <c r="AJ102" s="8"/>
      <c r="AK102" s="8"/>
      <c r="AL102" s="8"/>
      <c r="AM102" s="93"/>
      <c r="AN102" s="142"/>
      <c r="AO102" s="8"/>
      <c r="AP102" s="8"/>
      <c r="AQ102" s="8"/>
      <c r="AR102" s="93"/>
      <c r="AS102" s="142"/>
      <c r="AT102" s="8"/>
      <c r="AU102" s="8"/>
      <c r="AV102" s="8"/>
      <c r="AW102" s="8"/>
      <c r="AX102" s="142"/>
      <c r="AY102" s="8"/>
      <c r="AZ102" s="8"/>
      <c r="BA102" s="8"/>
      <c r="BB102" s="8"/>
      <c r="BC102" s="8"/>
      <c r="BD102" s="8"/>
      <c r="BE102" s="8"/>
      <c r="BF102" s="8"/>
      <c r="BG102" s="8"/>
      <c r="BH102" s="8"/>
      <c r="BI102" s="8"/>
      <c r="BJ102" s="8"/>
      <c r="BK102" s="8"/>
      <c r="BL102" s="8"/>
      <c r="BM102" s="8"/>
      <c r="BN102" s="8"/>
      <c r="BO102" s="8"/>
      <c r="BP102" s="8"/>
      <c r="BQ102" s="8"/>
      <c r="BR102" s="8"/>
      <c r="BS102" s="8"/>
      <c r="BT102" s="8"/>
      <c r="BU102" s="93"/>
    </row>
    <row r="103" spans="1:73" ht="15.6" customHeight="1" x14ac:dyDescent="0.55000000000000004">
      <c r="A103" s="7"/>
      <c r="B103" s="8"/>
      <c r="C103" s="8"/>
      <c r="D103" s="8"/>
      <c r="E103" s="8"/>
      <c r="F103" s="8"/>
      <c r="G103" s="93"/>
      <c r="H103" s="142"/>
      <c r="I103" s="93"/>
      <c r="J103" s="9"/>
      <c r="K103" s="8"/>
      <c r="L103" s="8"/>
      <c r="M103" s="93"/>
      <c r="N103" s="8"/>
      <c r="O103" s="93"/>
      <c r="P103" s="142"/>
      <c r="Q103" s="8"/>
      <c r="R103" s="8"/>
      <c r="S103" s="8"/>
      <c r="T103" s="8"/>
      <c r="U103" s="93"/>
      <c r="V103" s="219"/>
      <c r="W103" s="9"/>
      <c r="X103" s="8"/>
      <c r="Y103" s="8"/>
      <c r="Z103" s="8"/>
      <c r="AA103" s="8"/>
      <c r="AB103" s="8"/>
      <c r="AC103" s="8"/>
      <c r="AD103" s="136"/>
      <c r="AE103" s="8"/>
      <c r="AF103" s="8"/>
      <c r="AG103" s="8"/>
      <c r="AH103" s="93"/>
      <c r="AI103" s="142"/>
      <c r="AJ103" s="8"/>
      <c r="AK103" s="8"/>
      <c r="AL103" s="8"/>
      <c r="AM103" s="93"/>
      <c r="AN103" s="142"/>
      <c r="AO103" s="8"/>
      <c r="AP103" s="8"/>
      <c r="AQ103" s="8"/>
      <c r="AR103" s="93"/>
      <c r="AS103" s="142"/>
      <c r="AT103" s="8"/>
      <c r="AU103" s="8"/>
      <c r="AV103" s="8"/>
      <c r="AW103" s="8"/>
      <c r="AX103" s="142"/>
      <c r="AY103" s="8"/>
      <c r="AZ103" s="8"/>
      <c r="BA103" s="8"/>
      <c r="BB103" s="8"/>
      <c r="BC103" s="8"/>
      <c r="BD103" s="8"/>
      <c r="BE103" s="8"/>
      <c r="BF103" s="8"/>
      <c r="BG103" s="8"/>
      <c r="BH103" s="8"/>
      <c r="BI103" s="8"/>
      <c r="BJ103" s="8"/>
      <c r="BK103" s="8"/>
      <c r="BL103" s="8"/>
      <c r="BM103" s="8"/>
      <c r="BN103" s="8"/>
      <c r="BO103" s="8"/>
      <c r="BP103" s="8"/>
      <c r="BQ103" s="8"/>
      <c r="BR103" s="8"/>
      <c r="BS103" s="8"/>
      <c r="BT103" s="8"/>
      <c r="BU103" s="93"/>
    </row>
    <row r="104" spans="1:73" ht="15.6" customHeight="1" x14ac:dyDescent="0.55000000000000004">
      <c r="A104" s="7"/>
      <c r="B104" s="8"/>
      <c r="C104" s="8"/>
      <c r="D104" s="8"/>
      <c r="E104" s="8"/>
      <c r="F104" s="8"/>
      <c r="G104" s="93"/>
      <c r="H104" s="142"/>
      <c r="I104" s="93"/>
      <c r="J104" s="9"/>
      <c r="K104" s="8"/>
      <c r="L104" s="8"/>
      <c r="M104" s="93"/>
      <c r="N104" s="8"/>
      <c r="O104" s="93"/>
      <c r="P104" s="142"/>
      <c r="Q104" s="8"/>
      <c r="R104" s="8"/>
      <c r="S104" s="8"/>
      <c r="T104" s="8"/>
      <c r="U104" s="93"/>
      <c r="V104" s="219"/>
      <c r="W104" s="9"/>
      <c r="X104" s="8"/>
      <c r="Y104" s="8"/>
      <c r="Z104" s="8"/>
      <c r="AA104" s="8"/>
      <c r="AB104" s="8"/>
      <c r="AC104" s="8"/>
      <c r="AD104" s="136"/>
      <c r="AE104" s="8"/>
      <c r="AF104" s="8"/>
      <c r="AG104" s="8"/>
      <c r="AH104" s="93"/>
      <c r="AI104" s="142"/>
      <c r="AJ104" s="8"/>
      <c r="AK104" s="8"/>
      <c r="AL104" s="8"/>
      <c r="AM104" s="93"/>
      <c r="AN104" s="142"/>
      <c r="AO104" s="8"/>
      <c r="AP104" s="8"/>
      <c r="AQ104" s="8"/>
      <c r="AR104" s="93"/>
      <c r="AS104" s="142"/>
      <c r="AT104" s="8"/>
      <c r="AU104" s="8"/>
      <c r="AV104" s="8"/>
      <c r="AW104" s="8"/>
      <c r="AX104" s="142"/>
      <c r="AY104" s="8"/>
      <c r="AZ104" s="8"/>
      <c r="BA104" s="8"/>
      <c r="BB104" s="8"/>
      <c r="BC104" s="8"/>
      <c r="BD104" s="8"/>
      <c r="BE104" s="8"/>
      <c r="BF104" s="8"/>
      <c r="BG104" s="8"/>
      <c r="BH104" s="8"/>
      <c r="BI104" s="8"/>
      <c r="BJ104" s="8"/>
      <c r="BK104" s="8"/>
      <c r="BL104" s="8"/>
      <c r="BM104" s="8"/>
      <c r="BN104" s="8"/>
      <c r="BO104" s="8"/>
      <c r="BP104" s="8"/>
      <c r="BQ104" s="8"/>
      <c r="BR104" s="8"/>
      <c r="BS104" s="8"/>
      <c r="BT104" s="8"/>
      <c r="BU104" s="93"/>
    </row>
    <row r="105" spans="1:73" ht="15.6" customHeight="1" x14ac:dyDescent="0.55000000000000004">
      <c r="A105" s="7"/>
      <c r="B105" s="8"/>
      <c r="C105" s="8"/>
      <c r="D105" s="8"/>
      <c r="E105" s="8"/>
      <c r="F105" s="8"/>
      <c r="G105" s="93"/>
      <c r="H105" s="142"/>
      <c r="I105" s="93"/>
      <c r="J105" s="9"/>
      <c r="K105" s="8"/>
      <c r="L105" s="8"/>
      <c r="M105" s="93"/>
      <c r="N105" s="8"/>
      <c r="O105" s="93"/>
      <c r="P105" s="142"/>
      <c r="Q105" s="8"/>
      <c r="R105" s="8"/>
      <c r="S105" s="8"/>
      <c r="T105" s="8"/>
      <c r="U105" s="93"/>
      <c r="V105" s="219"/>
      <c r="W105" s="9"/>
      <c r="X105" s="8"/>
      <c r="Y105" s="8"/>
      <c r="Z105" s="8"/>
      <c r="AA105" s="8"/>
      <c r="AB105" s="8"/>
      <c r="AC105" s="8"/>
      <c r="AD105" s="136"/>
      <c r="AE105" s="8"/>
      <c r="AF105" s="8"/>
      <c r="AG105" s="8"/>
      <c r="AH105" s="93"/>
      <c r="AI105" s="142"/>
      <c r="AJ105" s="8"/>
      <c r="AK105" s="8"/>
      <c r="AL105" s="8"/>
      <c r="AM105" s="93"/>
      <c r="AN105" s="142"/>
      <c r="AO105" s="8"/>
      <c r="AP105" s="8"/>
      <c r="AQ105" s="8"/>
      <c r="AR105" s="93"/>
      <c r="AS105" s="142"/>
      <c r="AT105" s="8"/>
      <c r="AU105" s="8"/>
      <c r="AV105" s="8"/>
      <c r="AW105" s="8"/>
      <c r="AX105" s="142"/>
      <c r="AY105" s="8"/>
      <c r="AZ105" s="8"/>
      <c r="BA105" s="8"/>
      <c r="BB105" s="8"/>
      <c r="BC105" s="8"/>
      <c r="BD105" s="8"/>
      <c r="BE105" s="8"/>
      <c r="BF105" s="8"/>
      <c r="BG105" s="8"/>
      <c r="BH105" s="8"/>
      <c r="BI105" s="8"/>
      <c r="BJ105" s="8"/>
      <c r="BK105" s="8"/>
      <c r="BL105" s="8"/>
      <c r="BM105" s="8"/>
      <c r="BN105" s="8"/>
      <c r="BO105" s="8"/>
      <c r="BP105" s="8"/>
      <c r="BQ105" s="8"/>
      <c r="BR105" s="8"/>
      <c r="BS105" s="8"/>
      <c r="BT105" s="8"/>
      <c r="BU105" s="93"/>
    </row>
  </sheetData>
  <sheetProtection sheet="1" formatCells="0" formatColumns="0" formatRows="0" autoFilter="0"/>
  <dataConsolidate/>
  <mergeCells count="8">
    <mergeCell ref="AI5:AM5"/>
    <mergeCell ref="A5:G5"/>
    <mergeCell ref="A3:B3"/>
    <mergeCell ref="AX5:BB5"/>
    <mergeCell ref="AN5:AR5"/>
    <mergeCell ref="AS5:AW5"/>
    <mergeCell ref="AV4:AW4"/>
    <mergeCell ref="AD5:AH5"/>
  </mergeCells>
  <phoneticPr fontId="17" type="noConversion"/>
  <conditionalFormatting sqref="A1:I11 J6:AC11 AD7:CY10 AD11:XFD11 A12:XFD1048576 Q1:CY2 J1:P4 DB1:EU4 L1:M5 EV1:XFD5 CZ1:DA10 DD1:DE10 AD3:AW3 S3:AC4 AX3:BW4 BY3:EO4 AD4:AV4 J5 P5:AD5 AI5:DC5 DF5:EM5 EP5:EU5 DC5:DC9 AD6:DC6 DX6:XFD6 DF6:DW7 CS6:DC9 DX7:EU7 DB7:DH10 EV7:XFD10 DF8:EU9 DI10:FH10">
    <cfRule type="expression" dxfId="32" priority="7">
      <formula>AND($C$3&lt;&gt;TODAY(), $C$3&lt;&gt;"*((var*((date_meeting")</formula>
    </cfRule>
  </conditionalFormatting>
  <conditionalFormatting sqref="A10:AW86">
    <cfRule type="expression" dxfId="31" priority="1">
      <formula>CS10&lt;&gt;""</formula>
    </cfRule>
  </conditionalFormatting>
  <conditionalFormatting sqref="C3">
    <cfRule type="expression" dxfId="30" priority="6">
      <formula>$C$3&lt;&gt;TODAY()</formula>
    </cfRule>
  </conditionalFormatting>
  <conditionalFormatting sqref="C4">
    <cfRule type="expression" dxfId="29" priority="2">
      <formula>OR($C$4="", $C$4="[PLEASE COMPLETE]")</formula>
    </cfRule>
  </conditionalFormatting>
  <dataValidations xWindow="637" yWindow="260" count="4">
    <dataValidation type="date" operator="notEqual" allowBlank="1" showInputMessage="1" showErrorMessage="1" sqref="C3" xr:uid="{1866ACBE-DA17-49E0-83B9-6B0A18706862}">
      <formula1>1</formula1>
    </dataValidation>
    <dataValidation operator="notEqual" allowBlank="1" showInputMessage="1" showErrorMessage="1" sqref="C4 Y10:Y86 AA10:AA86 AF10:AF86 AH10:AH86 AJ10:AJ86 AL10:AL86 R10:R86 V10:V86" xr:uid="{E677838E-C2CB-4417-B396-77E9BBB9E08F}"/>
    <dataValidation type="date" operator="notEqual" allowBlank="1" showInputMessage="1" showErrorMessage="1" sqref="Q10:Q86 H10:H86 L10:L86 AM10:AM86 Z10:Z86 AB10:AE86 AG10:AG86 AI10:AI86 AK10:AK86 T10:U86 W10:X86" xr:uid="{DCF2E3D7-0B95-4EC1-B559-A5775B57A4E4}">
      <formula1>367</formula1>
    </dataValidation>
    <dataValidation type="whole" operator="notEqual" allowBlank="1" showInputMessage="1" showErrorMessage="1" sqref="AT10:AW86" xr:uid="{FBF107FF-BA69-4FC2-9E89-3E0694C5A12D}">
      <formula1>-99</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71" id="{030B48BD-D612-4CB2-B450-1689ECDE0E41}">
            <xm:f>CF10&lt;Constants!$B$4</xm:f>
            <x14:dxf>
              <fill>
                <patternFill>
                  <bgColor rgb="FFFF0000"/>
                </patternFill>
              </fill>
            </x14:dxf>
          </x14:cfRule>
          <x14:cfRule type="expression" priority="172" id="{A07B3BAD-FC88-494D-A295-246A8C7EE7C5}">
            <xm:f>CF10&lt;Constants!$B$3</xm:f>
            <x14:dxf>
              <fill>
                <patternFill>
                  <bgColor rgb="FFFFC000"/>
                </patternFill>
              </fill>
            </x14:dxf>
          </x14:cfRule>
          <xm:sqref>H10:I86</xm:sqref>
        </x14:conditionalFormatting>
        <x14:conditionalFormatting xmlns:xm="http://schemas.microsoft.com/office/excel/2006/main">
          <x14:cfRule type="expression" priority="242" id="{030B48BD-D612-4CB2-B450-1689ECDE0E41}">
            <xm:f>CH10&lt;Constants!$B$4</xm:f>
            <x14:dxf>
              <fill>
                <patternFill>
                  <bgColor rgb="FFFF0000"/>
                </patternFill>
              </fill>
            </x14:dxf>
          </x14:cfRule>
          <x14:cfRule type="expression" priority="243" id="{A07B3BAD-FC88-494D-A295-246A8C7EE7C5}">
            <xm:f>CH10&lt;Constants!$B$3</xm:f>
            <x14:dxf>
              <fill>
                <patternFill>
                  <bgColor rgb="FFFFC000"/>
                </patternFill>
              </fill>
            </x14:dxf>
          </x14:cfRule>
          <x14:cfRule type="expression" priority="246" id="{E1975C84-06D7-4EA9-8AC3-9689AC3EB6C0}">
            <xm:f>CI10&lt;Constants!$B$4</xm:f>
            <x14:dxf>
              <fill>
                <patternFill>
                  <bgColor rgb="FFFF0000"/>
                </patternFill>
              </fill>
            </x14:dxf>
          </x14:cfRule>
          <x14:cfRule type="expression" priority="247" id="{097E0F9E-6BD7-46F8-BAA4-EF2F629539B9}">
            <xm:f>CI10&lt;Constants!$B$3</xm:f>
            <x14:dxf>
              <fill>
                <patternFill>
                  <bgColor rgb="FFFFC000"/>
                </patternFill>
              </fill>
            </x14:dxf>
          </x14:cfRule>
          <xm:sqref>L10:M86</xm:sqref>
        </x14:conditionalFormatting>
        <x14:conditionalFormatting xmlns:xm="http://schemas.microsoft.com/office/excel/2006/main">
          <x14:cfRule type="expression" priority="125" id="{097E0F9E-6BD7-46F8-BAA4-EF2F629539B9}">
            <xm:f>CC10&lt;Constants!$B$3</xm:f>
            <x14:dxf>
              <fill>
                <patternFill>
                  <bgColor rgb="FFFFC000"/>
                </patternFill>
              </fill>
            </x14:dxf>
          </x14:cfRule>
          <xm:sqref>W10:Y86</xm:sqref>
        </x14:conditionalFormatting>
        <x14:conditionalFormatting xmlns:xm="http://schemas.microsoft.com/office/excel/2006/main">
          <x14:cfRule type="expression" priority="129" id="{097E0F9E-6BD7-46F8-BAA4-EF2F629539B9}">
            <xm:f>CM1048571&lt;Constants!$B$3</xm:f>
            <x14:dxf>
              <fill>
                <patternFill>
                  <bgColor rgb="FFFFC000"/>
                </patternFill>
              </fill>
            </x14:dxf>
          </x14:cfRule>
          <xm:sqref>Y12:Y27</xm:sqref>
        </x14:conditionalFormatting>
        <x14:conditionalFormatting xmlns:xm="http://schemas.microsoft.com/office/excel/2006/main">
          <x14:cfRule type="expression" priority="120" id="{E1975C84-06D7-4EA9-8AC3-9689AC3EB6C0}">
            <xm:f>CE10&lt;Constants!$B$4</xm:f>
            <x14:dxf>
              <fill>
                <patternFill>
                  <bgColor rgb="FFFF0000"/>
                </patternFill>
              </fill>
            </x14:dxf>
          </x14:cfRule>
          <x14:cfRule type="expression" priority="121" id="{097E0F9E-6BD7-46F8-BAA4-EF2F629539B9}">
            <xm:f>CE10&lt;Constants!$B$3</xm:f>
            <x14:dxf>
              <fill>
                <patternFill>
                  <bgColor rgb="FFFFC000"/>
                </patternFill>
              </fill>
            </x14:dxf>
          </x14:cfRule>
          <xm:sqref>Z10:AC86 AG10:AH86</xm:sqref>
        </x14:conditionalFormatting>
        <x14:conditionalFormatting xmlns:xm="http://schemas.microsoft.com/office/excel/2006/main">
          <x14:cfRule type="expression" priority="33" id="{CD7F224B-AB8F-46AB-9F8E-9DF8AB787A13}">
            <xm:f>CG10&lt;Constants!$B$3</xm:f>
            <x14:dxf>
              <fill>
                <patternFill>
                  <bgColor rgb="FFFFC000"/>
                </patternFill>
              </fill>
            </x14:dxf>
          </x14:cfRule>
          <xm:sqref>AA10</xm:sqref>
        </x14:conditionalFormatting>
        <x14:conditionalFormatting xmlns:xm="http://schemas.microsoft.com/office/excel/2006/main">
          <x14:cfRule type="expression" priority="27" id="{73D8A5D3-6B56-48F8-A5A4-AF8510DAC912}">
            <xm:f>CJ10&lt;Constants!$B$4</xm:f>
            <x14:dxf>
              <fill>
                <patternFill>
                  <bgColor rgb="FFFF0000"/>
                </patternFill>
              </fill>
            </x14:dxf>
          </x14:cfRule>
          <x14:cfRule type="expression" priority="32" id="{64A03755-9E8E-4D48-B649-949C4AEA3BCA}">
            <xm:f>CJ10&lt;Constants!$B$3</xm:f>
            <x14:dxf>
              <fill>
                <patternFill>
                  <bgColor rgb="FFFFC000"/>
                </patternFill>
              </fill>
            </x14:dxf>
          </x14:cfRule>
          <xm:sqref>AH10 AD10:AF86</xm:sqref>
        </x14:conditionalFormatting>
        <x14:conditionalFormatting xmlns:xm="http://schemas.microsoft.com/office/excel/2006/main">
          <x14:cfRule type="expression" priority="25" id="{07B0D8CC-773C-406D-BEE7-5C72F8598388}">
            <xm:f>CO10&lt;Constants!$B$3</xm:f>
            <x14:dxf>
              <fill>
                <patternFill>
                  <bgColor rgb="FFFFC000"/>
                </patternFill>
              </fill>
            </x14:dxf>
          </x14:cfRule>
          <xm:sqref>AH10</xm:sqref>
        </x14:conditionalFormatting>
        <x14:conditionalFormatting xmlns:xm="http://schemas.microsoft.com/office/excel/2006/main">
          <x14:cfRule type="expression" priority="142" id="{E1975C84-06D7-4EA9-8AC3-9689AC3EB6C0}">
            <xm:f>CM10&lt;Constants!$B$4</xm:f>
            <x14:dxf>
              <fill>
                <patternFill>
                  <bgColor rgb="FFFF0000"/>
                </patternFill>
              </fill>
            </x14:dxf>
          </x14:cfRule>
          <x14:cfRule type="expression" priority="143" id="{097E0F9E-6BD7-46F8-BAA4-EF2F629539B9}">
            <xm:f>CM10&lt;Constants!$B$3</xm:f>
            <x14:dxf>
              <fill>
                <patternFill>
                  <bgColor rgb="FFFFC000"/>
                </patternFill>
              </fill>
            </x14:dxf>
          </x14:cfRule>
          <xm:sqref>AI10:AJ86</xm:sqref>
        </x14:conditionalFormatting>
        <x14:conditionalFormatting xmlns:xm="http://schemas.microsoft.com/office/excel/2006/main">
          <x14:cfRule type="expression" priority="16" id="{84CE3071-CF4E-4D3C-A454-BF809826CEB9}">
            <xm:f>CR10&lt;Constants!$B$3</xm:f>
            <x14:dxf>
              <fill>
                <patternFill>
                  <bgColor rgb="FFFFC000"/>
                </patternFill>
              </fill>
            </x14:dxf>
          </x14:cfRule>
          <x14:cfRule type="expression" priority="23" id="{030B48BD-D612-4CB2-B450-1689ECDE0E41}">
            <xm:f>CQ10&lt;Constants!$B$4</xm:f>
            <x14:dxf>
              <fill>
                <patternFill>
                  <bgColor rgb="FFFF0000"/>
                </patternFill>
              </fill>
            </x14:dxf>
          </x14:cfRule>
          <x14:cfRule type="expression" priority="24" id="{A07B3BAD-FC88-494D-A295-246A8C7EE7C5}">
            <xm:f>CQ10&lt;Constants!$B$3</xm:f>
            <x14:dxf>
              <fill>
                <patternFill>
                  <bgColor rgb="FFFFC000"/>
                </patternFill>
              </fill>
            </x14:dxf>
          </x14:cfRule>
          <xm:sqref>AJ10</xm:sqref>
        </x14:conditionalFormatting>
        <x14:conditionalFormatting xmlns:xm="http://schemas.microsoft.com/office/excel/2006/main">
          <x14:cfRule type="expression" priority="153" id="{E1975C84-06D7-4EA9-8AC3-9689AC3EB6C0}">
            <xm:f>CN10&lt;Constants!$B$4</xm:f>
            <x14:dxf>
              <fill>
                <patternFill>
                  <bgColor rgb="FFFF0000"/>
                </patternFill>
              </fill>
            </x14:dxf>
          </x14:cfRule>
          <x14:cfRule type="expression" priority="154" id="{097E0F9E-6BD7-46F8-BAA4-EF2F629539B9}">
            <xm:f>CN10&lt;Constants!$B$3</xm:f>
            <x14:dxf>
              <fill>
                <patternFill>
                  <bgColor rgb="FFFFC000"/>
                </patternFill>
              </fill>
            </x14:dxf>
          </x14:cfRule>
          <xm:sqref>AK10 AK11:AL86</xm:sqref>
        </x14:conditionalFormatting>
        <x14:conditionalFormatting xmlns:xm="http://schemas.microsoft.com/office/excel/2006/main">
          <x14:cfRule type="expression" priority="9" id="{6A9D1DA9-24BF-48D9-915F-98FD84E4162B}">
            <xm:f>CT10&lt;Constants!$B$3</xm:f>
            <x14:dxf>
              <fill>
                <patternFill>
                  <bgColor rgb="FFFFC000"/>
                </patternFill>
              </fill>
            </x14:dxf>
          </x14:cfRule>
          <x14:cfRule type="expression" priority="10" id="{4DC991DA-5F6C-498A-9793-6434D9C3121A}">
            <xm:f>CS10&lt;Constants!$B$4</xm:f>
            <x14:dxf>
              <fill>
                <patternFill>
                  <bgColor rgb="FFFF0000"/>
                </patternFill>
              </fill>
            </x14:dxf>
          </x14:cfRule>
          <x14:cfRule type="expression" priority="11" id="{197CD818-8F0A-438A-98DD-72CE4D93F2CE}">
            <xm:f>CS10&lt;Constants!$B$3</xm:f>
            <x14:dxf>
              <fill>
                <patternFill>
                  <bgColor rgb="FFFFC000"/>
                </patternFill>
              </fill>
            </x14:dxf>
          </x14:cfRule>
          <x14:cfRule type="expression" priority="14" id="{73C2A61B-AB4A-4A77-9663-584188477CFD}">
            <xm:f>CP10&lt;Constants!$B$4</xm:f>
            <x14:dxf>
              <fill>
                <patternFill>
                  <bgColor rgb="FFFF0000"/>
                </patternFill>
              </fill>
            </x14:dxf>
          </x14:cfRule>
          <x14:cfRule type="expression" priority="15" id="{2E4EB5DD-3CD9-44E0-A3FA-9D2A7640E404}">
            <xm:f>CP10&lt;Constants!$B$3</xm:f>
            <x14:dxf>
              <fill>
                <patternFill>
                  <bgColor rgb="FFFFC000"/>
                </patternFill>
              </fill>
            </x14:dxf>
          </x14:cfRule>
          <xm:sqref>AL10</xm:sqref>
        </x14:conditionalFormatting>
        <x14:conditionalFormatting xmlns:xm="http://schemas.microsoft.com/office/excel/2006/main">
          <x14:cfRule type="expression" priority="34" id="{E1975C84-06D7-4EA9-8AC3-9689AC3EB6C0}">
            <xm:f>CO10&lt;Constants!$B$4</xm:f>
            <x14:dxf>
              <fill>
                <patternFill>
                  <bgColor rgb="FFFF0000"/>
                </patternFill>
              </fill>
            </x14:dxf>
          </x14:cfRule>
          <x14:cfRule type="expression" priority="117" id="{097E0F9E-6BD7-46F8-BAA4-EF2F629539B9}">
            <xm:f>CO10&lt;Constants!$B$3</xm:f>
            <x14:dxf>
              <fill>
                <patternFill>
                  <bgColor rgb="FFFFC000"/>
                </patternFill>
              </fill>
            </x14:dxf>
          </x14:cfRule>
          <xm:sqref>AM10:AM86</xm:sqref>
        </x14:conditionalFormatting>
      </x14:conditionalFormattings>
    </ext>
    <ext xmlns:x14="http://schemas.microsoft.com/office/spreadsheetml/2009/9/main" uri="{CCE6A557-97BC-4b89-ADB6-D9C93CAAB3DF}">
      <x14:dataValidations xmlns:xm="http://schemas.microsoft.com/office/excel/2006/main" xWindow="637" yWindow="260" count="8">
        <x14:dataValidation type="list" allowBlank="1" showErrorMessage="1" errorTitle="Incorrect Entry " error="Cell must be filled in. Please enter either an estinated OR actual date." xr:uid="{5E4FACA6-4E7A-426F-BF85-440ABB18854B}">
          <x14:formula1>
            <xm:f>List!$G$2:$G$4</xm:f>
          </x14:formula1>
          <xm:sqref>S10:S86</xm:sqref>
        </x14:dataValidation>
        <x14:dataValidation type="list" allowBlank="1" showInputMessage="1" showErrorMessage="1" xr:uid="{F55B3206-E23B-48D9-B341-A2EB50B5A323}">
          <x14:formula1>
            <xm:f>List!$D$14:$D$16</xm:f>
          </x14:formula1>
          <xm:sqref>F10:F86</xm:sqref>
        </x14:dataValidation>
        <x14:dataValidation type="list" allowBlank="1" showInputMessage="1" showErrorMessage="1" xr:uid="{836390A4-7E64-436A-AE41-1133F80FD1A2}">
          <x14:formula1>
            <xm:f>List!$E$2:$E$4</xm:f>
          </x14:formula1>
          <xm:sqref>O10:O97 K10:L97 M87:M97</xm:sqref>
        </x14:dataValidation>
        <x14:dataValidation type="list" allowBlank="1" showInputMessage="1" showErrorMessage="1" xr:uid="{6E0C0D34-8AB6-4849-A898-9150EB107D91}">
          <x14:formula1>
            <xm:f>List!$F$2:$F$7</xm:f>
          </x14:formula1>
          <xm:sqref>P10:P86</xm:sqref>
        </x14:dataValidation>
        <x14:dataValidation type="list" operator="notEqual" allowBlank="1" showInputMessage="1" showErrorMessage="1" xr:uid="{D5B5F197-456D-43E7-8249-31C15F93C51F}">
          <x14:formula1>
            <xm:f>List!$G$2:$G$4</xm:f>
          </x14:formula1>
          <xm:sqref>S10:S86</xm:sqref>
        </x14:dataValidation>
        <x14:dataValidation type="list" operator="notEqual" allowBlank="1" showInputMessage="1" showErrorMessage="1" xr:uid="{72EEC52A-91E9-42DC-AB78-C8A06B4CB729}">
          <x14:formula1>
            <xm:f>List!$M$2:$M$5</xm:f>
          </x14:formula1>
          <xm:sqref>I10:I86 L10:M86</xm:sqref>
        </x14:dataValidation>
        <x14:dataValidation type="list" allowBlank="1" showInputMessage="1" showErrorMessage="1" xr:uid="{8D4CD9C9-388E-4C8E-84E6-1DB2BBA7D8D8}">
          <x14:formula1>
            <xm:f>List!$M$2:$M$5</xm:f>
          </x14:formula1>
          <xm:sqref>I10:I86 M10:M86</xm:sqref>
        </x14:dataValidation>
        <x14:dataValidation type="list" allowBlank="1" showInputMessage="1" showErrorMessage="1" xr:uid="{B0B96DD4-51BA-429C-91E9-DA9F8DFDCF79}">
          <x14:formula1>
            <xm:f>List!$H$2:$H$6</xm:f>
          </x14:formula1>
          <xm:sqref>AS10:AS86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9BC4-02BC-47B5-91B2-D26227035D43}">
  <sheetPr>
    <outlinePr summaryRight="0"/>
  </sheetPr>
  <dimension ref="A1:SN105"/>
  <sheetViews>
    <sheetView workbookViewId="0">
      <pane xSplit="3" ySplit="9" topLeftCell="D10" activePane="bottomRight" state="frozen"/>
      <selection pane="topRight" activeCell="D1" sqref="D1"/>
      <selection pane="bottomLeft" activeCell="A10" sqref="A10"/>
      <selection pane="bottomRight" activeCell="C1" sqref="C1"/>
    </sheetView>
  </sheetViews>
  <sheetFormatPr defaultColWidth="10.41796875" defaultRowHeight="14.25" customHeight="1" outlineLevelCol="1" x14ac:dyDescent="0.55000000000000004"/>
  <cols>
    <col min="1" max="1" width="9.26171875" style="290" customWidth="1"/>
    <col min="2" max="2" width="42" style="290" customWidth="1"/>
    <col min="3" max="3" width="51" style="291" customWidth="1" collapsed="1"/>
    <col min="4" max="4" width="25" style="290" customWidth="1"/>
    <col min="5" max="5" width="29.68359375" style="290" customWidth="1"/>
    <col min="6" max="6" width="33.83984375" style="290" bestFit="1" customWidth="1"/>
    <col min="7" max="7" width="29.68359375" style="290" customWidth="1"/>
    <col min="8" max="8" width="14.83984375" style="292" customWidth="1" collapsed="1"/>
    <col min="9" max="9" width="14.83984375" style="293" customWidth="1"/>
    <col min="10" max="10" width="29.68359375" style="293" customWidth="1"/>
    <col min="11" max="11" width="29.68359375" style="290" customWidth="1"/>
    <col min="12" max="13" width="14.83984375" style="290" customWidth="1"/>
    <col min="14" max="15" width="29.68359375" style="290" customWidth="1"/>
    <col min="16" max="16" width="15" style="292" customWidth="1"/>
    <col min="17" max="17" width="17.68359375" style="290" customWidth="1"/>
    <col min="18" max="18" width="17.68359375" style="290" customWidth="1" outlineLevel="1"/>
    <col min="19" max="20" width="15" style="290" customWidth="1"/>
    <col min="21" max="21" width="17.578125" style="290" customWidth="1"/>
    <col min="22" max="22" width="17.578125" style="290" customWidth="1" outlineLevel="1"/>
    <col min="23" max="23" width="15" style="293" customWidth="1"/>
    <col min="24" max="24" width="14.83984375" style="290" customWidth="1"/>
    <col min="25" max="25" width="36.7890625" style="290" bestFit="1" customWidth="1" outlineLevel="1"/>
    <col min="26" max="26" width="14.83984375" style="290" customWidth="1" collapsed="1"/>
    <col min="27" max="27" width="14.83984375" style="290" hidden="1" customWidth="1" outlineLevel="1"/>
    <col min="28" max="28" width="14.83984375" style="290" customWidth="1" collapsed="1"/>
    <col min="29" max="29" width="14.83984375" style="290" customWidth="1"/>
    <col min="30" max="30" width="14.83984375" style="292" customWidth="1"/>
    <col min="31" max="31" width="14.83984375" style="290" customWidth="1" collapsed="1"/>
    <col min="32" max="32" width="14.83984375" style="290" hidden="1" customWidth="1" outlineLevel="1"/>
    <col min="33" max="33" width="14.83984375" style="290" customWidth="1" collapsed="1"/>
    <col min="34" max="34" width="14.83984375" style="290" hidden="1" customWidth="1" outlineLevel="1"/>
    <col min="35" max="35" width="18.15625" style="292" customWidth="1" collapsed="1"/>
    <col min="36" max="36" width="18.15625" style="290" hidden="1" customWidth="1" outlineLevel="1"/>
    <col min="37" max="37" width="14.83984375" style="290" customWidth="1" collapsed="1"/>
    <col min="38" max="38" width="14.83984375" style="290" hidden="1" customWidth="1" outlineLevel="1"/>
    <col min="39" max="39" width="14.83984375" style="290" customWidth="1"/>
    <col min="40" max="40" width="23.41796875" style="292" customWidth="1"/>
    <col min="41" max="41" width="23.41796875" style="290" customWidth="1"/>
    <col min="42" max="42" width="17.68359375" style="294" customWidth="1"/>
    <col min="43" max="43" width="39.15625" style="294" customWidth="1"/>
    <col min="44" max="44" width="28.578125" style="294" customWidth="1"/>
    <col min="45" max="45" width="23.83984375" style="292" customWidth="1"/>
    <col min="46" max="46" width="16.83984375" style="290" customWidth="1"/>
    <col min="47" max="47" width="16.26171875" style="290" customWidth="1"/>
    <col min="48" max="48" width="15.578125" style="290" customWidth="1"/>
    <col min="49" max="49" width="16.26171875" style="290" customWidth="1" collapsed="1"/>
    <col min="50" max="384" width="10.41796875" style="243"/>
    <col min="385" max="16384" width="10.41796875" style="252"/>
  </cols>
  <sheetData>
    <row r="1" spans="1:384" s="227" customFormat="1" ht="29.7" x14ac:dyDescent="0.55000000000000004">
      <c r="A1" s="295" t="s">
        <v>534</v>
      </c>
      <c r="B1" s="296"/>
      <c r="C1" s="297"/>
      <c r="D1" s="298"/>
      <c r="E1" s="298"/>
      <c r="F1" s="298"/>
      <c r="G1" s="298"/>
      <c r="H1" s="299"/>
      <c r="K1" s="298"/>
      <c r="L1" s="298"/>
      <c r="M1" s="298"/>
      <c r="N1" s="298"/>
      <c r="O1" s="298"/>
      <c r="P1" s="299"/>
      <c r="Q1" s="298"/>
      <c r="R1" s="298"/>
      <c r="S1" s="298"/>
      <c r="T1" s="298"/>
      <c r="U1" s="298"/>
      <c r="V1" s="298"/>
      <c r="X1" s="298"/>
      <c r="Y1" s="298"/>
      <c r="Z1" s="298"/>
      <c r="AA1" s="298"/>
      <c r="AB1" s="298"/>
      <c r="AC1" s="298"/>
      <c r="AD1" s="299"/>
      <c r="AE1" s="298"/>
      <c r="AF1" s="298"/>
      <c r="AG1" s="298"/>
      <c r="AH1" s="298"/>
      <c r="AI1" s="299"/>
      <c r="AJ1" s="298"/>
      <c r="AK1" s="298"/>
      <c r="AL1" s="298"/>
      <c r="AM1" s="298"/>
      <c r="AN1" s="299"/>
      <c r="AO1" s="298"/>
      <c r="AP1" s="298"/>
      <c r="AQ1" s="298"/>
      <c r="AR1" s="298"/>
      <c r="AS1" s="299"/>
      <c r="AT1" s="298"/>
      <c r="AU1" s="298"/>
      <c r="AV1" s="298"/>
      <c r="AW1" s="298"/>
    </row>
    <row r="2" spans="1:384" s="227" customFormat="1" ht="16.5" hidden="1" customHeight="1" x14ac:dyDescent="0.55000000000000004">
      <c r="A2" s="228"/>
      <c r="B2" s="223"/>
      <c r="C2" s="223"/>
      <c r="D2" s="224"/>
      <c r="E2" s="229"/>
      <c r="F2" s="229"/>
      <c r="G2" s="224"/>
      <c r="H2" s="225"/>
      <c r="I2" s="226"/>
      <c r="J2" s="226"/>
      <c r="K2" s="224"/>
      <c r="L2" s="224"/>
      <c r="M2" s="224"/>
      <c r="N2" s="224"/>
      <c r="O2" s="224"/>
      <c r="P2" s="225"/>
      <c r="Q2" s="230"/>
      <c r="R2" s="230"/>
      <c r="S2" s="224"/>
      <c r="T2" s="224"/>
      <c r="U2" s="224"/>
      <c r="V2" s="224"/>
      <c r="W2" s="226"/>
      <c r="X2" s="224"/>
      <c r="Y2" s="224"/>
      <c r="Z2" s="224"/>
      <c r="AA2" s="224"/>
      <c r="AB2" s="224"/>
      <c r="AC2" s="224"/>
      <c r="AD2" s="225"/>
      <c r="AE2" s="224"/>
      <c r="AF2" s="224"/>
      <c r="AG2" s="224"/>
      <c r="AH2" s="224"/>
      <c r="AI2" s="225"/>
      <c r="AJ2" s="224"/>
      <c r="AK2" s="224"/>
      <c r="AL2" s="224"/>
      <c r="AM2" s="224"/>
      <c r="AN2" s="225"/>
      <c r="AO2" s="224"/>
      <c r="AP2" s="224"/>
      <c r="AQ2" s="224"/>
      <c r="AR2" s="224"/>
      <c r="AS2" s="225"/>
      <c r="AT2" s="224"/>
      <c r="AU2" s="224"/>
      <c r="AV2" s="224"/>
      <c r="AW2" s="224"/>
    </row>
    <row r="3" spans="1:384" s="227" customFormat="1" ht="22.8" hidden="1" thickBot="1" x14ac:dyDescent="0.6">
      <c r="A3" s="334" t="s">
        <v>123</v>
      </c>
      <c r="B3" s="334"/>
      <c r="C3" s="231"/>
      <c r="D3" s="224"/>
      <c r="E3" s="224"/>
      <c r="F3" s="224"/>
      <c r="G3" s="224"/>
      <c r="H3" s="232"/>
      <c r="I3" s="233"/>
      <c r="J3" s="226"/>
      <c r="K3" s="224"/>
      <c r="L3" s="234"/>
      <c r="M3" s="234"/>
      <c r="N3" s="224"/>
      <c r="O3" s="224"/>
      <c r="P3" s="232"/>
      <c r="Q3" s="235"/>
      <c r="R3" s="235"/>
      <c r="S3" s="234"/>
      <c r="T3" s="234"/>
      <c r="U3" s="234"/>
      <c r="V3" s="234"/>
      <c r="W3" s="233"/>
      <c r="X3" s="234"/>
      <c r="Y3" s="234"/>
      <c r="Z3" s="234"/>
      <c r="AA3" s="234"/>
      <c r="AB3" s="234"/>
      <c r="AC3" s="234"/>
      <c r="AD3" s="232"/>
      <c r="AE3" s="234"/>
      <c r="AF3" s="234"/>
      <c r="AG3" s="234"/>
      <c r="AH3" s="234"/>
      <c r="AI3" s="232"/>
      <c r="AJ3" s="234"/>
      <c r="AK3" s="234"/>
      <c r="AL3" s="234"/>
      <c r="AM3" s="234"/>
      <c r="AN3" s="225"/>
      <c r="AO3" s="224"/>
      <c r="AP3" s="224"/>
      <c r="AQ3" s="224"/>
      <c r="AR3" s="224"/>
      <c r="AS3" s="232"/>
      <c r="AT3" s="234"/>
      <c r="AU3" s="234"/>
      <c r="AV3" s="234"/>
      <c r="AW3" s="234"/>
    </row>
    <row r="4" spans="1:384" s="227" customFormat="1" ht="42" customHeight="1" thickBot="1" x14ac:dyDescent="0.6">
      <c r="A4" s="236"/>
      <c r="B4" s="237"/>
      <c r="C4" s="300"/>
      <c r="D4" s="224"/>
      <c r="E4" s="224"/>
      <c r="F4" s="224"/>
      <c r="G4" s="224"/>
      <c r="H4" s="232"/>
      <c r="I4" s="233"/>
      <c r="J4" s="226"/>
      <c r="K4" s="224"/>
      <c r="L4" s="234"/>
      <c r="M4" s="234"/>
      <c r="N4" s="224"/>
      <c r="O4" s="224"/>
      <c r="P4" s="232"/>
      <c r="Q4" s="235"/>
      <c r="R4" s="235"/>
      <c r="S4" s="234"/>
      <c r="T4" s="234"/>
      <c r="U4" s="234"/>
      <c r="V4" s="234"/>
      <c r="W4" s="238"/>
      <c r="X4" s="234"/>
      <c r="Y4" s="234"/>
      <c r="Z4" s="234"/>
      <c r="AA4" s="234"/>
      <c r="AB4" s="234"/>
      <c r="AC4" s="234"/>
      <c r="AD4" s="232"/>
      <c r="AE4" s="234"/>
      <c r="AF4" s="234"/>
      <c r="AG4" s="234"/>
      <c r="AH4" s="234"/>
      <c r="AI4" s="232"/>
      <c r="AJ4" s="234"/>
      <c r="AK4" s="234"/>
      <c r="AL4" s="234"/>
      <c r="AM4" s="234"/>
      <c r="AN4" s="225"/>
      <c r="AO4" s="224"/>
      <c r="AP4" s="224"/>
      <c r="AQ4" s="224"/>
      <c r="AR4" s="224"/>
      <c r="AS4" s="232"/>
      <c r="AT4" s="234"/>
      <c r="AU4" s="234"/>
      <c r="AV4" s="335"/>
      <c r="AW4" s="335"/>
    </row>
    <row r="5" spans="1:384" s="244" customFormat="1" ht="24.75" customHeight="1" thickBot="1" x14ac:dyDescent="0.6">
      <c r="A5" s="336" t="s">
        <v>124</v>
      </c>
      <c r="B5" s="337"/>
      <c r="C5" s="337"/>
      <c r="D5" s="337"/>
      <c r="E5" s="337"/>
      <c r="F5" s="337"/>
      <c r="G5" s="338"/>
      <c r="H5" s="239" t="s">
        <v>369</v>
      </c>
      <c r="I5" s="240"/>
      <c r="J5" s="239"/>
      <c r="K5" s="239"/>
      <c r="L5" s="239"/>
      <c r="M5" s="239"/>
      <c r="N5" s="239"/>
      <c r="O5" s="239"/>
      <c r="P5" s="241" t="s">
        <v>467</v>
      </c>
      <c r="Q5" s="242"/>
      <c r="R5" s="242"/>
      <c r="S5" s="242"/>
      <c r="T5" s="242"/>
      <c r="U5" s="242"/>
      <c r="V5" s="242"/>
      <c r="W5" s="242"/>
      <c r="X5" s="242"/>
      <c r="Y5" s="242"/>
      <c r="Z5" s="242"/>
      <c r="AA5" s="242"/>
      <c r="AB5" s="242"/>
      <c r="AC5" s="242"/>
      <c r="AD5" s="339" t="s">
        <v>474</v>
      </c>
      <c r="AE5" s="337"/>
      <c r="AF5" s="337"/>
      <c r="AG5" s="337"/>
      <c r="AH5" s="340"/>
      <c r="AI5" s="341" t="s">
        <v>475</v>
      </c>
      <c r="AJ5" s="342"/>
      <c r="AK5" s="342"/>
      <c r="AL5" s="342"/>
      <c r="AM5" s="343"/>
      <c r="AN5" s="344" t="s">
        <v>476</v>
      </c>
      <c r="AO5" s="342"/>
      <c r="AP5" s="342"/>
      <c r="AQ5" s="342"/>
      <c r="AR5" s="342"/>
      <c r="AS5" s="336" t="s">
        <v>477</v>
      </c>
      <c r="AT5" s="337"/>
      <c r="AU5" s="337"/>
      <c r="AV5" s="337"/>
      <c r="AW5" s="337"/>
      <c r="AX5" s="243"/>
      <c r="AY5" s="243"/>
      <c r="AZ5" s="243"/>
      <c r="BA5" s="243"/>
      <c r="BB5" s="243"/>
      <c r="BC5" s="243"/>
      <c r="BD5" s="243"/>
      <c r="BE5" s="243"/>
      <c r="BF5" s="243"/>
      <c r="BG5" s="243"/>
      <c r="BH5" s="243"/>
      <c r="BI5" s="243"/>
      <c r="BJ5" s="243"/>
      <c r="BK5" s="243"/>
      <c r="BL5" s="243"/>
      <c r="BM5" s="243"/>
      <c r="BN5" s="243"/>
      <c r="BO5" s="243"/>
      <c r="BP5" s="243"/>
      <c r="BQ5" s="243"/>
      <c r="BR5" s="243"/>
      <c r="BS5" s="243"/>
      <c r="BT5" s="243"/>
      <c r="BU5" s="243"/>
      <c r="BV5" s="243"/>
      <c r="BW5" s="243"/>
      <c r="BX5" s="243"/>
      <c r="BY5" s="243"/>
      <c r="BZ5" s="243"/>
      <c r="CA5" s="243"/>
      <c r="CB5" s="243"/>
      <c r="CC5" s="243"/>
      <c r="CD5" s="243"/>
      <c r="CE5" s="243"/>
      <c r="CF5" s="243"/>
      <c r="CG5" s="243"/>
      <c r="CH5" s="243"/>
      <c r="CI5" s="243"/>
      <c r="CJ5" s="243"/>
      <c r="CK5" s="243"/>
      <c r="CL5" s="243"/>
      <c r="CM5" s="243"/>
      <c r="CN5" s="243"/>
      <c r="CO5" s="243"/>
      <c r="CP5" s="243"/>
      <c r="CQ5" s="243"/>
      <c r="CR5" s="243"/>
      <c r="CS5" s="243"/>
      <c r="CT5" s="243"/>
      <c r="CU5" s="243"/>
      <c r="CV5" s="243"/>
      <c r="CW5" s="243"/>
      <c r="CX5" s="243"/>
      <c r="CY5" s="243"/>
      <c r="CZ5" s="243"/>
      <c r="DA5" s="243"/>
      <c r="DB5" s="243"/>
      <c r="DC5" s="243"/>
      <c r="DD5" s="243"/>
      <c r="DE5" s="243"/>
      <c r="DF5" s="243"/>
      <c r="DG5" s="243"/>
      <c r="DH5" s="243"/>
      <c r="DI5" s="243"/>
      <c r="DJ5" s="243"/>
      <c r="DK5" s="243"/>
      <c r="DL5" s="243"/>
      <c r="DM5" s="243"/>
      <c r="DN5" s="243"/>
      <c r="DO5" s="243"/>
      <c r="DP5" s="243"/>
      <c r="DQ5" s="243"/>
      <c r="DR5" s="243"/>
      <c r="DS5" s="243"/>
      <c r="DT5" s="243"/>
      <c r="DU5" s="243"/>
      <c r="DV5" s="243"/>
      <c r="DW5" s="243"/>
      <c r="DX5" s="243"/>
      <c r="DY5" s="243"/>
      <c r="DZ5" s="243"/>
      <c r="EA5" s="243"/>
      <c r="EB5" s="243"/>
      <c r="EC5" s="243"/>
      <c r="ED5" s="243"/>
      <c r="EE5" s="243"/>
      <c r="EF5" s="243"/>
      <c r="EG5" s="243"/>
      <c r="EH5" s="243"/>
      <c r="EI5" s="243"/>
      <c r="EJ5" s="243"/>
      <c r="EK5" s="243"/>
      <c r="EL5" s="243"/>
      <c r="EM5" s="243"/>
      <c r="EN5" s="243"/>
      <c r="EO5" s="243"/>
      <c r="EP5" s="243"/>
      <c r="EQ5" s="243"/>
      <c r="ER5" s="243"/>
      <c r="ES5" s="243"/>
      <c r="ET5" s="243"/>
      <c r="EU5" s="243"/>
      <c r="EV5" s="243"/>
      <c r="EW5" s="243"/>
      <c r="EX5" s="243"/>
      <c r="EY5" s="243"/>
      <c r="EZ5" s="243"/>
      <c r="FA5" s="243"/>
      <c r="FB5" s="243"/>
      <c r="FC5" s="243"/>
      <c r="FD5" s="243"/>
      <c r="FE5" s="243"/>
      <c r="FF5" s="243"/>
      <c r="FG5" s="243"/>
      <c r="FH5" s="243"/>
      <c r="FI5" s="243"/>
      <c r="FJ5" s="243"/>
      <c r="FK5" s="243"/>
      <c r="FL5" s="243"/>
      <c r="FM5" s="243"/>
      <c r="FN5" s="243"/>
      <c r="FO5" s="243"/>
      <c r="FP5" s="243"/>
      <c r="FQ5" s="243"/>
      <c r="FR5" s="243"/>
      <c r="FS5" s="243"/>
      <c r="FT5" s="243"/>
      <c r="FU5" s="243"/>
      <c r="FV5" s="243"/>
      <c r="FW5" s="243"/>
      <c r="FX5" s="243"/>
      <c r="FY5" s="243"/>
      <c r="FZ5" s="243"/>
      <c r="GA5" s="243"/>
      <c r="GB5" s="243"/>
      <c r="GC5" s="243"/>
      <c r="GD5" s="243"/>
      <c r="GE5" s="243"/>
      <c r="GF5" s="243"/>
      <c r="GG5" s="243"/>
      <c r="GH5" s="243"/>
      <c r="GI5" s="243"/>
      <c r="GJ5" s="243"/>
      <c r="GK5" s="243"/>
      <c r="GL5" s="243"/>
      <c r="GM5" s="243"/>
      <c r="GN5" s="243"/>
      <c r="GO5" s="243"/>
      <c r="GP5" s="243"/>
      <c r="GQ5" s="243"/>
      <c r="GR5" s="243"/>
      <c r="GS5" s="243"/>
      <c r="GT5" s="243"/>
      <c r="GU5" s="243"/>
      <c r="GV5" s="243"/>
      <c r="GW5" s="243"/>
      <c r="GX5" s="243"/>
      <c r="GY5" s="243"/>
      <c r="GZ5" s="243"/>
      <c r="HA5" s="243"/>
      <c r="HB5" s="243"/>
      <c r="HC5" s="243"/>
      <c r="HD5" s="243"/>
      <c r="HE5" s="243"/>
      <c r="HF5" s="243"/>
      <c r="HG5" s="243"/>
      <c r="HH5" s="243"/>
      <c r="HI5" s="243"/>
      <c r="HJ5" s="243"/>
      <c r="HK5" s="243"/>
      <c r="HL5" s="243"/>
      <c r="HM5" s="243"/>
      <c r="HN5" s="243"/>
      <c r="HO5" s="243"/>
      <c r="HP5" s="243"/>
      <c r="HQ5" s="243"/>
      <c r="HR5" s="243"/>
      <c r="HS5" s="243"/>
      <c r="HT5" s="243"/>
      <c r="HU5" s="243"/>
      <c r="HV5" s="243"/>
      <c r="HW5" s="243"/>
      <c r="HX5" s="243"/>
      <c r="HY5" s="243"/>
      <c r="HZ5" s="243"/>
      <c r="IA5" s="243"/>
      <c r="IB5" s="243"/>
      <c r="IC5" s="243"/>
      <c r="ID5" s="243"/>
      <c r="IE5" s="243"/>
      <c r="IF5" s="243"/>
      <c r="IG5" s="243"/>
      <c r="IH5" s="243"/>
      <c r="II5" s="243"/>
      <c r="IJ5" s="243"/>
      <c r="IK5" s="243"/>
      <c r="IL5" s="243"/>
      <c r="IM5" s="243"/>
      <c r="IN5" s="243"/>
      <c r="IO5" s="243"/>
      <c r="IP5" s="243"/>
      <c r="IQ5" s="243"/>
      <c r="IR5" s="243"/>
      <c r="IS5" s="243"/>
      <c r="IT5" s="243"/>
      <c r="IU5" s="243"/>
      <c r="IV5" s="243"/>
      <c r="IW5" s="243"/>
      <c r="IX5" s="243"/>
      <c r="IY5" s="243"/>
      <c r="IZ5" s="243"/>
      <c r="JA5" s="243"/>
      <c r="JB5" s="243"/>
      <c r="JC5" s="243"/>
      <c r="JD5" s="243"/>
      <c r="JE5" s="243"/>
      <c r="JF5" s="243"/>
      <c r="JG5" s="243"/>
      <c r="JH5" s="243"/>
      <c r="JI5" s="243"/>
      <c r="JJ5" s="243"/>
      <c r="JK5" s="243"/>
      <c r="JL5" s="243"/>
      <c r="JM5" s="243"/>
      <c r="JN5" s="243"/>
      <c r="JO5" s="243"/>
      <c r="JP5" s="243"/>
      <c r="JQ5" s="243"/>
      <c r="JR5" s="243"/>
      <c r="JS5" s="243"/>
      <c r="JT5" s="243"/>
      <c r="JU5" s="243"/>
      <c r="JV5" s="243"/>
      <c r="JW5" s="243"/>
      <c r="JX5" s="243"/>
      <c r="JY5" s="243"/>
      <c r="JZ5" s="243"/>
      <c r="KA5" s="243"/>
      <c r="KB5" s="243"/>
      <c r="KC5" s="243"/>
      <c r="KD5" s="243"/>
      <c r="KE5" s="243"/>
      <c r="KF5" s="243"/>
      <c r="KG5" s="243"/>
      <c r="KH5" s="243"/>
      <c r="KI5" s="243"/>
      <c r="KJ5" s="243"/>
      <c r="KK5" s="243"/>
      <c r="KL5" s="243"/>
      <c r="KM5" s="243"/>
      <c r="KN5" s="243"/>
      <c r="KO5" s="243"/>
      <c r="KP5" s="243"/>
      <c r="KQ5" s="243"/>
      <c r="KR5" s="243"/>
      <c r="KS5" s="243"/>
      <c r="KT5" s="243"/>
      <c r="KU5" s="243"/>
      <c r="KV5" s="243"/>
      <c r="KW5" s="243"/>
      <c r="KX5" s="243"/>
      <c r="KY5" s="243"/>
      <c r="KZ5" s="243"/>
      <c r="LA5" s="243"/>
      <c r="LB5" s="243"/>
      <c r="LC5" s="243"/>
      <c r="LD5" s="243"/>
      <c r="LE5" s="243"/>
      <c r="LF5" s="243"/>
      <c r="LG5" s="243"/>
      <c r="LH5" s="243"/>
      <c r="LI5" s="243"/>
      <c r="LJ5" s="243"/>
      <c r="LK5" s="243"/>
      <c r="LL5" s="243"/>
      <c r="LM5" s="243"/>
      <c r="LN5" s="243"/>
      <c r="LO5" s="243"/>
      <c r="LP5" s="243"/>
      <c r="LQ5" s="243"/>
      <c r="LR5" s="243"/>
      <c r="LS5" s="243"/>
      <c r="LT5" s="243"/>
      <c r="LU5" s="243"/>
      <c r="LV5" s="243"/>
      <c r="LW5" s="243"/>
      <c r="LX5" s="243"/>
      <c r="LY5" s="243"/>
      <c r="LZ5" s="243"/>
      <c r="MA5" s="243"/>
      <c r="MB5" s="243"/>
      <c r="MC5" s="243"/>
      <c r="MD5" s="243"/>
      <c r="ME5" s="243"/>
      <c r="MF5" s="243"/>
      <c r="MG5" s="243"/>
      <c r="MH5" s="243"/>
      <c r="MI5" s="243"/>
      <c r="MJ5" s="243"/>
      <c r="MK5" s="243"/>
      <c r="ML5" s="243"/>
      <c r="MM5" s="243"/>
      <c r="MN5" s="243"/>
      <c r="MO5" s="243"/>
      <c r="MP5" s="243"/>
      <c r="MQ5" s="243"/>
      <c r="MR5" s="243"/>
      <c r="MS5" s="243"/>
      <c r="MT5" s="243"/>
      <c r="MU5" s="243"/>
      <c r="MV5" s="243"/>
      <c r="MW5" s="243"/>
      <c r="MX5" s="243"/>
      <c r="MY5" s="243"/>
      <c r="MZ5" s="243"/>
      <c r="NA5" s="243"/>
      <c r="NB5" s="243"/>
      <c r="NC5" s="243"/>
      <c r="ND5" s="243"/>
      <c r="NE5" s="243"/>
      <c r="NF5" s="243"/>
      <c r="NG5" s="243"/>
      <c r="NH5" s="243"/>
      <c r="NI5" s="243"/>
      <c r="NJ5" s="243"/>
      <c r="NK5" s="243"/>
      <c r="NL5" s="243"/>
      <c r="NM5" s="243"/>
      <c r="NN5" s="243"/>
      <c r="NO5" s="243"/>
      <c r="NP5" s="243"/>
      <c r="NQ5" s="243"/>
      <c r="NR5" s="243"/>
      <c r="NS5" s="243"/>
      <c r="NT5" s="243"/>
    </row>
    <row r="6" spans="1:384" ht="14.4" x14ac:dyDescent="0.55000000000000004">
      <c r="A6" s="245" t="str">
        <f>"Col "&amp;COLUMN()</f>
        <v>Col 1</v>
      </c>
      <c r="B6" s="245" t="str">
        <f t="shared" ref="B6:AW6" si="0">"Col "&amp;COLUMN()</f>
        <v>Col 2</v>
      </c>
      <c r="C6" s="245" t="str">
        <f t="shared" si="0"/>
        <v>Col 3</v>
      </c>
      <c r="D6" s="245" t="str">
        <f t="shared" si="0"/>
        <v>Col 4</v>
      </c>
      <c r="E6" s="245" t="str">
        <f t="shared" si="0"/>
        <v>Col 5</v>
      </c>
      <c r="F6" s="245" t="str">
        <f t="shared" si="0"/>
        <v>Col 6</v>
      </c>
      <c r="G6" s="246" t="str">
        <f t="shared" si="0"/>
        <v>Col 7</v>
      </c>
      <c r="H6" s="247" t="str">
        <f t="shared" si="0"/>
        <v>Col 8</v>
      </c>
      <c r="I6" s="245" t="str">
        <f t="shared" si="0"/>
        <v>Col 9</v>
      </c>
      <c r="J6" s="248" t="str">
        <f t="shared" si="0"/>
        <v>Col 10</v>
      </c>
      <c r="K6" s="245" t="str">
        <f t="shared" si="0"/>
        <v>Col 11</v>
      </c>
      <c r="L6" s="245" t="str">
        <f t="shared" si="0"/>
        <v>Col 12</v>
      </c>
      <c r="M6" s="245" t="str">
        <f t="shared" si="0"/>
        <v>Col 13</v>
      </c>
      <c r="N6" s="245" t="str">
        <f t="shared" si="0"/>
        <v>Col 14</v>
      </c>
      <c r="O6" s="246" t="str">
        <f t="shared" si="0"/>
        <v>Col 15</v>
      </c>
      <c r="P6" s="249" t="str">
        <f t="shared" si="0"/>
        <v>Col 16</v>
      </c>
      <c r="Q6" s="250" t="str">
        <f t="shared" si="0"/>
        <v>Col 17</v>
      </c>
      <c r="R6" s="250" t="str">
        <f t="shared" si="0"/>
        <v>Col 18</v>
      </c>
      <c r="S6" s="250" t="str">
        <f t="shared" si="0"/>
        <v>Col 19</v>
      </c>
      <c r="T6" s="250" t="str">
        <f t="shared" si="0"/>
        <v>Col 20</v>
      </c>
      <c r="U6" s="250" t="str">
        <f t="shared" si="0"/>
        <v>Col 21</v>
      </c>
      <c r="V6" s="250" t="str">
        <f t="shared" si="0"/>
        <v>Col 22</v>
      </c>
      <c r="W6" s="250" t="str">
        <f t="shared" si="0"/>
        <v>Col 23</v>
      </c>
      <c r="X6" s="250" t="str">
        <f t="shared" si="0"/>
        <v>Col 24</v>
      </c>
      <c r="Y6" s="250" t="str">
        <f t="shared" si="0"/>
        <v>Col 25</v>
      </c>
      <c r="Z6" s="250" t="str">
        <f t="shared" si="0"/>
        <v>Col 26</v>
      </c>
      <c r="AA6" s="250" t="str">
        <f t="shared" si="0"/>
        <v>Col 27</v>
      </c>
      <c r="AB6" s="250" t="str">
        <f t="shared" si="0"/>
        <v>Col 28</v>
      </c>
      <c r="AC6" s="251" t="str">
        <f t="shared" si="0"/>
        <v>Col 29</v>
      </c>
      <c r="AD6" s="247" t="str">
        <f t="shared" si="0"/>
        <v>Col 30</v>
      </c>
      <c r="AE6" s="245" t="str">
        <f t="shared" si="0"/>
        <v>Col 31</v>
      </c>
      <c r="AF6" s="245" t="str">
        <f t="shared" si="0"/>
        <v>Col 32</v>
      </c>
      <c r="AG6" s="245" t="str">
        <f t="shared" si="0"/>
        <v>Col 33</v>
      </c>
      <c r="AH6" s="246" t="str">
        <f t="shared" si="0"/>
        <v>Col 34</v>
      </c>
      <c r="AI6" s="247" t="str">
        <f t="shared" si="0"/>
        <v>Col 35</v>
      </c>
      <c r="AJ6" s="245" t="str">
        <f t="shared" si="0"/>
        <v>Col 36</v>
      </c>
      <c r="AK6" s="245" t="str">
        <f t="shared" si="0"/>
        <v>Col 37</v>
      </c>
      <c r="AL6" s="245" t="str">
        <f t="shared" si="0"/>
        <v>Col 38</v>
      </c>
      <c r="AM6" s="246" t="str">
        <f t="shared" si="0"/>
        <v>Col 39</v>
      </c>
      <c r="AN6" s="247" t="str">
        <f t="shared" si="0"/>
        <v>Col 40</v>
      </c>
      <c r="AO6" s="245" t="str">
        <f t="shared" si="0"/>
        <v>Col 41</v>
      </c>
      <c r="AP6" s="245" t="str">
        <f t="shared" si="0"/>
        <v>Col 42</v>
      </c>
      <c r="AQ6" s="245" t="str">
        <f t="shared" si="0"/>
        <v>Col 43</v>
      </c>
      <c r="AR6" s="246" t="str">
        <f t="shared" si="0"/>
        <v>Col 44</v>
      </c>
      <c r="AS6" s="247" t="str">
        <f t="shared" si="0"/>
        <v>Col 45</v>
      </c>
      <c r="AT6" s="245" t="str">
        <f t="shared" si="0"/>
        <v>Col 46</v>
      </c>
      <c r="AU6" s="245" t="str">
        <f t="shared" si="0"/>
        <v>Col 47</v>
      </c>
      <c r="AV6" s="245" t="str">
        <f t="shared" si="0"/>
        <v>Col 48</v>
      </c>
      <c r="AW6" s="245" t="str">
        <f t="shared" si="0"/>
        <v>Col 49</v>
      </c>
    </row>
    <row r="7" spans="1:384" ht="60.75" customHeight="1" x14ac:dyDescent="0.55000000000000004">
      <c r="A7" s="253" t="s">
        <v>1</v>
      </c>
      <c r="B7" s="254" t="s">
        <v>2</v>
      </c>
      <c r="C7" s="255" t="s">
        <v>260</v>
      </c>
      <c r="D7" s="253" t="s">
        <v>67</v>
      </c>
      <c r="E7" s="253" t="s">
        <v>72</v>
      </c>
      <c r="F7" s="253" t="s">
        <v>257</v>
      </c>
      <c r="G7" s="256" t="s">
        <v>129</v>
      </c>
      <c r="H7" s="257" t="s">
        <v>383</v>
      </c>
      <c r="I7" s="253" t="s">
        <v>385</v>
      </c>
      <c r="J7" s="258" t="s">
        <v>370</v>
      </c>
      <c r="K7" s="253" t="s">
        <v>371</v>
      </c>
      <c r="L7" s="253" t="s">
        <v>384</v>
      </c>
      <c r="M7" s="253" t="s">
        <v>391</v>
      </c>
      <c r="N7" s="253" t="s">
        <v>372</v>
      </c>
      <c r="O7" s="256" t="s">
        <v>373</v>
      </c>
      <c r="P7" s="259" t="s">
        <v>134</v>
      </c>
      <c r="Q7" s="260" t="s">
        <v>135</v>
      </c>
      <c r="R7" s="260" t="str">
        <f>Q7&amp;" Error Explanation"</f>
        <v>Site Purchase Date Error Explanation</v>
      </c>
      <c r="S7" s="253" t="s">
        <v>82</v>
      </c>
      <c r="T7" s="260" t="s">
        <v>81</v>
      </c>
      <c r="U7" s="256" t="s">
        <v>393</v>
      </c>
      <c r="V7" s="256" t="str">
        <f>U7&amp;" Error Explanation"</f>
        <v>Child Care Floorplan Approval Date  Error Explanation</v>
      </c>
      <c r="W7" s="253" t="s">
        <v>464</v>
      </c>
      <c r="X7" s="253" t="s">
        <v>142</v>
      </c>
      <c r="Y7" s="253" t="s">
        <v>382</v>
      </c>
      <c r="Z7" s="253" t="s">
        <v>85</v>
      </c>
      <c r="AA7" s="253" t="str">
        <f>Z7&amp;" Error Explanation"</f>
        <v>Build Permit Obtained Date Error Explanation</v>
      </c>
      <c r="AB7" s="253" t="s">
        <v>86</v>
      </c>
      <c r="AC7" s="253" t="s">
        <v>87</v>
      </c>
      <c r="AD7" s="261" t="s">
        <v>395</v>
      </c>
      <c r="AE7" s="253" t="s">
        <v>396</v>
      </c>
      <c r="AF7" s="253" t="str">
        <f>AE7&amp;" Error Explanation"</f>
        <v>Construction Start Date Error Explanation</v>
      </c>
      <c r="AG7" s="260" t="s">
        <v>89</v>
      </c>
      <c r="AH7" s="253" t="str">
        <f>AG7&amp;" Error Explanation"</f>
        <v>Substantial Completion Date Error Explanation</v>
      </c>
      <c r="AI7" s="257" t="s">
        <v>91</v>
      </c>
      <c r="AJ7" s="253" t="str">
        <f>AI7&amp;" Error Explanation"</f>
        <v>School Opening Date  Error Explanation</v>
      </c>
      <c r="AK7" s="253" t="s">
        <v>146</v>
      </c>
      <c r="AL7" s="253" t="str">
        <f>AK7&amp;" Error Explanation"</f>
        <v>Child Care Opening Date Error Explanation</v>
      </c>
      <c r="AM7" s="256" t="s">
        <v>451</v>
      </c>
      <c r="AN7" s="257" t="s">
        <v>294</v>
      </c>
      <c r="AO7" s="253" t="s">
        <v>259</v>
      </c>
      <c r="AP7" s="253" t="s">
        <v>250</v>
      </c>
      <c r="AQ7" s="253" t="s">
        <v>251</v>
      </c>
      <c r="AR7" s="256" t="s">
        <v>252</v>
      </c>
      <c r="AS7" s="257" t="s">
        <v>94</v>
      </c>
      <c r="AT7" s="253" t="s">
        <v>258</v>
      </c>
      <c r="AU7" s="253" t="s">
        <v>253</v>
      </c>
      <c r="AV7" s="253" t="s">
        <v>254</v>
      </c>
      <c r="AW7" s="253" t="s">
        <v>255</v>
      </c>
      <c r="AX7" s="262"/>
      <c r="AY7" s="262"/>
      <c r="AZ7" s="262"/>
      <c r="BA7" s="262"/>
    </row>
    <row r="8" spans="1:384" ht="62.25" hidden="1" customHeight="1" x14ac:dyDescent="0.55000000000000004">
      <c r="A8" s="263" t="s">
        <v>3</v>
      </c>
      <c r="B8" s="264" t="s">
        <v>4</v>
      </c>
      <c r="C8" s="265"/>
      <c r="D8" s="264" t="s">
        <v>101</v>
      </c>
      <c r="E8" s="266" t="s">
        <v>102</v>
      </c>
      <c r="F8" s="266"/>
      <c r="G8" s="266"/>
      <c r="H8" s="267"/>
      <c r="I8" s="268"/>
      <c r="J8" s="269"/>
      <c r="K8" s="269"/>
      <c r="L8" s="268"/>
      <c r="M8" s="270"/>
      <c r="N8" s="269"/>
      <c r="O8" s="269"/>
      <c r="P8" s="267"/>
      <c r="Q8" s="268"/>
      <c r="R8" s="268"/>
      <c r="S8" s="268"/>
      <c r="T8" s="268"/>
      <c r="U8" s="270"/>
      <c r="V8" s="270"/>
      <c r="W8" s="271"/>
      <c r="X8" s="268"/>
      <c r="Y8" s="268"/>
      <c r="Z8" s="268"/>
      <c r="AA8" s="268"/>
      <c r="AB8" s="268"/>
      <c r="AC8" s="272"/>
      <c r="AD8" s="267"/>
      <c r="AE8" s="268"/>
      <c r="AF8" s="268"/>
      <c r="AG8" s="268"/>
      <c r="AH8" s="270"/>
      <c r="AI8" s="267"/>
      <c r="AJ8" s="268"/>
      <c r="AK8" s="268"/>
      <c r="AL8" s="268"/>
      <c r="AM8" s="270"/>
      <c r="AN8" s="267"/>
      <c r="AO8" s="268"/>
      <c r="AP8" s="268" t="s">
        <v>103</v>
      </c>
      <c r="AQ8" s="268" t="s">
        <v>104</v>
      </c>
      <c r="AR8" s="270" t="s">
        <v>105</v>
      </c>
      <c r="AS8" s="261" t="s">
        <v>106</v>
      </c>
      <c r="AT8" s="271"/>
      <c r="AU8" s="271"/>
      <c r="AV8" s="271"/>
      <c r="AW8" s="271" t="s">
        <v>107</v>
      </c>
    </row>
    <row r="9" spans="1:384" ht="5.25" customHeight="1" x14ac:dyDescent="0.55000000000000004">
      <c r="A9" s="273"/>
      <c r="B9" s="274"/>
      <c r="C9" s="275"/>
      <c r="D9" s="274"/>
      <c r="E9" s="276"/>
      <c r="F9" s="277"/>
      <c r="G9" s="278"/>
      <c r="H9" s="279"/>
      <c r="I9" s="277"/>
      <c r="J9" s="277"/>
      <c r="K9" s="277"/>
      <c r="L9" s="277"/>
      <c r="M9" s="278"/>
      <c r="N9" s="277"/>
      <c r="O9" s="278"/>
      <c r="P9" s="279"/>
      <c r="Q9" s="277"/>
      <c r="R9" s="277"/>
      <c r="S9" s="277"/>
      <c r="T9" s="277"/>
      <c r="U9" s="278"/>
      <c r="V9" s="278"/>
      <c r="W9" s="274"/>
      <c r="X9" s="277"/>
      <c r="Y9" s="277"/>
      <c r="Z9" s="277"/>
      <c r="AA9" s="277"/>
      <c r="AB9" s="277"/>
      <c r="AC9" s="277"/>
      <c r="AD9" s="280"/>
      <c r="AE9" s="277"/>
      <c r="AF9" s="277"/>
      <c r="AG9" s="277"/>
      <c r="AH9" s="278"/>
      <c r="AI9" s="279"/>
      <c r="AJ9" s="277"/>
      <c r="AK9" s="277"/>
      <c r="AL9" s="277"/>
      <c r="AM9" s="278"/>
      <c r="AN9" s="279"/>
      <c r="AO9" s="277"/>
      <c r="AP9" s="277"/>
      <c r="AQ9" s="277"/>
      <c r="AR9" s="278"/>
      <c r="AS9" s="279"/>
      <c r="AT9" s="273"/>
      <c r="AU9" s="273"/>
      <c r="AV9" s="273"/>
      <c r="AW9" s="273"/>
    </row>
    <row r="10" spans="1:384" ht="15.6" customHeight="1" x14ac:dyDescent="0.55000000000000004">
      <c r="A10" s="220" t="str" cm="1">
        <f t="array" ref="A10">_xlfn.IFS(LEFT('Monthly Update'!A10, 3) = "*((", "", 'Monthly Update'!A10="", "", TRUE, 'Monthly Update'!A10)</f>
        <v/>
      </c>
      <c r="B10" s="220" t="str" cm="1">
        <f t="array" ref="B10">_xlfn.IFS(LEFT('Monthly Update'!B10, 3) = "*((", "", 'Monthly Update'!B10="", "", TRUE, 'Monthly Update'!B10)</f>
        <v/>
      </c>
      <c r="C10" s="221" t="str" cm="1">
        <f t="array" ref="C10">_xlfn.IFS(LEFT('Monthly Update'!CU10, 3) = "*((", "", 'Monthly Update'!CU10="", "", TRUE, 'Monthly Update'!CU10)</f>
        <v/>
      </c>
      <c r="D10" s="221" t="str" cm="1">
        <f t="array" ref="D10">_xlfn.IFS(LEFT('Monthly Update'!CV10, 3) = "*((", "", 'Monthly Update'!CV10="", "", TRUE, 'Monthly Update'!CV10)</f>
        <v/>
      </c>
      <c r="E10" s="221" t="str" cm="1">
        <f t="array" ref="E10">_xlfn.IFS(LEFT('Monthly Update'!CW10, 3) = "*((", "", 'Monthly Update'!CW10="", "", TRUE, 'Monthly Update'!CW10)</f>
        <v/>
      </c>
      <c r="F10" s="221" t="str" cm="1">
        <f t="array" ref="F10">_xlfn.IFS(LEFT('Monthly Update'!CX10, 3) = "*((", "", 'Monthly Update'!CX10="", "", TRUE, 'Monthly Update'!CX10)</f>
        <v/>
      </c>
      <c r="G10" s="221" t="str" cm="1">
        <f t="array" ref="G10">_xlfn.IFS(LEFT('Monthly Update'!CY10, 3) = "*((", "", 'Monthly Update'!CY10="", "", TRUE, 'Monthly Update'!CY10)</f>
        <v/>
      </c>
      <c r="H10" s="221" t="str" cm="1">
        <f t="array" ref="H10">_xlfn.IFS(LEFT('Monthly Update'!CZ10, 3) = "*((", "", 'Monthly Update'!CZ10="", "", TRUE, 'Monthly Update'!CZ10)</f>
        <v/>
      </c>
      <c r="I10" s="221" t="str" cm="1">
        <f t="array" ref="I10">_xlfn.IFS(LEFT('Monthly Update'!DA10, 3) = "*((", "", 'Monthly Update'!DA10="", "", TRUE, 'Monthly Update'!DA10)</f>
        <v/>
      </c>
      <c r="J10" s="221" t="str" cm="1">
        <f t="array" ref="J10">_xlfn.IFS(LEFT('Monthly Update'!DB10, 3) = "*((", "", 'Monthly Update'!DB10="", "", TRUE, 'Monthly Update'!DB10)</f>
        <v/>
      </c>
      <c r="K10" s="221" t="str" cm="1">
        <f t="array" ref="K10">_xlfn.IFS(LEFT('Monthly Update'!DC10, 3) = "*((", "", 'Monthly Update'!DC10="", "", TRUE, 'Monthly Update'!DC10)</f>
        <v/>
      </c>
      <c r="L10" s="221" t="str" cm="1">
        <f t="array" ref="L10">_xlfn.IFS(LEFT('Monthly Update'!DD10, 3) = "*((", "", 'Monthly Update'!DD10="", "", TRUE, 'Monthly Update'!DD10)</f>
        <v/>
      </c>
      <c r="M10" s="221" t="str" cm="1">
        <f t="array" ref="M10">_xlfn.IFS(LEFT('Monthly Update'!DE10, 3) = "*((", "", 'Monthly Update'!DE10="", "", TRUE, 'Monthly Update'!DE10)</f>
        <v/>
      </c>
      <c r="N10" s="221" t="str" cm="1">
        <f t="array" ref="N10">_xlfn.IFS(LEFT('Monthly Update'!DF10, 3) = "*((", "", 'Monthly Update'!DF10="", "", TRUE, 'Monthly Update'!DF10)</f>
        <v/>
      </c>
      <c r="O10" s="221" t="str" cm="1">
        <f t="array" ref="O10">_xlfn.IFS(LEFT('Monthly Update'!DG10, 3) = "*((", "", 'Monthly Update'!DG10="", "", TRUE, 'Monthly Update'!DG10)</f>
        <v/>
      </c>
      <c r="P10" s="221" t="str" cm="1">
        <f t="array" ref="P10">_xlfn.IFS(LEFT('Monthly Update'!DH10, 3) = "*((", "", 'Monthly Update'!DH10="", "", TRUE, 'Monthly Update'!DH10)</f>
        <v/>
      </c>
      <c r="Q10" s="221" t="str" cm="1">
        <f t="array" ref="Q10">_xlfn.IFS(LEFT('Monthly Update'!DI10, 3) = "*((", "", 'Monthly Update'!DI10="", "", TRUE, 'Monthly Update'!DI10)</f>
        <v/>
      </c>
      <c r="R10" s="221" t="str" cm="1">
        <f t="array" ref="R10">_xlfn.IFS(LEFT('Monthly Update'!DJ10, 3) = "*((", "", 'Monthly Update'!DJ10="", "", TRUE, 'Monthly Update'!DJ10)</f>
        <v/>
      </c>
      <c r="S10" s="221" t="str" cm="1">
        <f t="array" ref="S10">_xlfn.IFS(LEFT('Monthly Update'!DK10, 3) = "*((", "", 'Monthly Update'!DK10="", "", TRUE, 'Monthly Update'!DK10)</f>
        <v/>
      </c>
      <c r="T10" s="221" t="str" cm="1">
        <f t="array" ref="T10">_xlfn.IFS(LEFT('Monthly Update'!DL10, 3) = "*((", "", 'Monthly Update'!DL10="", "", TRUE, 'Monthly Update'!DL10)</f>
        <v/>
      </c>
      <c r="U10" s="221" t="str" cm="1">
        <f t="array" ref="U10">_xlfn.IFS(LEFT('Monthly Update'!DM10, 3) = "*((", "", 'Monthly Update'!DM10="", "", TRUE, 'Monthly Update'!DM10)</f>
        <v/>
      </c>
      <c r="V10" s="221" t="str" cm="1">
        <f t="array" ref="V10">_xlfn.IFS(LEFT('Monthly Update'!DN10, 3) = "*((", "", 'Monthly Update'!DN10="", "", TRUE, 'Monthly Update'!DN10)</f>
        <v/>
      </c>
      <c r="W10" s="221" t="str" cm="1">
        <f t="array" ref="W10">_xlfn.IFS(LEFT('Monthly Update'!DO10, 3) = "*((", "", 'Monthly Update'!DO10="", "", TRUE, 'Monthly Update'!DO10)</f>
        <v/>
      </c>
      <c r="X10" s="221" t="str" cm="1">
        <f t="array" ref="X10">_xlfn.IFS(LEFT('Monthly Update'!DP10, 3) = "*((", "", 'Monthly Update'!DP10="", "", TRUE, 'Monthly Update'!DP10)</f>
        <v/>
      </c>
      <c r="Y10" s="221" t="str" cm="1">
        <f t="array" ref="Y10">_xlfn.IFS(LEFT('Monthly Update'!DQ10, 3) = "*((", "", 'Monthly Update'!DQ10="", "", TRUE, 'Monthly Update'!DQ10)</f>
        <v/>
      </c>
      <c r="Z10" s="221" t="str" cm="1">
        <f t="array" ref="Z10">_xlfn.IFS(LEFT('Monthly Update'!DR10, 3) = "*((", "", 'Monthly Update'!DR10="", "", TRUE, 'Monthly Update'!DR10)</f>
        <v/>
      </c>
      <c r="AA10" s="221" t="str" cm="1">
        <f t="array" ref="AA10">_xlfn.IFS(LEFT('Monthly Update'!DS10, 3) = "*((", "", 'Monthly Update'!DS10="", "", TRUE, 'Monthly Update'!DS10)</f>
        <v/>
      </c>
      <c r="AB10" s="221" t="str" cm="1">
        <f t="array" ref="AB10">_xlfn.IFS(LEFT('Monthly Update'!DT10, 3) = "*((", "", 'Monthly Update'!DT10="", "", TRUE, 'Monthly Update'!DT10)</f>
        <v/>
      </c>
      <c r="AC10" s="221" t="str" cm="1">
        <f t="array" ref="AC10">_xlfn.IFS(LEFT('Monthly Update'!DU10, 3) = "*((", "", 'Monthly Update'!DU10="", "", TRUE, 'Monthly Update'!DU10)</f>
        <v/>
      </c>
      <c r="AD10" s="221" t="str" cm="1">
        <f t="array" ref="AD10">_xlfn.IFS(LEFT('Monthly Update'!DV10, 3) = "*((", "", 'Monthly Update'!DV10="", "", TRUE, 'Monthly Update'!DV10)</f>
        <v/>
      </c>
      <c r="AE10" s="221" t="str" cm="1">
        <f t="array" ref="AE10">_xlfn.IFS(LEFT('Monthly Update'!DW10, 3) = "*((", "", 'Monthly Update'!DW10="", "", TRUE, 'Monthly Update'!DW10)</f>
        <v/>
      </c>
      <c r="AF10" s="221" t="str" cm="1">
        <f t="array" ref="AF10">_xlfn.IFS(LEFT('Monthly Update'!DX10, 3) = "*((", "", 'Monthly Update'!DX10="", "", TRUE, 'Monthly Update'!DX10)</f>
        <v/>
      </c>
      <c r="AG10" s="221" t="str" cm="1">
        <f t="array" ref="AG10">_xlfn.IFS(LEFT('Monthly Update'!DY10, 3) = "*((", "", 'Monthly Update'!DY10="", "", TRUE, 'Monthly Update'!DY10)</f>
        <v/>
      </c>
      <c r="AH10" s="221" t="str" cm="1">
        <f t="array" ref="AH10">_xlfn.IFS(LEFT('Monthly Update'!DZ10, 3) = "*((", "", 'Monthly Update'!DZ10="", "", TRUE, 'Monthly Update'!DZ10)</f>
        <v/>
      </c>
      <c r="AI10" s="221" t="str" cm="1">
        <f t="array" ref="AI10">_xlfn.IFS(LEFT('Monthly Update'!EA10, 3) = "*((", "", 'Monthly Update'!EA10="", "", TRUE, 'Monthly Update'!EA10)</f>
        <v/>
      </c>
      <c r="AJ10" s="221" t="str" cm="1">
        <f t="array" ref="AJ10">_xlfn.IFS(LEFT('Monthly Update'!EB10, 3) = "*((", "", 'Monthly Update'!EB10="", "", TRUE, 'Monthly Update'!EB10)</f>
        <v/>
      </c>
      <c r="AK10" s="221" t="str" cm="1">
        <f t="array" ref="AK10">_xlfn.IFS(LEFT('Monthly Update'!EC10, 3) = "*((", "", 'Monthly Update'!EC10="", "", TRUE, 'Monthly Update'!EC10)</f>
        <v/>
      </c>
      <c r="AL10" s="221" t="str" cm="1">
        <f t="array" ref="AL10">_xlfn.IFS(LEFT('Monthly Update'!ED10, 3) = "*((", "", 'Monthly Update'!ED10="", "", TRUE, 'Monthly Update'!ED10)</f>
        <v/>
      </c>
      <c r="AM10" s="221" t="str" cm="1">
        <f t="array" ref="AM10">_xlfn.IFS(LEFT('Monthly Update'!EE10, 3) = "*((", "", 'Monthly Update'!EE10="", "", TRUE, 'Monthly Update'!EE10)</f>
        <v/>
      </c>
      <c r="AN10" s="221" t="str" cm="1">
        <f t="array" ref="AN10">_xlfn.IFS(LEFT('Monthly Update'!EF10, 3) = "*((", "", 'Monthly Update'!EF10="", "", TRUE, 'Monthly Update'!EF10)</f>
        <v/>
      </c>
      <c r="AO10" s="221" t="str" cm="1">
        <f t="array" ref="AO10">_xlfn.IFS(LEFT('Monthly Update'!EG10, 3) = "*((", "", 'Monthly Update'!EG10="", "", TRUE, 'Monthly Update'!EG10)</f>
        <v/>
      </c>
      <c r="AP10" s="221" t="str" cm="1">
        <f t="array" ref="AP10">_xlfn.IFS(LEFT('Monthly Update'!EH10, 3) = "*((", "", 'Monthly Update'!EH10="", "", TRUE, 'Monthly Update'!EH10)</f>
        <v/>
      </c>
      <c r="AQ10" s="221" t="str" cm="1">
        <f t="array" ref="AQ10">_xlfn.IFS(LEFT('Monthly Update'!EI10, 3) = "*((", "", 'Monthly Update'!EI10="", "", TRUE, 'Monthly Update'!EI10)</f>
        <v/>
      </c>
      <c r="AR10" s="221" t="str" cm="1">
        <f t="array" ref="AR10">_xlfn.IFS(LEFT('Monthly Update'!EJ10, 3) = "*((", "", 'Monthly Update'!EJ10="", "", TRUE, 'Monthly Update'!EJ10)</f>
        <v/>
      </c>
      <c r="AS10" s="221" t="str" cm="1">
        <f t="array" ref="AS10">_xlfn.IFS(LEFT('Monthly Update'!EK10, 3) = "*((", "", 'Monthly Update'!EK10="", "", TRUE, 'Monthly Update'!EK10)</f>
        <v/>
      </c>
      <c r="AT10" s="221" t="str" cm="1">
        <f t="array" ref="AT10">_xlfn.IFS(LEFT('Monthly Update'!EL10, 3) = "*((", "", 'Monthly Update'!EL10="", "", TRUE, 'Monthly Update'!EL10)</f>
        <v/>
      </c>
      <c r="AU10" s="221" t="str" cm="1">
        <f t="array" ref="AU10">_xlfn.IFS(LEFT('Monthly Update'!EM10, 3) = "*((", "", 'Monthly Update'!EM10="", "", TRUE, 'Monthly Update'!EM10)</f>
        <v/>
      </c>
      <c r="AV10" s="221" t="str" cm="1">
        <f t="array" ref="AV10">_xlfn.IFS(LEFT('Monthly Update'!EN10, 3) = "*((", "", 'Monthly Update'!EN10="", "", TRUE, 'Monthly Update'!EN10)</f>
        <v/>
      </c>
      <c r="AW10" s="221" t="str" cm="1">
        <f t="array" ref="AW10">_xlfn.IFS(LEFT('Monthly Update'!EO10, 3) = "*((", "", 'Monthly Update'!EO10="", "", TRUE, 'Monthly Update'!EO10)</f>
        <v/>
      </c>
    </row>
    <row r="11" spans="1:384" ht="15.6" customHeight="1" x14ac:dyDescent="0.55000000000000004">
      <c r="A11" s="220" t="str" cm="1">
        <f t="array" ref="A11">_xlfn.IFS(LEFT('Monthly Update'!A11, 3) = "*((", "", 'Monthly Update'!A11="", "", TRUE, 'Monthly Update'!A11)</f>
        <v/>
      </c>
      <c r="B11" s="220" t="str" cm="1">
        <f t="array" ref="B11">_xlfn.IFS(LEFT('Monthly Update'!B11, 3) = "*((", "", 'Monthly Update'!B11="", "", TRUE, 'Monthly Update'!B11)</f>
        <v/>
      </c>
      <c r="C11" s="221" t="str" cm="1">
        <f t="array" ref="C11">_xlfn.IFS(LEFT('Monthly Update'!CU11, 3) = "*((", "", 'Monthly Update'!CU11="", "", TRUE, 'Monthly Update'!CU11)</f>
        <v/>
      </c>
      <c r="D11" s="221" t="str" cm="1">
        <f t="array" ref="D11">_xlfn.IFS(LEFT('Monthly Update'!CV11, 3) = "*((", "", 'Monthly Update'!CV11="", "", TRUE, 'Monthly Update'!CV11)</f>
        <v/>
      </c>
      <c r="E11" s="221" t="str" cm="1">
        <f t="array" ref="E11">_xlfn.IFS(LEFT('Monthly Update'!CW11, 3) = "*((", "", 'Monthly Update'!CW11="", "", TRUE, 'Monthly Update'!CW11)</f>
        <v/>
      </c>
      <c r="F11" s="221" t="str" cm="1">
        <f t="array" ref="F11">_xlfn.IFS(LEFT('Monthly Update'!CX11, 3) = "*((", "", 'Monthly Update'!CX11="", "", TRUE, 'Monthly Update'!CX11)</f>
        <v/>
      </c>
      <c r="G11" s="221" t="str" cm="1">
        <f t="array" aca="1" ref="G11" ca="1">_xlfn.IFS(LEFT('Monthly Update'!CY11, 3) = "*((", "", 'Monthly Update'!CY11="", "", TRUE, 'Monthly Update'!CY11)</f>
        <v/>
      </c>
      <c r="H11" s="221" t="str" cm="1">
        <f t="array" ref="H11">_xlfn.IFS(LEFT('Monthly Update'!CZ11, 3) = "*((", "", 'Monthly Update'!CZ11="", "", TRUE, 'Monthly Update'!CZ11)</f>
        <v/>
      </c>
      <c r="I11" s="221" t="str" cm="1">
        <f t="array" aca="1" ref="I11" ca="1">_xlfn.IFS(LEFT('Monthly Update'!DA11, 3) = "*((", "", 'Monthly Update'!DA11="", "", TRUE, 'Monthly Update'!DA11)</f>
        <v/>
      </c>
      <c r="J11" s="221" t="str" cm="1">
        <f t="array" ref="J11">_xlfn.IFS(LEFT('Monthly Update'!DB11, 3) = "*((", "", 'Monthly Update'!DB11="", "", TRUE, 'Monthly Update'!DB11)</f>
        <v/>
      </c>
      <c r="K11" s="221" t="str" cm="1">
        <f t="array" ref="K11">_xlfn.IFS(LEFT('Monthly Update'!DC11, 3) = "*((", "", 'Monthly Update'!DC11="", "", TRUE, 'Monthly Update'!DC11)</f>
        <v/>
      </c>
      <c r="L11" s="221" t="str" cm="1">
        <f t="array" ref="L11">_xlfn.IFS(LEFT('Monthly Update'!DD11, 3) = "*((", "", 'Monthly Update'!DD11="", "", TRUE, 'Monthly Update'!DD11)</f>
        <v/>
      </c>
      <c r="M11" s="221" t="str" cm="1">
        <f t="array" aca="1" ref="M11" ca="1">_xlfn.IFS(LEFT('Monthly Update'!DE11, 3) = "*((", "", 'Monthly Update'!DE11="", "", TRUE, 'Monthly Update'!DE11)</f>
        <v/>
      </c>
      <c r="N11" s="221" t="str" cm="1">
        <f t="array" ref="N11">_xlfn.IFS(LEFT('Monthly Update'!DF11, 3) = "*((", "", 'Monthly Update'!DF11="", "", TRUE, 'Monthly Update'!DF11)</f>
        <v/>
      </c>
      <c r="O11" s="221" t="str" cm="1">
        <f t="array" ref="O11">_xlfn.IFS(LEFT('Monthly Update'!DG11, 3) = "*((", "", 'Monthly Update'!DG11="", "", TRUE, 'Monthly Update'!DG11)</f>
        <v/>
      </c>
      <c r="P11" s="221" t="str" cm="1">
        <f t="array" aca="1" ref="P11" ca="1">_xlfn.IFS(LEFT('Monthly Update'!DH11, 3) = "*((", "", 'Monthly Update'!DH11="", "", TRUE, 'Monthly Update'!DH11)</f>
        <v/>
      </c>
      <c r="Q11" s="221" t="str" cm="1">
        <f t="array" ref="Q11">_xlfn.IFS(LEFT('Monthly Update'!DI11, 3) = "*((", "", 'Monthly Update'!DI11="", "", TRUE, 'Monthly Update'!DI11)</f>
        <v/>
      </c>
      <c r="R11" s="221" t="str" cm="1">
        <f t="array" ref="R11">_xlfn.IFS(LEFT('Monthly Update'!DJ11, 3) = "*((", "", 'Monthly Update'!DJ11="", "", TRUE, 'Monthly Update'!DJ11)</f>
        <v/>
      </c>
      <c r="S11" s="221" t="str" cm="1">
        <f t="array" ref="S11">_xlfn.IFS(LEFT('Monthly Update'!DK11, 3) = "*((", "", 'Monthly Update'!DK11="", "", TRUE, 'Monthly Update'!DK11)</f>
        <v/>
      </c>
      <c r="T11" s="221" t="str" cm="1">
        <f t="array" aca="1" ref="T11" ca="1">_xlfn.IFS(LEFT('Monthly Update'!DL11, 3) = "*((", "", 'Monthly Update'!DL11="", "", TRUE, 'Monthly Update'!DL11)</f>
        <v/>
      </c>
      <c r="U11" s="221" t="str" cm="1">
        <f t="array" ref="U11">_xlfn.IFS(LEFT('Monthly Update'!DM11, 3) = "*((", "", 'Monthly Update'!DM11="", "", TRUE, 'Monthly Update'!DM11)</f>
        <v/>
      </c>
      <c r="V11" s="221" t="str" cm="1">
        <f t="array" ref="V11">_xlfn.IFS(LEFT('Monthly Update'!DN11, 3) = "*((", "", 'Monthly Update'!DN11="", "", TRUE, 'Monthly Update'!DN11)</f>
        <v/>
      </c>
      <c r="W11" s="221" t="str" cm="1">
        <f t="array" ref="W11">_xlfn.IFS(LEFT('Monthly Update'!DO11, 3) = "*((", "", 'Monthly Update'!DO11="", "", TRUE, 'Monthly Update'!DO11)</f>
        <v/>
      </c>
      <c r="X11" s="221" t="str" cm="1">
        <f t="array" ref="X11">_xlfn.IFS(LEFT('Monthly Update'!DP11, 3) = "*((", "", 'Monthly Update'!DP11="", "", TRUE, 'Monthly Update'!DP11)</f>
        <v/>
      </c>
      <c r="Y11" s="221" t="str" cm="1">
        <f t="array" ref="Y11">_xlfn.IFS(LEFT('Monthly Update'!DQ11, 3) = "*((", "", 'Monthly Update'!DQ11="", "", TRUE, 'Monthly Update'!DQ11)</f>
        <v/>
      </c>
      <c r="Z11" s="221" t="str" cm="1">
        <f t="array" ref="Z11">_xlfn.IFS(LEFT('Monthly Update'!DR11, 3) = "*((", "", 'Monthly Update'!DR11="", "", TRUE, 'Monthly Update'!DR11)</f>
        <v/>
      </c>
      <c r="AA11" s="221" t="str" cm="1">
        <f t="array" ref="AA11">_xlfn.IFS(LEFT('Monthly Update'!DS11, 3) = "*((", "", 'Monthly Update'!DS11="", "", TRUE, 'Monthly Update'!DS11)</f>
        <v/>
      </c>
      <c r="AB11" s="221" t="str" cm="1">
        <f t="array" ref="AB11">_xlfn.IFS(LEFT('Monthly Update'!DT11, 3) = "*((", "", 'Monthly Update'!DT11="", "", TRUE, 'Monthly Update'!DT11)</f>
        <v/>
      </c>
      <c r="AC11" s="221" t="str" cm="1">
        <f t="array" ref="AC11">_xlfn.IFS(LEFT('Monthly Update'!DU11, 3) = "*((", "", 'Monthly Update'!DU11="", "", TRUE, 'Monthly Update'!DU11)</f>
        <v/>
      </c>
      <c r="AD11" s="221" t="str" cm="1">
        <f t="array" ref="AD11">_xlfn.IFS(LEFT('Monthly Update'!DV11, 3) = "*((", "", 'Monthly Update'!DV11="", "", TRUE, 'Monthly Update'!DV11)</f>
        <v/>
      </c>
      <c r="AE11" s="221" t="str" cm="1">
        <f t="array" ref="AE11">_xlfn.IFS(LEFT('Monthly Update'!DW11, 3) = "*((", "", 'Monthly Update'!DW11="", "", TRUE, 'Monthly Update'!DW11)</f>
        <v/>
      </c>
      <c r="AF11" s="221" t="str" cm="1">
        <f t="array" ref="AF11">_xlfn.IFS(LEFT('Monthly Update'!DX11, 3) = "*((", "", 'Monthly Update'!DX11="", "", TRUE, 'Monthly Update'!DX11)</f>
        <v/>
      </c>
      <c r="AG11" s="221" t="str" cm="1">
        <f t="array" ref="AG11">_xlfn.IFS(LEFT('Monthly Update'!DY11, 3) = "*((", "", 'Monthly Update'!DY11="", "", TRUE, 'Monthly Update'!DY11)</f>
        <v/>
      </c>
      <c r="AH11" s="221" t="str" cm="1">
        <f t="array" ref="AH11">_xlfn.IFS(LEFT('Monthly Update'!DZ11, 3) = "*((", "", 'Monthly Update'!DZ11="", "", TRUE, 'Monthly Update'!DZ11)</f>
        <v/>
      </c>
      <c r="AI11" s="221" t="str" cm="1">
        <f t="array" ref="AI11">_xlfn.IFS(LEFT('Monthly Update'!EA11, 3) = "*((", "", 'Monthly Update'!EA11="", "", TRUE, 'Monthly Update'!EA11)</f>
        <v/>
      </c>
      <c r="AJ11" s="221" t="str" cm="1">
        <f t="array" ref="AJ11">_xlfn.IFS(LEFT('Monthly Update'!EB11, 3) = "*((", "", 'Monthly Update'!EB11="", "", TRUE, 'Monthly Update'!EB11)</f>
        <v/>
      </c>
      <c r="AK11" s="221" t="str" cm="1">
        <f t="array" ref="AK11">_xlfn.IFS(LEFT('Monthly Update'!EC11, 3) = "*((", "", 'Monthly Update'!EC11="", "", TRUE, 'Monthly Update'!EC11)</f>
        <v/>
      </c>
      <c r="AL11" s="221" t="str" cm="1">
        <f t="array" ref="AL11">_xlfn.IFS(LEFT('Monthly Update'!ED11, 3) = "*((", "", 'Monthly Update'!ED11="", "", TRUE, 'Monthly Update'!ED11)</f>
        <v/>
      </c>
      <c r="AM11" s="221" t="str" cm="1">
        <f t="array" ref="AM11">_xlfn.IFS(LEFT('Monthly Update'!EE11, 3) = "*((", "", 'Monthly Update'!EE11="", "", TRUE, 'Monthly Update'!EE11)</f>
        <v/>
      </c>
      <c r="AN11" s="221" t="str" cm="1">
        <f t="array" ref="AN11">_xlfn.IFS(LEFT('Monthly Update'!EF11, 3) = "*((", "", 'Monthly Update'!EF11="", "", TRUE, 'Monthly Update'!EF11)</f>
        <v/>
      </c>
      <c r="AO11" s="221" t="str" cm="1">
        <f t="array" ref="AO11">_xlfn.IFS(LEFT('Monthly Update'!EG11, 3) = "*((", "", 'Monthly Update'!EG11="", "", TRUE, 'Monthly Update'!EG11)</f>
        <v/>
      </c>
      <c r="AP11" s="221" t="str" cm="1">
        <f t="array" ref="AP11">_xlfn.IFS(LEFT('Monthly Update'!EH11, 3) = "*((", "", 'Monthly Update'!EH11="", "", TRUE, 'Monthly Update'!EH11)</f>
        <v/>
      </c>
      <c r="AQ11" s="221" t="str" cm="1">
        <f t="array" ref="AQ11">_xlfn.IFS(LEFT('Monthly Update'!EI11, 3) = "*((", "", 'Monthly Update'!EI11="", "", TRUE, 'Monthly Update'!EI11)</f>
        <v/>
      </c>
      <c r="AR11" s="221" t="str" cm="1">
        <f t="array" ref="AR11">_xlfn.IFS(LEFT('Monthly Update'!EJ11, 3) = "*((", "", 'Monthly Update'!EJ11="", "", TRUE, 'Monthly Update'!EJ11)</f>
        <v/>
      </c>
      <c r="AS11" s="221" t="str" cm="1">
        <f t="array" aca="1" ref="AS11" ca="1">_xlfn.IFS(LEFT('Monthly Update'!EK11, 3) = "*((", "", 'Monthly Update'!EK11="", "", TRUE, 'Monthly Update'!EK11)</f>
        <v/>
      </c>
      <c r="AT11" s="221" t="str" cm="1">
        <f t="array" ref="AT11">_xlfn.IFS(LEFT('Monthly Update'!EL11, 3) = "*((", "", 'Monthly Update'!EL11="", "", TRUE, 'Monthly Update'!EL11)</f>
        <v/>
      </c>
      <c r="AU11" s="221" t="str" cm="1">
        <f t="array" ref="AU11">_xlfn.IFS(LEFT('Monthly Update'!EM11, 3) = "*((", "", 'Monthly Update'!EM11="", "", TRUE, 'Monthly Update'!EM11)</f>
        <v/>
      </c>
      <c r="AV11" s="221" t="str" cm="1">
        <f t="array" ref="AV11">_xlfn.IFS(LEFT('Monthly Update'!EN11, 3) = "*((", "", 'Monthly Update'!EN11="", "", TRUE, 'Monthly Update'!EN11)</f>
        <v/>
      </c>
      <c r="AW11" s="221" t="str" cm="1">
        <f t="array" ref="AW11">_xlfn.IFS(LEFT('Monthly Update'!EO11, 3) = "*((", "", 'Monthly Update'!EO11="", "", TRUE, 'Monthly Update'!EO11)</f>
        <v/>
      </c>
    </row>
    <row r="12" spans="1:384" ht="15.6" customHeight="1" x14ac:dyDescent="0.55000000000000004">
      <c r="A12" s="220" t="str" cm="1">
        <f t="array" ref="A12">_xlfn.IFS(LEFT('Monthly Update'!A12, 3) = "*((", "", 'Monthly Update'!A12="", "", TRUE, 'Monthly Update'!A12)</f>
        <v/>
      </c>
      <c r="B12" s="220" t="str" cm="1">
        <f t="array" ref="B12">_xlfn.IFS(LEFT('Monthly Update'!B12, 3) = "*((", "", 'Monthly Update'!B12="", "", TRUE, 'Monthly Update'!B12)</f>
        <v/>
      </c>
      <c r="C12" s="221" t="str" cm="1">
        <f t="array" ref="C12">_xlfn.IFS(LEFT('Monthly Update'!CU12, 3) = "*((", "", 'Monthly Update'!CU12="", "", TRUE, 'Monthly Update'!CU12)</f>
        <v/>
      </c>
      <c r="D12" s="221" t="str" cm="1">
        <f t="array" ref="D12">_xlfn.IFS(LEFT('Monthly Update'!CV12, 3) = "*((", "", 'Monthly Update'!CV12="", "", TRUE, 'Monthly Update'!CV12)</f>
        <v/>
      </c>
      <c r="E12" s="221" t="str" cm="1">
        <f t="array" ref="E12">_xlfn.IFS(LEFT('Monthly Update'!CW12, 3) = "*((", "", 'Monthly Update'!CW12="", "", TRUE, 'Monthly Update'!CW12)</f>
        <v/>
      </c>
      <c r="F12" s="221" t="str" cm="1">
        <f t="array" ref="F12">_xlfn.IFS(LEFT('Monthly Update'!CX12, 3) = "*((", "", 'Monthly Update'!CX12="", "", TRUE, 'Monthly Update'!CX12)</f>
        <v/>
      </c>
      <c r="G12" s="221" t="str" cm="1">
        <f t="array" ref="G12">_xlfn.IFS(LEFT('Monthly Update'!CY12, 3) = "*((", "", 'Monthly Update'!CY12="", "", TRUE, 'Monthly Update'!CY12)</f>
        <v/>
      </c>
      <c r="H12" s="221" t="str" cm="1">
        <f t="array" ref="H12">_xlfn.IFS(LEFT('Monthly Update'!CZ12, 3) = "*((", "", 'Monthly Update'!CZ12="", "", TRUE, 'Monthly Update'!CZ12)</f>
        <v/>
      </c>
      <c r="I12" s="221" t="str" cm="1">
        <f t="array" ref="I12">_xlfn.IFS(LEFT('Monthly Update'!DA12, 3) = "*((", "", 'Monthly Update'!DA12="", "", TRUE, 'Monthly Update'!DA12)</f>
        <v/>
      </c>
      <c r="J12" s="221" t="str" cm="1">
        <f t="array" ref="J12">_xlfn.IFS(LEFT('Monthly Update'!DB12, 3) = "*((", "", 'Monthly Update'!DB12="", "", TRUE, 'Monthly Update'!DB12)</f>
        <v/>
      </c>
      <c r="K12" s="221" t="str" cm="1">
        <f t="array" ref="K12">_xlfn.IFS(LEFT('Monthly Update'!DC12, 3) = "*((", "", 'Monthly Update'!DC12="", "", TRUE, 'Monthly Update'!DC12)</f>
        <v/>
      </c>
      <c r="L12" s="221" t="str" cm="1">
        <f t="array" ref="L12">_xlfn.IFS(LEFT('Monthly Update'!DD12, 3) = "*((", "", 'Monthly Update'!DD12="", "", TRUE, 'Monthly Update'!DD12)</f>
        <v/>
      </c>
      <c r="M12" s="221" t="str" cm="1">
        <f t="array" ref="M12">_xlfn.IFS(LEFT('Monthly Update'!DE12, 3) = "*((", "", 'Monthly Update'!DE12="", "", TRUE, 'Monthly Update'!DE12)</f>
        <v/>
      </c>
      <c r="N12" s="221" t="str" cm="1">
        <f t="array" ref="N12">_xlfn.IFS(LEFT('Monthly Update'!DF12, 3) = "*((", "", 'Monthly Update'!DF12="", "", TRUE, 'Monthly Update'!DF12)</f>
        <v/>
      </c>
      <c r="O12" s="221" t="str" cm="1">
        <f t="array" ref="O12">_xlfn.IFS(LEFT('Monthly Update'!DG12, 3) = "*((", "", 'Monthly Update'!DG12="", "", TRUE, 'Monthly Update'!DG12)</f>
        <v/>
      </c>
      <c r="P12" s="221" t="str" cm="1">
        <f t="array" ref="P12">_xlfn.IFS(LEFT('Monthly Update'!DH12, 3) = "*((", "", 'Monthly Update'!DH12="", "", TRUE, 'Monthly Update'!DH12)</f>
        <v/>
      </c>
      <c r="Q12" s="221" t="str" cm="1">
        <f t="array" ref="Q12">_xlfn.IFS(LEFT('Monthly Update'!DI12, 3) = "*((", "", 'Monthly Update'!DI12="", "", TRUE, 'Monthly Update'!DI12)</f>
        <v/>
      </c>
      <c r="R12" s="221" t="str" cm="1">
        <f t="array" ref="R12">_xlfn.IFS(LEFT('Monthly Update'!DJ12, 3) = "*((", "", 'Monthly Update'!DJ12="", "", TRUE, 'Monthly Update'!DJ12)</f>
        <v/>
      </c>
      <c r="S12" s="221" t="str" cm="1">
        <f t="array" ref="S12">_xlfn.IFS(LEFT('Monthly Update'!DK12, 3) = "*((", "", 'Monthly Update'!DK12="", "", TRUE, 'Monthly Update'!DK12)</f>
        <v/>
      </c>
      <c r="T12" s="221" t="str" cm="1">
        <f t="array" ref="T12">_xlfn.IFS(LEFT('Monthly Update'!DL12, 3) = "*((", "", 'Monthly Update'!DL12="", "", TRUE, 'Monthly Update'!DL12)</f>
        <v/>
      </c>
      <c r="U12" s="221" t="str" cm="1">
        <f t="array" ref="U12">_xlfn.IFS(LEFT('Monthly Update'!DM12, 3) = "*((", "", 'Monthly Update'!DM12="", "", TRUE, 'Monthly Update'!DM12)</f>
        <v/>
      </c>
      <c r="V12" s="221" t="str" cm="1">
        <f t="array" ref="V12">_xlfn.IFS(LEFT('Monthly Update'!DN12, 3) = "*((", "", 'Monthly Update'!DN12="", "", TRUE, 'Monthly Update'!DN12)</f>
        <v/>
      </c>
      <c r="W12" s="221" t="str" cm="1">
        <f t="array" ref="W12">_xlfn.IFS(LEFT('Monthly Update'!DO12, 3) = "*((", "", 'Monthly Update'!DO12="", "", TRUE, 'Monthly Update'!DO12)</f>
        <v/>
      </c>
      <c r="X12" s="221" t="str" cm="1">
        <f t="array" ref="X12">_xlfn.IFS(LEFT('Monthly Update'!DP12, 3) = "*((", "", 'Monthly Update'!DP12="", "", TRUE, 'Monthly Update'!DP12)</f>
        <v/>
      </c>
      <c r="Y12" s="221" t="str" cm="1">
        <f t="array" ref="Y12">_xlfn.IFS(LEFT('Monthly Update'!DQ12, 3) = "*((", "", 'Monthly Update'!DQ12="", "", TRUE, 'Monthly Update'!DQ12)</f>
        <v/>
      </c>
      <c r="Z12" s="221" t="str" cm="1">
        <f t="array" ref="Z12">_xlfn.IFS(LEFT('Monthly Update'!DR12, 3) = "*((", "", 'Monthly Update'!DR12="", "", TRUE, 'Monthly Update'!DR12)</f>
        <v/>
      </c>
      <c r="AA12" s="221" t="str" cm="1">
        <f t="array" ref="AA12">_xlfn.IFS(LEFT('Monthly Update'!DS12, 3) = "*((", "", 'Monthly Update'!DS12="", "", TRUE, 'Monthly Update'!DS12)</f>
        <v/>
      </c>
      <c r="AB12" s="221" t="str" cm="1">
        <f t="array" ref="AB12">_xlfn.IFS(LEFT('Monthly Update'!DT12, 3) = "*((", "", 'Monthly Update'!DT12="", "", TRUE, 'Monthly Update'!DT12)</f>
        <v/>
      </c>
      <c r="AC12" s="221" t="str" cm="1">
        <f t="array" ref="AC12">_xlfn.IFS(LEFT('Monthly Update'!DU12, 3) = "*((", "", 'Monthly Update'!DU12="", "", TRUE, 'Monthly Update'!DU12)</f>
        <v/>
      </c>
      <c r="AD12" s="221" t="str" cm="1">
        <f t="array" ref="AD12">_xlfn.IFS(LEFT('Monthly Update'!DV12, 3) = "*((", "", 'Monthly Update'!DV12="", "", TRUE, 'Monthly Update'!DV12)</f>
        <v/>
      </c>
      <c r="AE12" s="221" t="str" cm="1">
        <f t="array" ref="AE12">_xlfn.IFS(LEFT('Monthly Update'!DW12, 3) = "*((", "", 'Monthly Update'!DW12="", "", TRUE, 'Monthly Update'!DW12)</f>
        <v/>
      </c>
      <c r="AF12" s="221" t="str" cm="1">
        <f t="array" ref="AF12">_xlfn.IFS(LEFT('Monthly Update'!DX12, 3) = "*((", "", 'Monthly Update'!DX12="", "", TRUE, 'Monthly Update'!DX12)</f>
        <v/>
      </c>
      <c r="AG12" s="221" t="str" cm="1">
        <f t="array" ref="AG12">_xlfn.IFS(LEFT('Monthly Update'!DY12, 3) = "*((", "", 'Monthly Update'!DY12="", "", TRUE, 'Monthly Update'!DY12)</f>
        <v/>
      </c>
      <c r="AH12" s="221" t="str" cm="1">
        <f t="array" ref="AH12">_xlfn.IFS(LEFT('Monthly Update'!DZ12, 3) = "*((", "", 'Monthly Update'!DZ12="", "", TRUE, 'Monthly Update'!DZ12)</f>
        <v/>
      </c>
      <c r="AI12" s="221" t="str" cm="1">
        <f t="array" ref="AI12">_xlfn.IFS(LEFT('Monthly Update'!EA12, 3) = "*((", "", 'Monthly Update'!EA12="", "", TRUE, 'Monthly Update'!EA12)</f>
        <v/>
      </c>
      <c r="AJ12" s="221" t="str" cm="1">
        <f t="array" ref="AJ12">_xlfn.IFS(LEFT('Monthly Update'!EB12, 3) = "*((", "", 'Monthly Update'!EB12="", "", TRUE, 'Monthly Update'!EB12)</f>
        <v/>
      </c>
      <c r="AK12" s="221" t="str" cm="1">
        <f t="array" ref="AK12">_xlfn.IFS(LEFT('Monthly Update'!EC12, 3) = "*((", "", 'Monthly Update'!EC12="", "", TRUE, 'Monthly Update'!EC12)</f>
        <v/>
      </c>
      <c r="AL12" s="221" t="str" cm="1">
        <f t="array" ref="AL12">_xlfn.IFS(LEFT('Monthly Update'!ED12, 3) = "*((", "", 'Monthly Update'!ED12="", "", TRUE, 'Monthly Update'!ED12)</f>
        <v/>
      </c>
      <c r="AM12" s="221" t="str" cm="1">
        <f t="array" ref="AM12">_xlfn.IFS(LEFT('Monthly Update'!EE12, 3) = "*((", "", 'Monthly Update'!EE12="", "", TRUE, 'Monthly Update'!EE12)</f>
        <v/>
      </c>
      <c r="AN12" s="221" t="str" cm="1">
        <f t="array" ref="AN12">_xlfn.IFS(LEFT('Monthly Update'!EF12, 3) = "*((", "", 'Monthly Update'!EF12="", "", TRUE, 'Monthly Update'!EF12)</f>
        <v/>
      </c>
      <c r="AO12" s="221" t="str" cm="1">
        <f t="array" ref="AO12">_xlfn.IFS(LEFT('Monthly Update'!EG12, 3) = "*((", "", 'Monthly Update'!EG12="", "", TRUE, 'Monthly Update'!EG12)</f>
        <v/>
      </c>
      <c r="AP12" s="221" t="str" cm="1">
        <f t="array" ref="AP12">_xlfn.IFS(LEFT('Monthly Update'!EH12, 3) = "*((", "", 'Monthly Update'!EH12="", "", TRUE, 'Monthly Update'!EH12)</f>
        <v/>
      </c>
      <c r="AQ12" s="221" t="str" cm="1">
        <f t="array" ref="AQ12">_xlfn.IFS(LEFT('Monthly Update'!EI12, 3) = "*((", "", 'Monthly Update'!EI12="", "", TRUE, 'Monthly Update'!EI12)</f>
        <v/>
      </c>
      <c r="AR12" s="221" t="str" cm="1">
        <f t="array" ref="AR12">_xlfn.IFS(LEFT('Monthly Update'!EJ12, 3) = "*((", "", 'Monthly Update'!EJ12="", "", TRUE, 'Monthly Update'!EJ12)</f>
        <v/>
      </c>
      <c r="AS12" s="221" t="str" cm="1">
        <f t="array" ref="AS12">_xlfn.IFS(LEFT('Monthly Update'!EK12, 3) = "*((", "", 'Monthly Update'!EK12="", "", TRUE, 'Monthly Update'!EK12)</f>
        <v/>
      </c>
      <c r="AT12" s="221" t="str" cm="1">
        <f t="array" ref="AT12">_xlfn.IFS(LEFT('Monthly Update'!EL12, 3) = "*((", "", 'Monthly Update'!EL12="", "", TRUE, 'Monthly Update'!EL12)</f>
        <v/>
      </c>
      <c r="AU12" s="221" t="str" cm="1">
        <f t="array" ref="AU12">_xlfn.IFS(LEFT('Monthly Update'!EM12, 3) = "*((", "", 'Monthly Update'!EM12="", "", TRUE, 'Monthly Update'!EM12)</f>
        <v/>
      </c>
      <c r="AV12" s="221" t="str" cm="1">
        <f t="array" ref="AV12">_xlfn.IFS(LEFT('Monthly Update'!EN12, 3) = "*((", "", 'Monthly Update'!EN12="", "", TRUE, 'Monthly Update'!EN12)</f>
        <v/>
      </c>
      <c r="AW12" s="221" t="str" cm="1">
        <f t="array" ref="AW12">_xlfn.IFS(LEFT('Monthly Update'!EO12, 3) = "*((", "", 'Monthly Update'!EO12="", "", TRUE, 'Monthly Update'!EO12)</f>
        <v/>
      </c>
    </row>
    <row r="13" spans="1:384" ht="15.6" customHeight="1" x14ac:dyDescent="0.55000000000000004">
      <c r="A13" s="220" t="str" cm="1">
        <f t="array" ref="A13">_xlfn.IFS(LEFT('Monthly Update'!A13, 3) = "*((", "", 'Monthly Update'!A13="", "", TRUE, 'Monthly Update'!A13)</f>
        <v/>
      </c>
      <c r="B13" s="220" t="str" cm="1">
        <f t="array" ref="B13">_xlfn.IFS(LEFT('Monthly Update'!B13, 3) = "*((", "", 'Monthly Update'!B13="", "", TRUE, 'Monthly Update'!B13)</f>
        <v/>
      </c>
      <c r="C13" s="221" t="str" cm="1">
        <f t="array" ref="C13">_xlfn.IFS(LEFT('Monthly Update'!CU13, 3) = "*((", "", 'Monthly Update'!CU13="", "", TRUE, 'Monthly Update'!CU13)</f>
        <v/>
      </c>
      <c r="D13" s="221" t="str" cm="1">
        <f t="array" ref="D13">_xlfn.IFS(LEFT('Monthly Update'!CV13, 3) = "*((", "", 'Monthly Update'!CV13="", "", TRUE, 'Monthly Update'!CV13)</f>
        <v/>
      </c>
      <c r="E13" s="221" t="str" cm="1">
        <f t="array" ref="E13">_xlfn.IFS(LEFT('Monthly Update'!CW13, 3) = "*((", "", 'Monthly Update'!CW13="", "", TRUE, 'Monthly Update'!CW13)</f>
        <v/>
      </c>
      <c r="F13" s="221" t="str" cm="1">
        <f t="array" ref="F13">_xlfn.IFS(LEFT('Monthly Update'!CX13, 3) = "*((", "", 'Monthly Update'!CX13="", "", TRUE, 'Monthly Update'!CX13)</f>
        <v/>
      </c>
      <c r="G13" s="221" t="str" cm="1">
        <f t="array" ref="G13">_xlfn.IFS(LEFT('Monthly Update'!CY13, 3) = "*((", "", 'Monthly Update'!CY13="", "", TRUE, 'Monthly Update'!CY13)</f>
        <v/>
      </c>
      <c r="H13" s="221" t="str" cm="1">
        <f t="array" ref="H13">_xlfn.IFS(LEFT('Monthly Update'!CZ13, 3) = "*((", "", 'Monthly Update'!CZ13="", "", TRUE, 'Monthly Update'!CZ13)</f>
        <v/>
      </c>
      <c r="I13" s="221" t="str" cm="1">
        <f t="array" ref="I13">_xlfn.IFS(LEFT('Monthly Update'!DA13, 3) = "*((", "", 'Monthly Update'!DA13="", "", TRUE, 'Monthly Update'!DA13)</f>
        <v/>
      </c>
      <c r="J13" s="221" t="str" cm="1">
        <f t="array" ref="J13">_xlfn.IFS(LEFT('Monthly Update'!DB13, 3) = "*((", "", 'Monthly Update'!DB13="", "", TRUE, 'Monthly Update'!DB13)</f>
        <v/>
      </c>
      <c r="K13" s="221" t="str" cm="1">
        <f t="array" ref="K13">_xlfn.IFS(LEFT('Monthly Update'!DC13, 3) = "*((", "", 'Monthly Update'!DC13="", "", TRUE, 'Monthly Update'!DC13)</f>
        <v/>
      </c>
      <c r="L13" s="221" t="str" cm="1">
        <f t="array" ref="L13">_xlfn.IFS(LEFT('Monthly Update'!DD13, 3) = "*((", "", 'Monthly Update'!DD13="", "", TRUE, 'Monthly Update'!DD13)</f>
        <v/>
      </c>
      <c r="M13" s="221" t="str" cm="1">
        <f t="array" ref="M13">_xlfn.IFS(LEFT('Monthly Update'!DE13, 3) = "*((", "", 'Monthly Update'!DE13="", "", TRUE, 'Monthly Update'!DE13)</f>
        <v/>
      </c>
      <c r="N13" s="221" t="str" cm="1">
        <f t="array" ref="N13">_xlfn.IFS(LEFT('Monthly Update'!DF13, 3) = "*((", "", 'Monthly Update'!DF13="", "", TRUE, 'Monthly Update'!DF13)</f>
        <v/>
      </c>
      <c r="O13" s="221" t="str" cm="1">
        <f t="array" ref="O13">_xlfn.IFS(LEFT('Monthly Update'!DG13, 3) = "*((", "", 'Monthly Update'!DG13="", "", TRUE, 'Monthly Update'!DG13)</f>
        <v/>
      </c>
      <c r="P13" s="221" t="str" cm="1">
        <f t="array" ref="P13">_xlfn.IFS(LEFT('Monthly Update'!DH13, 3) = "*((", "", 'Monthly Update'!DH13="", "", TRUE, 'Monthly Update'!DH13)</f>
        <v/>
      </c>
      <c r="Q13" s="221" t="str" cm="1">
        <f t="array" ref="Q13">_xlfn.IFS(LEFT('Monthly Update'!DI13, 3) = "*((", "", 'Monthly Update'!DI13="", "", TRUE, 'Monthly Update'!DI13)</f>
        <v/>
      </c>
      <c r="R13" s="221" t="str" cm="1">
        <f t="array" ref="R13">_xlfn.IFS(LEFT('Monthly Update'!DJ13, 3) = "*((", "", 'Monthly Update'!DJ13="", "", TRUE, 'Monthly Update'!DJ13)</f>
        <v/>
      </c>
      <c r="S13" s="221" t="str" cm="1">
        <f t="array" ref="S13">_xlfn.IFS(LEFT('Monthly Update'!DK13, 3) = "*((", "", 'Monthly Update'!DK13="", "", TRUE, 'Monthly Update'!DK13)</f>
        <v/>
      </c>
      <c r="T13" s="221" t="str" cm="1">
        <f t="array" ref="T13">_xlfn.IFS(LEFT('Monthly Update'!DL13, 3) = "*((", "", 'Monthly Update'!DL13="", "", TRUE, 'Monthly Update'!DL13)</f>
        <v/>
      </c>
      <c r="U13" s="221" t="str" cm="1">
        <f t="array" ref="U13">_xlfn.IFS(LEFT('Monthly Update'!DM13, 3) = "*((", "", 'Monthly Update'!DM13="", "", TRUE, 'Monthly Update'!DM13)</f>
        <v/>
      </c>
      <c r="V13" s="221" t="str" cm="1">
        <f t="array" ref="V13">_xlfn.IFS(LEFT('Monthly Update'!DN13, 3) = "*((", "", 'Monthly Update'!DN13="", "", TRUE, 'Monthly Update'!DN13)</f>
        <v/>
      </c>
      <c r="W13" s="221" t="str" cm="1">
        <f t="array" ref="W13">_xlfn.IFS(LEFT('Monthly Update'!DO13, 3) = "*((", "", 'Monthly Update'!DO13="", "", TRUE, 'Monthly Update'!DO13)</f>
        <v/>
      </c>
      <c r="X13" s="221" t="str" cm="1">
        <f t="array" ref="X13">_xlfn.IFS(LEFT('Monthly Update'!DP13, 3) = "*((", "", 'Monthly Update'!DP13="", "", TRUE, 'Monthly Update'!DP13)</f>
        <v/>
      </c>
      <c r="Y13" s="221" t="str" cm="1">
        <f t="array" ref="Y13">_xlfn.IFS(LEFT('Monthly Update'!DQ13, 3) = "*((", "", 'Monthly Update'!DQ13="", "", TRUE, 'Monthly Update'!DQ13)</f>
        <v/>
      </c>
      <c r="Z13" s="221" t="str" cm="1">
        <f t="array" ref="Z13">_xlfn.IFS(LEFT('Monthly Update'!DR13, 3) = "*((", "", 'Monthly Update'!DR13="", "", TRUE, 'Monthly Update'!DR13)</f>
        <v/>
      </c>
      <c r="AA13" s="221" t="str" cm="1">
        <f t="array" ref="AA13">_xlfn.IFS(LEFT('Monthly Update'!DS13, 3) = "*((", "", 'Monthly Update'!DS13="", "", TRUE, 'Monthly Update'!DS13)</f>
        <v/>
      </c>
      <c r="AB13" s="221" t="str" cm="1">
        <f t="array" ref="AB13">_xlfn.IFS(LEFT('Monthly Update'!DT13, 3) = "*((", "", 'Monthly Update'!DT13="", "", TRUE, 'Monthly Update'!DT13)</f>
        <v/>
      </c>
      <c r="AC13" s="221" t="str" cm="1">
        <f t="array" ref="AC13">_xlfn.IFS(LEFT('Monthly Update'!DU13, 3) = "*((", "", 'Monthly Update'!DU13="", "", TRUE, 'Monthly Update'!DU13)</f>
        <v/>
      </c>
      <c r="AD13" s="221" t="str" cm="1">
        <f t="array" ref="AD13">_xlfn.IFS(LEFT('Monthly Update'!DV13, 3) = "*((", "", 'Monthly Update'!DV13="", "", TRUE, 'Monthly Update'!DV13)</f>
        <v/>
      </c>
      <c r="AE13" s="221" t="str" cm="1">
        <f t="array" ref="AE13">_xlfn.IFS(LEFT('Monthly Update'!DW13, 3) = "*((", "", 'Monthly Update'!DW13="", "", TRUE, 'Monthly Update'!DW13)</f>
        <v/>
      </c>
      <c r="AF13" s="221" t="str" cm="1">
        <f t="array" ref="AF13">_xlfn.IFS(LEFT('Monthly Update'!DX13, 3) = "*((", "", 'Monthly Update'!DX13="", "", TRUE, 'Monthly Update'!DX13)</f>
        <v/>
      </c>
      <c r="AG13" s="221" t="str" cm="1">
        <f t="array" ref="AG13">_xlfn.IFS(LEFT('Monthly Update'!DY13, 3) = "*((", "", 'Monthly Update'!DY13="", "", TRUE, 'Monthly Update'!DY13)</f>
        <v/>
      </c>
      <c r="AH13" s="221" t="str" cm="1">
        <f t="array" ref="AH13">_xlfn.IFS(LEFT('Monthly Update'!DZ13, 3) = "*((", "", 'Monthly Update'!DZ13="", "", TRUE, 'Monthly Update'!DZ13)</f>
        <v/>
      </c>
      <c r="AI13" s="221" t="str" cm="1">
        <f t="array" ref="AI13">_xlfn.IFS(LEFT('Monthly Update'!EA13, 3) = "*((", "", 'Monthly Update'!EA13="", "", TRUE, 'Monthly Update'!EA13)</f>
        <v/>
      </c>
      <c r="AJ13" s="221" t="str" cm="1">
        <f t="array" ref="AJ13">_xlfn.IFS(LEFT('Monthly Update'!EB13, 3) = "*((", "", 'Monthly Update'!EB13="", "", TRUE, 'Monthly Update'!EB13)</f>
        <v/>
      </c>
      <c r="AK13" s="221" t="str" cm="1">
        <f t="array" ref="AK13">_xlfn.IFS(LEFT('Monthly Update'!EC13, 3) = "*((", "", 'Monthly Update'!EC13="", "", TRUE, 'Monthly Update'!EC13)</f>
        <v/>
      </c>
      <c r="AL13" s="221" t="str" cm="1">
        <f t="array" ref="AL13">_xlfn.IFS(LEFT('Monthly Update'!ED13, 3) = "*((", "", 'Monthly Update'!ED13="", "", TRUE, 'Monthly Update'!ED13)</f>
        <v/>
      </c>
      <c r="AM13" s="221" t="str" cm="1">
        <f t="array" ref="AM13">_xlfn.IFS(LEFT('Monthly Update'!EE13, 3) = "*((", "", 'Monthly Update'!EE13="", "", TRUE, 'Monthly Update'!EE13)</f>
        <v/>
      </c>
      <c r="AN13" s="221" t="str" cm="1">
        <f t="array" ref="AN13">_xlfn.IFS(LEFT('Monthly Update'!EF13, 3) = "*((", "", 'Monthly Update'!EF13="", "", TRUE, 'Monthly Update'!EF13)</f>
        <v/>
      </c>
      <c r="AO13" s="221" t="str" cm="1">
        <f t="array" ref="AO13">_xlfn.IFS(LEFT('Monthly Update'!EG13, 3) = "*((", "", 'Monthly Update'!EG13="", "", TRUE, 'Monthly Update'!EG13)</f>
        <v/>
      </c>
      <c r="AP13" s="221" t="str" cm="1">
        <f t="array" ref="AP13">_xlfn.IFS(LEFT('Monthly Update'!EH13, 3) = "*((", "", 'Monthly Update'!EH13="", "", TRUE, 'Monthly Update'!EH13)</f>
        <v/>
      </c>
      <c r="AQ13" s="221" t="str" cm="1">
        <f t="array" ref="AQ13">_xlfn.IFS(LEFT('Monthly Update'!EI13, 3) = "*((", "", 'Monthly Update'!EI13="", "", TRUE, 'Monthly Update'!EI13)</f>
        <v/>
      </c>
      <c r="AR13" s="221" t="str" cm="1">
        <f t="array" ref="AR13">_xlfn.IFS(LEFT('Monthly Update'!EJ13, 3) = "*((", "", 'Monthly Update'!EJ13="", "", TRUE, 'Monthly Update'!EJ13)</f>
        <v/>
      </c>
      <c r="AS13" s="221" t="str" cm="1">
        <f t="array" ref="AS13">_xlfn.IFS(LEFT('Monthly Update'!EK13, 3) = "*((", "", 'Monthly Update'!EK13="", "", TRUE, 'Monthly Update'!EK13)</f>
        <v/>
      </c>
      <c r="AT13" s="221" t="str" cm="1">
        <f t="array" ref="AT13">_xlfn.IFS(LEFT('Monthly Update'!EL13, 3) = "*((", "", 'Monthly Update'!EL13="", "", TRUE, 'Monthly Update'!EL13)</f>
        <v/>
      </c>
      <c r="AU13" s="221" t="str" cm="1">
        <f t="array" ref="AU13">_xlfn.IFS(LEFT('Monthly Update'!EM13, 3) = "*((", "", 'Monthly Update'!EM13="", "", TRUE, 'Monthly Update'!EM13)</f>
        <v/>
      </c>
      <c r="AV13" s="221" t="str" cm="1">
        <f t="array" ref="AV13">_xlfn.IFS(LEFT('Monthly Update'!EN13, 3) = "*((", "", 'Monthly Update'!EN13="", "", TRUE, 'Monthly Update'!EN13)</f>
        <v/>
      </c>
      <c r="AW13" s="221" t="str" cm="1">
        <f t="array" ref="AW13">_xlfn.IFS(LEFT('Monthly Update'!EO13, 3) = "*((", "", 'Monthly Update'!EO13="", "", TRUE, 'Monthly Update'!EO13)</f>
        <v/>
      </c>
    </row>
    <row r="14" spans="1:384" ht="15.6" customHeight="1" x14ac:dyDescent="0.55000000000000004">
      <c r="A14" s="220" t="str" cm="1">
        <f t="array" ref="A14">_xlfn.IFS(LEFT('Monthly Update'!A14, 3) = "*((", "", 'Monthly Update'!A14="", "", TRUE, 'Monthly Update'!A14)</f>
        <v/>
      </c>
      <c r="B14" s="220" t="str" cm="1">
        <f t="array" ref="B14">_xlfn.IFS(LEFT('Monthly Update'!B14, 3) = "*((", "", 'Monthly Update'!B14="", "", TRUE, 'Monthly Update'!B14)</f>
        <v/>
      </c>
      <c r="C14" s="221" t="str" cm="1">
        <f t="array" ref="C14">_xlfn.IFS(LEFT('Monthly Update'!CU14, 3) = "*((", "", 'Monthly Update'!CU14="", "", TRUE, 'Monthly Update'!CU14)</f>
        <v/>
      </c>
      <c r="D14" s="221" t="str" cm="1">
        <f t="array" ref="D14">_xlfn.IFS(LEFT('Monthly Update'!CV14, 3) = "*((", "", 'Monthly Update'!CV14="", "", TRUE, 'Monthly Update'!CV14)</f>
        <v/>
      </c>
      <c r="E14" s="221" t="str" cm="1">
        <f t="array" ref="E14">_xlfn.IFS(LEFT('Monthly Update'!CW14, 3) = "*((", "", 'Monthly Update'!CW14="", "", TRUE, 'Monthly Update'!CW14)</f>
        <v/>
      </c>
      <c r="F14" s="221" t="str" cm="1">
        <f t="array" ref="F14">_xlfn.IFS(LEFT('Monthly Update'!CX14, 3) = "*((", "", 'Monthly Update'!CX14="", "", TRUE, 'Monthly Update'!CX14)</f>
        <v/>
      </c>
      <c r="G14" s="221" t="str" cm="1">
        <f t="array" ref="G14">_xlfn.IFS(LEFT('Monthly Update'!CY14, 3) = "*((", "", 'Monthly Update'!CY14="", "", TRUE, 'Monthly Update'!CY14)</f>
        <v/>
      </c>
      <c r="H14" s="221" t="str" cm="1">
        <f t="array" ref="H14">_xlfn.IFS(LEFT('Monthly Update'!CZ14, 3) = "*((", "", 'Monthly Update'!CZ14="", "", TRUE, 'Monthly Update'!CZ14)</f>
        <v/>
      </c>
      <c r="I14" s="221" t="str" cm="1">
        <f t="array" ref="I14">_xlfn.IFS(LEFT('Monthly Update'!DA14, 3) = "*((", "", 'Monthly Update'!DA14="", "", TRUE, 'Monthly Update'!DA14)</f>
        <v/>
      </c>
      <c r="J14" s="221" t="str" cm="1">
        <f t="array" ref="J14">_xlfn.IFS(LEFT('Monthly Update'!DB14, 3) = "*((", "", 'Monthly Update'!DB14="", "", TRUE, 'Monthly Update'!DB14)</f>
        <v/>
      </c>
      <c r="K14" s="221" t="str" cm="1">
        <f t="array" ref="K14">_xlfn.IFS(LEFT('Monthly Update'!DC14, 3) = "*((", "", 'Monthly Update'!DC14="", "", TRUE, 'Monthly Update'!DC14)</f>
        <v/>
      </c>
      <c r="L14" s="221" t="str" cm="1">
        <f t="array" ref="L14">_xlfn.IFS(LEFT('Monthly Update'!DD14, 3) = "*((", "", 'Monthly Update'!DD14="", "", TRUE, 'Monthly Update'!DD14)</f>
        <v/>
      </c>
      <c r="M14" s="221" t="str" cm="1">
        <f t="array" ref="M14">_xlfn.IFS(LEFT('Monthly Update'!DE14, 3) = "*((", "", 'Monthly Update'!DE14="", "", TRUE, 'Monthly Update'!DE14)</f>
        <v/>
      </c>
      <c r="N14" s="221" t="str" cm="1">
        <f t="array" ref="N14">_xlfn.IFS(LEFT('Monthly Update'!DF14, 3) = "*((", "", 'Monthly Update'!DF14="", "", TRUE, 'Monthly Update'!DF14)</f>
        <v/>
      </c>
      <c r="O14" s="221" t="str" cm="1">
        <f t="array" ref="O14">_xlfn.IFS(LEFT('Monthly Update'!DG14, 3) = "*((", "", 'Monthly Update'!DG14="", "", TRUE, 'Monthly Update'!DG14)</f>
        <v/>
      </c>
      <c r="P14" s="221" t="str" cm="1">
        <f t="array" ref="P14">_xlfn.IFS(LEFT('Monthly Update'!DH14, 3) = "*((", "", 'Monthly Update'!DH14="", "", TRUE, 'Monthly Update'!DH14)</f>
        <v/>
      </c>
      <c r="Q14" s="221" t="str" cm="1">
        <f t="array" ref="Q14">_xlfn.IFS(LEFT('Monthly Update'!DI14, 3) = "*((", "", 'Monthly Update'!DI14="", "", TRUE, 'Monthly Update'!DI14)</f>
        <v/>
      </c>
      <c r="R14" s="221" t="str" cm="1">
        <f t="array" ref="R14">_xlfn.IFS(LEFT('Monthly Update'!DJ14, 3) = "*((", "", 'Monthly Update'!DJ14="", "", TRUE, 'Monthly Update'!DJ14)</f>
        <v/>
      </c>
      <c r="S14" s="221" t="str" cm="1">
        <f t="array" ref="S14">_xlfn.IFS(LEFT('Monthly Update'!DK14, 3) = "*((", "", 'Monthly Update'!DK14="", "", TRUE, 'Monthly Update'!DK14)</f>
        <v/>
      </c>
      <c r="T14" s="221" t="str" cm="1">
        <f t="array" ref="T14">_xlfn.IFS(LEFT('Monthly Update'!DL14, 3) = "*((", "", 'Monthly Update'!DL14="", "", TRUE, 'Monthly Update'!DL14)</f>
        <v/>
      </c>
      <c r="U14" s="221" t="str" cm="1">
        <f t="array" ref="U14">_xlfn.IFS(LEFT('Monthly Update'!DM14, 3) = "*((", "", 'Monthly Update'!DM14="", "", TRUE, 'Monthly Update'!DM14)</f>
        <v/>
      </c>
      <c r="V14" s="221" t="str" cm="1">
        <f t="array" ref="V14">_xlfn.IFS(LEFT('Monthly Update'!DN14, 3) = "*((", "", 'Monthly Update'!DN14="", "", TRUE, 'Monthly Update'!DN14)</f>
        <v/>
      </c>
      <c r="W14" s="221" t="str" cm="1">
        <f t="array" ref="W14">_xlfn.IFS(LEFT('Monthly Update'!DO14, 3) = "*((", "", 'Monthly Update'!DO14="", "", TRUE, 'Monthly Update'!DO14)</f>
        <v/>
      </c>
      <c r="X14" s="221" t="str" cm="1">
        <f t="array" ref="X14">_xlfn.IFS(LEFT('Monthly Update'!DP14, 3) = "*((", "", 'Monthly Update'!DP14="", "", TRUE, 'Monthly Update'!DP14)</f>
        <v/>
      </c>
      <c r="Y14" s="221" t="str" cm="1">
        <f t="array" ref="Y14">_xlfn.IFS(LEFT('Monthly Update'!DQ14, 3) = "*((", "", 'Monthly Update'!DQ14="", "", TRUE, 'Monthly Update'!DQ14)</f>
        <v/>
      </c>
      <c r="Z14" s="221" t="str" cm="1">
        <f t="array" ref="Z14">_xlfn.IFS(LEFT('Monthly Update'!DR14, 3) = "*((", "", 'Monthly Update'!DR14="", "", TRUE, 'Monthly Update'!DR14)</f>
        <v/>
      </c>
      <c r="AA14" s="221" t="str" cm="1">
        <f t="array" ref="AA14">_xlfn.IFS(LEFT('Monthly Update'!DS14, 3) = "*((", "", 'Monthly Update'!DS14="", "", TRUE, 'Monthly Update'!DS14)</f>
        <v/>
      </c>
      <c r="AB14" s="221" t="str" cm="1">
        <f t="array" ref="AB14">_xlfn.IFS(LEFT('Monthly Update'!DT14, 3) = "*((", "", 'Monthly Update'!DT14="", "", TRUE, 'Monthly Update'!DT14)</f>
        <v/>
      </c>
      <c r="AC14" s="221" t="str" cm="1">
        <f t="array" ref="AC14">_xlfn.IFS(LEFT('Monthly Update'!DU14, 3) = "*((", "", 'Monthly Update'!DU14="", "", TRUE, 'Monthly Update'!DU14)</f>
        <v/>
      </c>
      <c r="AD14" s="221" t="str" cm="1">
        <f t="array" ref="AD14">_xlfn.IFS(LEFT('Monthly Update'!DV14, 3) = "*((", "", 'Monthly Update'!DV14="", "", TRUE, 'Monthly Update'!DV14)</f>
        <v/>
      </c>
      <c r="AE14" s="221" t="str" cm="1">
        <f t="array" ref="AE14">_xlfn.IFS(LEFT('Monthly Update'!DW14, 3) = "*((", "", 'Monthly Update'!DW14="", "", TRUE, 'Monthly Update'!DW14)</f>
        <v/>
      </c>
      <c r="AF14" s="221" t="str" cm="1">
        <f t="array" ref="AF14">_xlfn.IFS(LEFT('Monthly Update'!DX14, 3) = "*((", "", 'Monthly Update'!DX14="", "", TRUE, 'Monthly Update'!DX14)</f>
        <v/>
      </c>
      <c r="AG14" s="221" t="str" cm="1">
        <f t="array" ref="AG14">_xlfn.IFS(LEFT('Monthly Update'!DY14, 3) = "*((", "", 'Monthly Update'!DY14="", "", TRUE, 'Monthly Update'!DY14)</f>
        <v/>
      </c>
      <c r="AH14" s="221" t="str" cm="1">
        <f t="array" ref="AH14">_xlfn.IFS(LEFT('Monthly Update'!DZ14, 3) = "*((", "", 'Monthly Update'!DZ14="", "", TRUE, 'Monthly Update'!DZ14)</f>
        <v/>
      </c>
      <c r="AI14" s="221" t="str" cm="1">
        <f t="array" ref="AI14">_xlfn.IFS(LEFT('Monthly Update'!EA14, 3) = "*((", "", 'Monthly Update'!EA14="", "", TRUE, 'Monthly Update'!EA14)</f>
        <v/>
      </c>
      <c r="AJ14" s="221" t="str" cm="1">
        <f t="array" ref="AJ14">_xlfn.IFS(LEFT('Monthly Update'!EB14, 3) = "*((", "", 'Monthly Update'!EB14="", "", TRUE, 'Monthly Update'!EB14)</f>
        <v/>
      </c>
      <c r="AK14" s="221" t="str" cm="1">
        <f t="array" ref="AK14">_xlfn.IFS(LEFT('Monthly Update'!EC14, 3) = "*((", "", 'Monthly Update'!EC14="", "", TRUE, 'Monthly Update'!EC14)</f>
        <v/>
      </c>
      <c r="AL14" s="221" t="str" cm="1">
        <f t="array" ref="AL14">_xlfn.IFS(LEFT('Monthly Update'!ED14, 3) = "*((", "", 'Monthly Update'!ED14="", "", TRUE, 'Monthly Update'!ED14)</f>
        <v/>
      </c>
      <c r="AM14" s="221" t="str" cm="1">
        <f t="array" ref="AM14">_xlfn.IFS(LEFT('Monthly Update'!EE14, 3) = "*((", "", 'Monthly Update'!EE14="", "", TRUE, 'Monthly Update'!EE14)</f>
        <v/>
      </c>
      <c r="AN14" s="221" t="str" cm="1">
        <f t="array" ref="AN14">_xlfn.IFS(LEFT('Monthly Update'!EF14, 3) = "*((", "", 'Monthly Update'!EF14="", "", TRUE, 'Monthly Update'!EF14)</f>
        <v/>
      </c>
      <c r="AO14" s="221" t="str" cm="1">
        <f t="array" ref="AO14">_xlfn.IFS(LEFT('Monthly Update'!EG14, 3) = "*((", "", 'Monthly Update'!EG14="", "", TRUE, 'Monthly Update'!EG14)</f>
        <v/>
      </c>
      <c r="AP14" s="221" t="str" cm="1">
        <f t="array" ref="AP14">_xlfn.IFS(LEFT('Monthly Update'!EH14, 3) = "*((", "", 'Monthly Update'!EH14="", "", TRUE, 'Monthly Update'!EH14)</f>
        <v/>
      </c>
      <c r="AQ14" s="221" t="str" cm="1">
        <f t="array" ref="AQ14">_xlfn.IFS(LEFT('Monthly Update'!EI14, 3) = "*((", "", 'Monthly Update'!EI14="", "", TRUE, 'Monthly Update'!EI14)</f>
        <v/>
      </c>
      <c r="AR14" s="221" t="str" cm="1">
        <f t="array" ref="AR14">_xlfn.IFS(LEFT('Monthly Update'!EJ14, 3) = "*((", "", 'Monthly Update'!EJ14="", "", TRUE, 'Monthly Update'!EJ14)</f>
        <v/>
      </c>
      <c r="AS14" s="221" t="str" cm="1">
        <f t="array" ref="AS14">_xlfn.IFS(LEFT('Monthly Update'!EK14, 3) = "*((", "", 'Monthly Update'!EK14="", "", TRUE, 'Monthly Update'!EK14)</f>
        <v/>
      </c>
      <c r="AT14" s="221" t="str" cm="1">
        <f t="array" ref="AT14">_xlfn.IFS(LEFT('Monthly Update'!EL14, 3) = "*((", "", 'Monthly Update'!EL14="", "", TRUE, 'Monthly Update'!EL14)</f>
        <v/>
      </c>
      <c r="AU14" s="221" t="str" cm="1">
        <f t="array" ref="AU14">_xlfn.IFS(LEFT('Monthly Update'!EM14, 3) = "*((", "", 'Monthly Update'!EM14="", "", TRUE, 'Monthly Update'!EM14)</f>
        <v/>
      </c>
      <c r="AV14" s="221" t="str" cm="1">
        <f t="array" ref="AV14">_xlfn.IFS(LEFT('Monthly Update'!EN14, 3) = "*((", "", 'Monthly Update'!EN14="", "", TRUE, 'Monthly Update'!EN14)</f>
        <v/>
      </c>
      <c r="AW14" s="221" t="str" cm="1">
        <f t="array" ref="AW14">_xlfn.IFS(LEFT('Monthly Update'!EO14, 3) = "*((", "", 'Monthly Update'!EO14="", "", TRUE, 'Monthly Update'!EO14)</f>
        <v/>
      </c>
    </row>
    <row r="15" spans="1:384" ht="15.6" customHeight="1" x14ac:dyDescent="0.55000000000000004">
      <c r="A15" s="220" t="str" cm="1">
        <f t="array" ref="A15">_xlfn.IFS(LEFT('Monthly Update'!A15, 3) = "*((", "", 'Monthly Update'!A15="", "", TRUE, 'Monthly Update'!A15)</f>
        <v/>
      </c>
      <c r="B15" s="220" t="str" cm="1">
        <f t="array" ref="B15">_xlfn.IFS(LEFT('Monthly Update'!B15, 3) = "*((", "", 'Monthly Update'!B15="", "", TRUE, 'Monthly Update'!B15)</f>
        <v/>
      </c>
      <c r="C15" s="221" t="str" cm="1">
        <f t="array" ref="C15">_xlfn.IFS(LEFT('Monthly Update'!CU15, 3) = "*((", "", 'Monthly Update'!CU15="", "", TRUE, 'Monthly Update'!CU15)</f>
        <v/>
      </c>
      <c r="D15" s="221" t="str" cm="1">
        <f t="array" ref="D15">_xlfn.IFS(LEFT('Monthly Update'!CV15, 3) = "*((", "", 'Monthly Update'!CV15="", "", TRUE, 'Monthly Update'!CV15)</f>
        <v/>
      </c>
      <c r="E15" s="221" t="str" cm="1">
        <f t="array" ref="E15">_xlfn.IFS(LEFT('Monthly Update'!CW15, 3) = "*((", "", 'Monthly Update'!CW15="", "", TRUE, 'Monthly Update'!CW15)</f>
        <v/>
      </c>
      <c r="F15" s="221" t="str" cm="1">
        <f t="array" ref="F15">_xlfn.IFS(LEFT('Monthly Update'!CX15, 3) = "*((", "", 'Monthly Update'!CX15="", "", TRUE, 'Monthly Update'!CX15)</f>
        <v/>
      </c>
      <c r="G15" s="221" t="str" cm="1">
        <f t="array" ref="G15">_xlfn.IFS(LEFT('Monthly Update'!CY15, 3) = "*((", "", 'Monthly Update'!CY15="", "", TRUE, 'Monthly Update'!CY15)</f>
        <v/>
      </c>
      <c r="H15" s="221" t="str" cm="1">
        <f t="array" ref="H15">_xlfn.IFS(LEFT('Monthly Update'!CZ15, 3) = "*((", "", 'Monthly Update'!CZ15="", "", TRUE, 'Monthly Update'!CZ15)</f>
        <v/>
      </c>
      <c r="I15" s="221" t="str" cm="1">
        <f t="array" ref="I15">_xlfn.IFS(LEFT('Monthly Update'!DA15, 3) = "*((", "", 'Monthly Update'!DA15="", "", TRUE, 'Monthly Update'!DA15)</f>
        <v/>
      </c>
      <c r="J15" s="221" t="str" cm="1">
        <f t="array" ref="J15">_xlfn.IFS(LEFT('Monthly Update'!DB15, 3) = "*((", "", 'Monthly Update'!DB15="", "", TRUE, 'Monthly Update'!DB15)</f>
        <v/>
      </c>
      <c r="K15" s="221" t="str" cm="1">
        <f t="array" ref="K15">_xlfn.IFS(LEFT('Monthly Update'!DC15, 3) = "*((", "", 'Monthly Update'!DC15="", "", TRUE, 'Monthly Update'!DC15)</f>
        <v/>
      </c>
      <c r="L15" s="221" t="str" cm="1">
        <f t="array" ref="L15">_xlfn.IFS(LEFT('Monthly Update'!DD15, 3) = "*((", "", 'Monthly Update'!DD15="", "", TRUE, 'Monthly Update'!DD15)</f>
        <v/>
      </c>
      <c r="M15" s="221" t="str" cm="1">
        <f t="array" ref="M15">_xlfn.IFS(LEFT('Monthly Update'!DE15, 3) = "*((", "", 'Monthly Update'!DE15="", "", TRUE, 'Monthly Update'!DE15)</f>
        <v/>
      </c>
      <c r="N15" s="221" t="str" cm="1">
        <f t="array" ref="N15">_xlfn.IFS(LEFT('Monthly Update'!DF15, 3) = "*((", "", 'Monthly Update'!DF15="", "", TRUE, 'Monthly Update'!DF15)</f>
        <v/>
      </c>
      <c r="O15" s="221" t="str" cm="1">
        <f t="array" ref="O15">_xlfn.IFS(LEFT('Monthly Update'!DG15, 3) = "*((", "", 'Monthly Update'!DG15="", "", TRUE, 'Monthly Update'!DG15)</f>
        <v/>
      </c>
      <c r="P15" s="221" t="str" cm="1">
        <f t="array" ref="P15">_xlfn.IFS(LEFT('Monthly Update'!DH15, 3) = "*((", "", 'Monthly Update'!DH15="", "", TRUE, 'Monthly Update'!DH15)</f>
        <v/>
      </c>
      <c r="Q15" s="221" t="str" cm="1">
        <f t="array" ref="Q15">_xlfn.IFS(LEFT('Monthly Update'!DI15, 3) = "*((", "", 'Monthly Update'!DI15="", "", TRUE, 'Monthly Update'!DI15)</f>
        <v/>
      </c>
      <c r="R15" s="221" t="str" cm="1">
        <f t="array" ref="R15">_xlfn.IFS(LEFT('Monthly Update'!DJ15, 3) = "*((", "", 'Monthly Update'!DJ15="", "", TRUE, 'Monthly Update'!DJ15)</f>
        <v/>
      </c>
      <c r="S15" s="221" t="str" cm="1">
        <f t="array" ref="S15">_xlfn.IFS(LEFT('Monthly Update'!DK15, 3) = "*((", "", 'Monthly Update'!DK15="", "", TRUE, 'Monthly Update'!DK15)</f>
        <v/>
      </c>
      <c r="T15" s="221" t="str" cm="1">
        <f t="array" ref="T15">_xlfn.IFS(LEFT('Monthly Update'!DL15, 3) = "*((", "", 'Monthly Update'!DL15="", "", TRUE, 'Monthly Update'!DL15)</f>
        <v/>
      </c>
      <c r="U15" s="221" t="str" cm="1">
        <f t="array" ref="U15">_xlfn.IFS(LEFT('Monthly Update'!DM15, 3) = "*((", "", 'Monthly Update'!DM15="", "", TRUE, 'Monthly Update'!DM15)</f>
        <v/>
      </c>
      <c r="V15" s="221" t="str" cm="1">
        <f t="array" ref="V15">_xlfn.IFS(LEFT('Monthly Update'!DN15, 3) = "*((", "", 'Monthly Update'!DN15="", "", TRUE, 'Monthly Update'!DN15)</f>
        <v/>
      </c>
      <c r="W15" s="221" t="str" cm="1">
        <f t="array" ref="W15">_xlfn.IFS(LEFT('Monthly Update'!DO15, 3) = "*((", "", 'Monthly Update'!DO15="", "", TRUE, 'Monthly Update'!DO15)</f>
        <v/>
      </c>
      <c r="X15" s="221" t="str" cm="1">
        <f t="array" ref="X15">_xlfn.IFS(LEFT('Monthly Update'!DP15, 3) = "*((", "", 'Monthly Update'!DP15="", "", TRUE, 'Monthly Update'!DP15)</f>
        <v/>
      </c>
      <c r="Y15" s="221" t="str" cm="1">
        <f t="array" ref="Y15">_xlfn.IFS(LEFT('Monthly Update'!DQ15, 3) = "*((", "", 'Monthly Update'!DQ15="", "", TRUE, 'Monthly Update'!DQ15)</f>
        <v/>
      </c>
      <c r="Z15" s="221" t="str" cm="1">
        <f t="array" ref="Z15">_xlfn.IFS(LEFT('Monthly Update'!DR15, 3) = "*((", "", 'Monthly Update'!DR15="", "", TRUE, 'Monthly Update'!DR15)</f>
        <v/>
      </c>
      <c r="AA15" s="221" t="str" cm="1">
        <f t="array" ref="AA15">_xlfn.IFS(LEFT('Monthly Update'!DS15, 3) = "*((", "", 'Monthly Update'!DS15="", "", TRUE, 'Monthly Update'!DS15)</f>
        <v/>
      </c>
      <c r="AB15" s="221" t="str" cm="1">
        <f t="array" ref="AB15">_xlfn.IFS(LEFT('Monthly Update'!DT15, 3) = "*((", "", 'Monthly Update'!DT15="", "", TRUE, 'Monthly Update'!DT15)</f>
        <v/>
      </c>
      <c r="AC15" s="221" t="str" cm="1">
        <f t="array" ref="AC15">_xlfn.IFS(LEFT('Monthly Update'!DU15, 3) = "*((", "", 'Monthly Update'!DU15="", "", TRUE, 'Monthly Update'!DU15)</f>
        <v/>
      </c>
      <c r="AD15" s="221" t="str" cm="1">
        <f t="array" ref="AD15">_xlfn.IFS(LEFT('Monthly Update'!DV15, 3) = "*((", "", 'Monthly Update'!DV15="", "", TRUE, 'Monthly Update'!DV15)</f>
        <v/>
      </c>
      <c r="AE15" s="221" t="str" cm="1">
        <f t="array" ref="AE15">_xlfn.IFS(LEFT('Monthly Update'!DW15, 3) = "*((", "", 'Monthly Update'!DW15="", "", TRUE, 'Monthly Update'!DW15)</f>
        <v/>
      </c>
      <c r="AF15" s="221" t="str" cm="1">
        <f t="array" ref="AF15">_xlfn.IFS(LEFT('Monthly Update'!DX15, 3) = "*((", "", 'Monthly Update'!DX15="", "", TRUE, 'Monthly Update'!DX15)</f>
        <v/>
      </c>
      <c r="AG15" s="221" t="str" cm="1">
        <f t="array" ref="AG15">_xlfn.IFS(LEFT('Monthly Update'!DY15, 3) = "*((", "", 'Monthly Update'!DY15="", "", TRUE, 'Monthly Update'!DY15)</f>
        <v/>
      </c>
      <c r="AH15" s="221" t="str" cm="1">
        <f t="array" ref="AH15">_xlfn.IFS(LEFT('Monthly Update'!DZ15, 3) = "*((", "", 'Monthly Update'!DZ15="", "", TRUE, 'Monthly Update'!DZ15)</f>
        <v/>
      </c>
      <c r="AI15" s="221" t="str" cm="1">
        <f t="array" ref="AI15">_xlfn.IFS(LEFT('Monthly Update'!EA15, 3) = "*((", "", 'Monthly Update'!EA15="", "", TRUE, 'Monthly Update'!EA15)</f>
        <v/>
      </c>
      <c r="AJ15" s="221" t="str" cm="1">
        <f t="array" ref="AJ15">_xlfn.IFS(LEFT('Monthly Update'!EB15, 3) = "*((", "", 'Monthly Update'!EB15="", "", TRUE, 'Monthly Update'!EB15)</f>
        <v/>
      </c>
      <c r="AK15" s="221" t="str" cm="1">
        <f t="array" ref="AK15">_xlfn.IFS(LEFT('Monthly Update'!EC15, 3) = "*((", "", 'Monthly Update'!EC15="", "", TRUE, 'Monthly Update'!EC15)</f>
        <v/>
      </c>
      <c r="AL15" s="221" t="str" cm="1">
        <f t="array" ref="AL15">_xlfn.IFS(LEFT('Monthly Update'!ED15, 3) = "*((", "", 'Monthly Update'!ED15="", "", TRUE, 'Monthly Update'!ED15)</f>
        <v/>
      </c>
      <c r="AM15" s="221" t="str" cm="1">
        <f t="array" ref="AM15">_xlfn.IFS(LEFT('Monthly Update'!EE15, 3) = "*((", "", 'Monthly Update'!EE15="", "", TRUE, 'Monthly Update'!EE15)</f>
        <v/>
      </c>
      <c r="AN15" s="221" t="str" cm="1">
        <f t="array" ref="AN15">_xlfn.IFS(LEFT('Monthly Update'!EF15, 3) = "*((", "", 'Monthly Update'!EF15="", "", TRUE, 'Monthly Update'!EF15)</f>
        <v/>
      </c>
      <c r="AO15" s="221" t="str" cm="1">
        <f t="array" ref="AO15">_xlfn.IFS(LEFT('Monthly Update'!EG15, 3) = "*((", "", 'Monthly Update'!EG15="", "", TRUE, 'Monthly Update'!EG15)</f>
        <v/>
      </c>
      <c r="AP15" s="221" t="str" cm="1">
        <f t="array" ref="AP15">_xlfn.IFS(LEFT('Monthly Update'!EH15, 3) = "*((", "", 'Monthly Update'!EH15="", "", TRUE, 'Monthly Update'!EH15)</f>
        <v/>
      </c>
      <c r="AQ15" s="221" t="str" cm="1">
        <f t="array" ref="AQ15">_xlfn.IFS(LEFT('Monthly Update'!EI15, 3) = "*((", "", 'Monthly Update'!EI15="", "", TRUE, 'Monthly Update'!EI15)</f>
        <v/>
      </c>
      <c r="AR15" s="221" t="str" cm="1">
        <f t="array" ref="AR15">_xlfn.IFS(LEFT('Monthly Update'!EJ15, 3) = "*((", "", 'Monthly Update'!EJ15="", "", TRUE, 'Monthly Update'!EJ15)</f>
        <v/>
      </c>
      <c r="AS15" s="221" t="str" cm="1">
        <f t="array" ref="AS15">_xlfn.IFS(LEFT('Monthly Update'!EK15, 3) = "*((", "", 'Monthly Update'!EK15="", "", TRUE, 'Monthly Update'!EK15)</f>
        <v/>
      </c>
      <c r="AT15" s="221" t="str" cm="1">
        <f t="array" ref="AT15">_xlfn.IFS(LEFT('Monthly Update'!EL15, 3) = "*((", "", 'Monthly Update'!EL15="", "", TRUE, 'Monthly Update'!EL15)</f>
        <v/>
      </c>
      <c r="AU15" s="221" t="str" cm="1">
        <f t="array" ref="AU15">_xlfn.IFS(LEFT('Monthly Update'!EM15, 3) = "*((", "", 'Monthly Update'!EM15="", "", TRUE, 'Monthly Update'!EM15)</f>
        <v/>
      </c>
      <c r="AV15" s="221" t="str" cm="1">
        <f t="array" ref="AV15">_xlfn.IFS(LEFT('Monthly Update'!EN15, 3) = "*((", "", 'Monthly Update'!EN15="", "", TRUE, 'Monthly Update'!EN15)</f>
        <v/>
      </c>
      <c r="AW15" s="221" t="str" cm="1">
        <f t="array" ref="AW15">_xlfn.IFS(LEFT('Monthly Update'!EO15, 3) = "*((", "", 'Monthly Update'!EO15="", "", TRUE, 'Monthly Update'!EO15)</f>
        <v/>
      </c>
    </row>
    <row r="16" spans="1:384" ht="15.6" customHeight="1" x14ac:dyDescent="0.55000000000000004">
      <c r="A16" s="220" t="str" cm="1">
        <f t="array" ref="A16">_xlfn.IFS(LEFT('Monthly Update'!A16, 3) = "*((", "", 'Monthly Update'!A16="", "", TRUE, 'Monthly Update'!A16)</f>
        <v/>
      </c>
      <c r="B16" s="220" t="str" cm="1">
        <f t="array" ref="B16">_xlfn.IFS(LEFT('Monthly Update'!B16, 3) = "*((", "", 'Monthly Update'!B16="", "", TRUE, 'Monthly Update'!B16)</f>
        <v/>
      </c>
      <c r="C16" s="221" t="str" cm="1">
        <f t="array" ref="C16">_xlfn.IFS(LEFT('Monthly Update'!CU16, 3) = "*((", "", 'Monthly Update'!CU16="", "", TRUE, 'Monthly Update'!CU16)</f>
        <v/>
      </c>
      <c r="D16" s="221" t="str" cm="1">
        <f t="array" ref="D16">_xlfn.IFS(LEFT('Monthly Update'!CV16, 3) = "*((", "", 'Monthly Update'!CV16="", "", TRUE, 'Monthly Update'!CV16)</f>
        <v/>
      </c>
      <c r="E16" s="221" t="str" cm="1">
        <f t="array" ref="E16">_xlfn.IFS(LEFT('Monthly Update'!CW16, 3) = "*((", "", 'Monthly Update'!CW16="", "", TRUE, 'Monthly Update'!CW16)</f>
        <v/>
      </c>
      <c r="F16" s="221" t="str" cm="1">
        <f t="array" ref="F16">_xlfn.IFS(LEFT('Monthly Update'!CX16, 3) = "*((", "", 'Monthly Update'!CX16="", "", TRUE, 'Monthly Update'!CX16)</f>
        <v/>
      </c>
      <c r="G16" s="221" t="str" cm="1">
        <f t="array" ref="G16">_xlfn.IFS(LEFT('Monthly Update'!CY16, 3) = "*((", "", 'Monthly Update'!CY16="", "", TRUE, 'Monthly Update'!CY16)</f>
        <v/>
      </c>
      <c r="H16" s="221" t="str" cm="1">
        <f t="array" ref="H16">_xlfn.IFS(LEFT('Monthly Update'!CZ16, 3) = "*((", "", 'Monthly Update'!CZ16="", "", TRUE, 'Monthly Update'!CZ16)</f>
        <v/>
      </c>
      <c r="I16" s="221" t="str" cm="1">
        <f t="array" ref="I16">_xlfn.IFS(LEFT('Monthly Update'!DA16, 3) = "*((", "", 'Monthly Update'!DA16="", "", TRUE, 'Monthly Update'!DA16)</f>
        <v/>
      </c>
      <c r="J16" s="221" t="str" cm="1">
        <f t="array" ref="J16">_xlfn.IFS(LEFT('Monthly Update'!DB16, 3) = "*((", "", 'Monthly Update'!DB16="", "", TRUE, 'Monthly Update'!DB16)</f>
        <v/>
      </c>
      <c r="K16" s="221" t="str" cm="1">
        <f t="array" ref="K16">_xlfn.IFS(LEFT('Monthly Update'!DC16, 3) = "*((", "", 'Monthly Update'!DC16="", "", TRUE, 'Monthly Update'!DC16)</f>
        <v/>
      </c>
      <c r="L16" s="221" t="str" cm="1">
        <f t="array" ref="L16">_xlfn.IFS(LEFT('Monthly Update'!DD16, 3) = "*((", "", 'Monthly Update'!DD16="", "", TRUE, 'Monthly Update'!DD16)</f>
        <v/>
      </c>
      <c r="M16" s="221" t="str" cm="1">
        <f t="array" ref="M16">_xlfn.IFS(LEFT('Monthly Update'!DE16, 3) = "*((", "", 'Monthly Update'!DE16="", "", TRUE, 'Monthly Update'!DE16)</f>
        <v/>
      </c>
      <c r="N16" s="221" t="str" cm="1">
        <f t="array" ref="N16">_xlfn.IFS(LEFT('Monthly Update'!DF16, 3) = "*((", "", 'Monthly Update'!DF16="", "", TRUE, 'Monthly Update'!DF16)</f>
        <v/>
      </c>
      <c r="O16" s="221" t="str" cm="1">
        <f t="array" ref="O16">_xlfn.IFS(LEFT('Monthly Update'!DG16, 3) = "*((", "", 'Monthly Update'!DG16="", "", TRUE, 'Monthly Update'!DG16)</f>
        <v/>
      </c>
      <c r="P16" s="221" t="str" cm="1">
        <f t="array" ref="P16">_xlfn.IFS(LEFT('Monthly Update'!DH16, 3) = "*((", "", 'Monthly Update'!DH16="", "", TRUE, 'Monthly Update'!DH16)</f>
        <v/>
      </c>
      <c r="Q16" s="221" t="str" cm="1">
        <f t="array" ref="Q16">_xlfn.IFS(LEFT('Monthly Update'!DI16, 3) = "*((", "", 'Monthly Update'!DI16="", "", TRUE, 'Monthly Update'!DI16)</f>
        <v/>
      </c>
      <c r="R16" s="221" t="str" cm="1">
        <f t="array" ref="R16">_xlfn.IFS(LEFT('Monthly Update'!DJ16, 3) = "*((", "", 'Monthly Update'!DJ16="", "", TRUE, 'Monthly Update'!DJ16)</f>
        <v/>
      </c>
      <c r="S16" s="221" t="str" cm="1">
        <f t="array" ref="S16">_xlfn.IFS(LEFT('Monthly Update'!DK16, 3) = "*((", "", 'Monthly Update'!DK16="", "", TRUE, 'Monthly Update'!DK16)</f>
        <v/>
      </c>
      <c r="T16" s="221" t="str" cm="1">
        <f t="array" ref="T16">_xlfn.IFS(LEFT('Monthly Update'!DL16, 3) = "*((", "", 'Monthly Update'!DL16="", "", TRUE, 'Monthly Update'!DL16)</f>
        <v/>
      </c>
      <c r="U16" s="221" t="str" cm="1">
        <f t="array" ref="U16">_xlfn.IFS(LEFT('Monthly Update'!DM16, 3) = "*((", "", 'Monthly Update'!DM16="", "", TRUE, 'Monthly Update'!DM16)</f>
        <v/>
      </c>
      <c r="V16" s="221" t="str" cm="1">
        <f t="array" ref="V16">_xlfn.IFS(LEFT('Monthly Update'!DN16, 3) = "*((", "", 'Monthly Update'!DN16="", "", TRUE, 'Monthly Update'!DN16)</f>
        <v/>
      </c>
      <c r="W16" s="221" t="str" cm="1">
        <f t="array" ref="W16">_xlfn.IFS(LEFT('Monthly Update'!DO16, 3) = "*((", "", 'Monthly Update'!DO16="", "", TRUE, 'Monthly Update'!DO16)</f>
        <v/>
      </c>
      <c r="X16" s="221" t="str" cm="1">
        <f t="array" ref="X16">_xlfn.IFS(LEFT('Monthly Update'!DP16, 3) = "*((", "", 'Monthly Update'!DP16="", "", TRUE, 'Monthly Update'!DP16)</f>
        <v/>
      </c>
      <c r="Y16" s="221" t="str" cm="1">
        <f t="array" ref="Y16">_xlfn.IFS(LEFT('Monthly Update'!DQ16, 3) = "*((", "", 'Monthly Update'!DQ16="", "", TRUE, 'Monthly Update'!DQ16)</f>
        <v/>
      </c>
      <c r="Z16" s="221" t="str" cm="1">
        <f t="array" ref="Z16">_xlfn.IFS(LEFT('Monthly Update'!DR16, 3) = "*((", "", 'Monthly Update'!DR16="", "", TRUE, 'Monthly Update'!DR16)</f>
        <v/>
      </c>
      <c r="AA16" s="221" t="str" cm="1">
        <f t="array" ref="AA16">_xlfn.IFS(LEFT('Monthly Update'!DS16, 3) = "*((", "", 'Monthly Update'!DS16="", "", TRUE, 'Monthly Update'!DS16)</f>
        <v/>
      </c>
      <c r="AB16" s="221" t="str" cm="1">
        <f t="array" ref="AB16">_xlfn.IFS(LEFT('Monthly Update'!DT16, 3) = "*((", "", 'Monthly Update'!DT16="", "", TRUE, 'Monthly Update'!DT16)</f>
        <v/>
      </c>
      <c r="AC16" s="221" t="str" cm="1">
        <f t="array" ref="AC16">_xlfn.IFS(LEFT('Monthly Update'!DU16, 3) = "*((", "", 'Monthly Update'!DU16="", "", TRUE, 'Monthly Update'!DU16)</f>
        <v/>
      </c>
      <c r="AD16" s="221" t="str" cm="1">
        <f t="array" ref="AD16">_xlfn.IFS(LEFT('Monthly Update'!DV16, 3) = "*((", "", 'Monthly Update'!DV16="", "", TRUE, 'Monthly Update'!DV16)</f>
        <v/>
      </c>
      <c r="AE16" s="221" t="str" cm="1">
        <f t="array" ref="AE16">_xlfn.IFS(LEFT('Monthly Update'!DW16, 3) = "*((", "", 'Monthly Update'!DW16="", "", TRUE, 'Monthly Update'!DW16)</f>
        <v/>
      </c>
      <c r="AF16" s="221" t="str" cm="1">
        <f t="array" ref="AF16">_xlfn.IFS(LEFT('Monthly Update'!DX16, 3) = "*((", "", 'Monthly Update'!DX16="", "", TRUE, 'Monthly Update'!DX16)</f>
        <v/>
      </c>
      <c r="AG16" s="221" t="str" cm="1">
        <f t="array" ref="AG16">_xlfn.IFS(LEFT('Monthly Update'!DY16, 3) = "*((", "", 'Monthly Update'!DY16="", "", TRUE, 'Monthly Update'!DY16)</f>
        <v/>
      </c>
      <c r="AH16" s="221" t="str" cm="1">
        <f t="array" ref="AH16">_xlfn.IFS(LEFT('Monthly Update'!DZ16, 3) = "*((", "", 'Monthly Update'!DZ16="", "", TRUE, 'Monthly Update'!DZ16)</f>
        <v/>
      </c>
      <c r="AI16" s="221" t="str" cm="1">
        <f t="array" ref="AI16">_xlfn.IFS(LEFT('Monthly Update'!EA16, 3) = "*((", "", 'Monthly Update'!EA16="", "", TRUE, 'Monthly Update'!EA16)</f>
        <v/>
      </c>
      <c r="AJ16" s="221" t="str" cm="1">
        <f t="array" ref="AJ16">_xlfn.IFS(LEFT('Monthly Update'!EB16, 3) = "*((", "", 'Monthly Update'!EB16="", "", TRUE, 'Monthly Update'!EB16)</f>
        <v/>
      </c>
      <c r="AK16" s="221" t="str" cm="1">
        <f t="array" ref="AK16">_xlfn.IFS(LEFT('Monthly Update'!EC16, 3) = "*((", "", 'Monthly Update'!EC16="", "", TRUE, 'Monthly Update'!EC16)</f>
        <v/>
      </c>
      <c r="AL16" s="221" t="str" cm="1">
        <f t="array" ref="AL16">_xlfn.IFS(LEFT('Monthly Update'!ED16, 3) = "*((", "", 'Monthly Update'!ED16="", "", TRUE, 'Monthly Update'!ED16)</f>
        <v/>
      </c>
      <c r="AM16" s="221" t="str" cm="1">
        <f t="array" ref="AM16">_xlfn.IFS(LEFT('Monthly Update'!EE16, 3) = "*((", "", 'Monthly Update'!EE16="", "", TRUE, 'Monthly Update'!EE16)</f>
        <v/>
      </c>
      <c r="AN16" s="221" t="str" cm="1">
        <f t="array" ref="AN16">_xlfn.IFS(LEFT('Monthly Update'!EF16, 3) = "*((", "", 'Monthly Update'!EF16="", "", TRUE, 'Monthly Update'!EF16)</f>
        <v/>
      </c>
      <c r="AO16" s="221" t="str" cm="1">
        <f t="array" ref="AO16">_xlfn.IFS(LEFT('Monthly Update'!EG16, 3) = "*((", "", 'Monthly Update'!EG16="", "", TRUE, 'Monthly Update'!EG16)</f>
        <v/>
      </c>
      <c r="AP16" s="221" t="str" cm="1">
        <f t="array" ref="AP16">_xlfn.IFS(LEFT('Monthly Update'!EH16, 3) = "*((", "", 'Monthly Update'!EH16="", "", TRUE, 'Monthly Update'!EH16)</f>
        <v/>
      </c>
      <c r="AQ16" s="221" t="str" cm="1">
        <f t="array" ref="AQ16">_xlfn.IFS(LEFT('Monthly Update'!EI16, 3) = "*((", "", 'Monthly Update'!EI16="", "", TRUE, 'Monthly Update'!EI16)</f>
        <v/>
      </c>
      <c r="AR16" s="221" t="str" cm="1">
        <f t="array" ref="AR16">_xlfn.IFS(LEFT('Monthly Update'!EJ16, 3) = "*((", "", 'Monthly Update'!EJ16="", "", TRUE, 'Monthly Update'!EJ16)</f>
        <v/>
      </c>
      <c r="AS16" s="221" t="str" cm="1">
        <f t="array" ref="AS16">_xlfn.IFS(LEFT('Monthly Update'!EK16, 3) = "*((", "", 'Monthly Update'!EK16="", "", TRUE, 'Monthly Update'!EK16)</f>
        <v/>
      </c>
      <c r="AT16" s="221" t="str" cm="1">
        <f t="array" ref="AT16">_xlfn.IFS(LEFT('Monthly Update'!EL16, 3) = "*((", "", 'Monthly Update'!EL16="", "", TRUE, 'Monthly Update'!EL16)</f>
        <v/>
      </c>
      <c r="AU16" s="221" t="str" cm="1">
        <f t="array" ref="AU16">_xlfn.IFS(LEFT('Monthly Update'!EM16, 3) = "*((", "", 'Monthly Update'!EM16="", "", TRUE, 'Monthly Update'!EM16)</f>
        <v/>
      </c>
      <c r="AV16" s="221" t="str" cm="1">
        <f t="array" ref="AV16">_xlfn.IFS(LEFT('Monthly Update'!EN16, 3) = "*((", "", 'Monthly Update'!EN16="", "", TRUE, 'Monthly Update'!EN16)</f>
        <v/>
      </c>
      <c r="AW16" s="221" t="str" cm="1">
        <f t="array" ref="AW16">_xlfn.IFS(LEFT('Monthly Update'!EO16, 3) = "*((", "", 'Monthly Update'!EO16="", "", TRUE, 'Monthly Update'!EO16)</f>
        <v/>
      </c>
    </row>
    <row r="17" spans="1:508" s="243" customFormat="1" ht="15.6" customHeight="1" x14ac:dyDescent="0.55000000000000004">
      <c r="A17" s="220" t="str" cm="1">
        <f t="array" ref="A17">_xlfn.IFS(LEFT('Monthly Update'!A17, 3) = "*((", "", 'Monthly Update'!A17="", "", TRUE, 'Monthly Update'!A17)</f>
        <v/>
      </c>
      <c r="B17" s="220" t="str" cm="1">
        <f t="array" ref="B17">_xlfn.IFS(LEFT('Monthly Update'!B17, 3) = "*((", "", 'Monthly Update'!B17="", "", TRUE, 'Monthly Update'!B17)</f>
        <v/>
      </c>
      <c r="C17" s="221" t="str" cm="1">
        <f t="array" ref="C17">_xlfn.IFS(LEFT('Monthly Update'!CU17, 3) = "*((", "", 'Monthly Update'!CU17="", "", TRUE, 'Monthly Update'!CU17)</f>
        <v/>
      </c>
      <c r="D17" s="221" t="str" cm="1">
        <f t="array" ref="D17">_xlfn.IFS(LEFT('Monthly Update'!CV17, 3) = "*((", "", 'Monthly Update'!CV17="", "", TRUE, 'Monthly Update'!CV17)</f>
        <v/>
      </c>
      <c r="E17" s="221" t="str" cm="1">
        <f t="array" ref="E17">_xlfn.IFS(LEFT('Monthly Update'!CW17, 3) = "*((", "", 'Monthly Update'!CW17="", "", TRUE, 'Monthly Update'!CW17)</f>
        <v/>
      </c>
      <c r="F17" s="221" t="str" cm="1">
        <f t="array" ref="F17">_xlfn.IFS(LEFT('Monthly Update'!CX17, 3) = "*((", "", 'Monthly Update'!CX17="", "", TRUE, 'Monthly Update'!CX17)</f>
        <v/>
      </c>
      <c r="G17" s="221" t="str" cm="1">
        <f t="array" ref="G17">_xlfn.IFS(LEFT('Monthly Update'!CY17, 3) = "*((", "", 'Monthly Update'!CY17="", "", TRUE, 'Monthly Update'!CY17)</f>
        <v/>
      </c>
      <c r="H17" s="221" t="str" cm="1">
        <f t="array" ref="H17">_xlfn.IFS(LEFT('Monthly Update'!CZ17, 3) = "*((", "", 'Monthly Update'!CZ17="", "", TRUE, 'Monthly Update'!CZ17)</f>
        <v/>
      </c>
      <c r="I17" s="221" t="str" cm="1">
        <f t="array" ref="I17">_xlfn.IFS(LEFT('Monthly Update'!DA17, 3) = "*((", "", 'Monthly Update'!DA17="", "", TRUE, 'Monthly Update'!DA17)</f>
        <v/>
      </c>
      <c r="J17" s="221" t="str" cm="1">
        <f t="array" ref="J17">_xlfn.IFS(LEFT('Monthly Update'!DB17, 3) = "*((", "", 'Monthly Update'!DB17="", "", TRUE, 'Monthly Update'!DB17)</f>
        <v/>
      </c>
      <c r="K17" s="221" t="str" cm="1">
        <f t="array" ref="K17">_xlfn.IFS(LEFT('Monthly Update'!DC17, 3) = "*((", "", 'Monthly Update'!DC17="", "", TRUE, 'Monthly Update'!DC17)</f>
        <v/>
      </c>
      <c r="L17" s="221" t="str" cm="1">
        <f t="array" ref="L17">_xlfn.IFS(LEFT('Monthly Update'!DD17, 3) = "*((", "", 'Monthly Update'!DD17="", "", TRUE, 'Monthly Update'!DD17)</f>
        <v/>
      </c>
      <c r="M17" s="221" t="str" cm="1">
        <f t="array" ref="M17">_xlfn.IFS(LEFT('Monthly Update'!DE17, 3) = "*((", "", 'Monthly Update'!DE17="", "", TRUE, 'Monthly Update'!DE17)</f>
        <v/>
      </c>
      <c r="N17" s="221" t="str" cm="1">
        <f t="array" ref="N17">_xlfn.IFS(LEFT('Monthly Update'!DF17, 3) = "*((", "", 'Monthly Update'!DF17="", "", TRUE, 'Monthly Update'!DF17)</f>
        <v/>
      </c>
      <c r="O17" s="221" t="str" cm="1">
        <f t="array" ref="O17">_xlfn.IFS(LEFT('Monthly Update'!DG17, 3) = "*((", "", 'Monthly Update'!DG17="", "", TRUE, 'Monthly Update'!DG17)</f>
        <v/>
      </c>
      <c r="P17" s="221" t="str" cm="1">
        <f t="array" ref="P17">_xlfn.IFS(LEFT('Monthly Update'!DH17, 3) = "*((", "", 'Monthly Update'!DH17="", "", TRUE, 'Monthly Update'!DH17)</f>
        <v/>
      </c>
      <c r="Q17" s="221" t="str" cm="1">
        <f t="array" ref="Q17">_xlfn.IFS(LEFT('Monthly Update'!DI17, 3) = "*((", "", 'Monthly Update'!DI17="", "", TRUE, 'Monthly Update'!DI17)</f>
        <v/>
      </c>
      <c r="R17" s="221" t="str" cm="1">
        <f t="array" ref="R17">_xlfn.IFS(LEFT('Monthly Update'!DJ17, 3) = "*((", "", 'Monthly Update'!DJ17="", "", TRUE, 'Monthly Update'!DJ17)</f>
        <v/>
      </c>
      <c r="S17" s="221" t="str" cm="1">
        <f t="array" ref="S17">_xlfn.IFS(LEFT('Monthly Update'!DK17, 3) = "*((", "", 'Monthly Update'!DK17="", "", TRUE, 'Monthly Update'!DK17)</f>
        <v/>
      </c>
      <c r="T17" s="221" t="str" cm="1">
        <f t="array" ref="T17">_xlfn.IFS(LEFT('Monthly Update'!DL17, 3) = "*((", "", 'Monthly Update'!DL17="", "", TRUE, 'Monthly Update'!DL17)</f>
        <v/>
      </c>
      <c r="U17" s="221" t="str" cm="1">
        <f t="array" ref="U17">_xlfn.IFS(LEFT('Monthly Update'!DM17, 3) = "*((", "", 'Monthly Update'!DM17="", "", TRUE, 'Monthly Update'!DM17)</f>
        <v/>
      </c>
      <c r="V17" s="221" t="str" cm="1">
        <f t="array" ref="V17">_xlfn.IFS(LEFT('Monthly Update'!DN17, 3) = "*((", "", 'Monthly Update'!DN17="", "", TRUE, 'Monthly Update'!DN17)</f>
        <v/>
      </c>
      <c r="W17" s="221" t="str" cm="1">
        <f t="array" ref="W17">_xlfn.IFS(LEFT('Monthly Update'!DO17, 3) = "*((", "", 'Monthly Update'!DO17="", "", TRUE, 'Monthly Update'!DO17)</f>
        <v/>
      </c>
      <c r="X17" s="221" t="str" cm="1">
        <f t="array" ref="X17">_xlfn.IFS(LEFT('Monthly Update'!DP17, 3) = "*((", "", 'Monthly Update'!DP17="", "", TRUE, 'Monthly Update'!DP17)</f>
        <v/>
      </c>
      <c r="Y17" s="221" t="str" cm="1">
        <f t="array" ref="Y17">_xlfn.IFS(LEFT('Monthly Update'!DQ17, 3) = "*((", "", 'Monthly Update'!DQ17="", "", TRUE, 'Monthly Update'!DQ17)</f>
        <v/>
      </c>
      <c r="Z17" s="221" t="str" cm="1">
        <f t="array" ref="Z17">_xlfn.IFS(LEFT('Monthly Update'!DR17, 3) = "*((", "", 'Monthly Update'!DR17="", "", TRUE, 'Monthly Update'!DR17)</f>
        <v/>
      </c>
      <c r="AA17" s="221" t="str" cm="1">
        <f t="array" ref="AA17">_xlfn.IFS(LEFT('Monthly Update'!DS17, 3) = "*((", "", 'Monthly Update'!DS17="", "", TRUE, 'Monthly Update'!DS17)</f>
        <v/>
      </c>
      <c r="AB17" s="221" t="str" cm="1">
        <f t="array" ref="AB17">_xlfn.IFS(LEFT('Monthly Update'!DT17, 3) = "*((", "", 'Monthly Update'!DT17="", "", TRUE, 'Monthly Update'!DT17)</f>
        <v/>
      </c>
      <c r="AC17" s="221" t="str" cm="1">
        <f t="array" ref="AC17">_xlfn.IFS(LEFT('Monthly Update'!DU17, 3) = "*((", "", 'Monthly Update'!DU17="", "", TRUE, 'Monthly Update'!DU17)</f>
        <v/>
      </c>
      <c r="AD17" s="221" t="str" cm="1">
        <f t="array" ref="AD17">_xlfn.IFS(LEFT('Monthly Update'!DV17, 3) = "*((", "", 'Monthly Update'!DV17="", "", TRUE, 'Monthly Update'!DV17)</f>
        <v/>
      </c>
      <c r="AE17" s="221" t="str" cm="1">
        <f t="array" ref="AE17">_xlfn.IFS(LEFT('Monthly Update'!DW17, 3) = "*((", "", 'Monthly Update'!DW17="", "", TRUE, 'Monthly Update'!DW17)</f>
        <v/>
      </c>
      <c r="AF17" s="221" t="str" cm="1">
        <f t="array" ref="AF17">_xlfn.IFS(LEFT('Monthly Update'!DX17, 3) = "*((", "", 'Monthly Update'!DX17="", "", TRUE, 'Monthly Update'!DX17)</f>
        <v/>
      </c>
      <c r="AG17" s="221" t="str" cm="1">
        <f t="array" ref="AG17">_xlfn.IFS(LEFT('Monthly Update'!DY17, 3) = "*((", "", 'Monthly Update'!DY17="", "", TRUE, 'Monthly Update'!DY17)</f>
        <v/>
      </c>
      <c r="AH17" s="221" t="str" cm="1">
        <f t="array" ref="AH17">_xlfn.IFS(LEFT('Monthly Update'!DZ17, 3) = "*((", "", 'Monthly Update'!DZ17="", "", TRUE, 'Monthly Update'!DZ17)</f>
        <v/>
      </c>
      <c r="AI17" s="221" t="str" cm="1">
        <f t="array" ref="AI17">_xlfn.IFS(LEFT('Monthly Update'!EA17, 3) = "*((", "", 'Monthly Update'!EA17="", "", TRUE, 'Monthly Update'!EA17)</f>
        <v/>
      </c>
      <c r="AJ17" s="221" t="str" cm="1">
        <f t="array" ref="AJ17">_xlfn.IFS(LEFT('Monthly Update'!EB17, 3) = "*((", "", 'Monthly Update'!EB17="", "", TRUE, 'Monthly Update'!EB17)</f>
        <v/>
      </c>
      <c r="AK17" s="221" t="str" cm="1">
        <f t="array" ref="AK17">_xlfn.IFS(LEFT('Monthly Update'!EC17, 3) = "*((", "", 'Monthly Update'!EC17="", "", TRUE, 'Monthly Update'!EC17)</f>
        <v/>
      </c>
      <c r="AL17" s="221" t="str" cm="1">
        <f t="array" ref="AL17">_xlfn.IFS(LEFT('Monthly Update'!ED17, 3) = "*((", "", 'Monthly Update'!ED17="", "", TRUE, 'Monthly Update'!ED17)</f>
        <v/>
      </c>
      <c r="AM17" s="221" t="str" cm="1">
        <f t="array" ref="AM17">_xlfn.IFS(LEFT('Monthly Update'!EE17, 3) = "*((", "", 'Monthly Update'!EE17="", "", TRUE, 'Monthly Update'!EE17)</f>
        <v/>
      </c>
      <c r="AN17" s="221" t="str" cm="1">
        <f t="array" ref="AN17">_xlfn.IFS(LEFT('Monthly Update'!EF17, 3) = "*((", "", 'Monthly Update'!EF17="", "", TRUE, 'Monthly Update'!EF17)</f>
        <v/>
      </c>
      <c r="AO17" s="221" t="str" cm="1">
        <f t="array" ref="AO17">_xlfn.IFS(LEFT('Monthly Update'!EG17, 3) = "*((", "", 'Monthly Update'!EG17="", "", TRUE, 'Monthly Update'!EG17)</f>
        <v/>
      </c>
      <c r="AP17" s="221" t="str" cm="1">
        <f t="array" ref="AP17">_xlfn.IFS(LEFT('Monthly Update'!EH17, 3) = "*((", "", 'Monthly Update'!EH17="", "", TRUE, 'Monthly Update'!EH17)</f>
        <v/>
      </c>
      <c r="AQ17" s="221" t="str" cm="1">
        <f t="array" ref="AQ17">_xlfn.IFS(LEFT('Monthly Update'!EI17, 3) = "*((", "", 'Monthly Update'!EI17="", "", TRUE, 'Monthly Update'!EI17)</f>
        <v/>
      </c>
      <c r="AR17" s="221" t="str" cm="1">
        <f t="array" ref="AR17">_xlfn.IFS(LEFT('Monthly Update'!EJ17, 3) = "*((", "", 'Monthly Update'!EJ17="", "", TRUE, 'Monthly Update'!EJ17)</f>
        <v/>
      </c>
      <c r="AS17" s="221" t="str" cm="1">
        <f t="array" ref="AS17">_xlfn.IFS(LEFT('Monthly Update'!EK17, 3) = "*((", "", 'Monthly Update'!EK17="", "", TRUE, 'Monthly Update'!EK17)</f>
        <v/>
      </c>
      <c r="AT17" s="221" t="str" cm="1">
        <f t="array" ref="AT17">_xlfn.IFS(LEFT('Monthly Update'!EL17, 3) = "*((", "", 'Monthly Update'!EL17="", "", TRUE, 'Monthly Update'!EL17)</f>
        <v/>
      </c>
      <c r="AU17" s="221" t="str" cm="1">
        <f t="array" ref="AU17">_xlfn.IFS(LEFT('Monthly Update'!EM17, 3) = "*((", "", 'Monthly Update'!EM17="", "", TRUE, 'Monthly Update'!EM17)</f>
        <v/>
      </c>
      <c r="AV17" s="221" t="str" cm="1">
        <f t="array" ref="AV17">_xlfn.IFS(LEFT('Monthly Update'!EN17, 3) = "*((", "", 'Monthly Update'!EN17="", "", TRUE, 'Monthly Update'!EN17)</f>
        <v/>
      </c>
      <c r="AW17" s="221" t="str" cm="1">
        <f t="array" ref="AW17">_xlfn.IFS(LEFT('Monthly Update'!EO17, 3) = "*((", "", 'Monthly Update'!EO17="", "", TRUE, 'Monthly Update'!EO17)</f>
        <v/>
      </c>
      <c r="NU17" s="252"/>
      <c r="NV17" s="252"/>
      <c r="NW17" s="252"/>
      <c r="NX17" s="252"/>
      <c r="NY17" s="252"/>
      <c r="NZ17" s="252"/>
      <c r="OA17" s="252"/>
      <c r="OB17" s="252"/>
      <c r="OC17" s="252"/>
      <c r="OD17" s="252"/>
      <c r="OE17" s="252"/>
      <c r="OF17" s="252"/>
      <c r="OG17" s="252"/>
      <c r="OH17" s="252"/>
      <c r="OI17" s="252"/>
      <c r="OJ17" s="252"/>
      <c r="OK17" s="252"/>
      <c r="OL17" s="252"/>
      <c r="OM17" s="252"/>
      <c r="ON17" s="252"/>
      <c r="OO17" s="252"/>
      <c r="OP17" s="252"/>
      <c r="OQ17" s="252"/>
      <c r="OR17" s="252"/>
      <c r="OS17" s="252"/>
      <c r="OT17" s="252"/>
      <c r="OU17" s="252"/>
      <c r="OV17" s="252"/>
      <c r="OW17" s="252"/>
      <c r="OX17" s="252"/>
      <c r="OY17" s="252"/>
      <c r="OZ17" s="252"/>
      <c r="PA17" s="252"/>
      <c r="PB17" s="252"/>
      <c r="PC17" s="252"/>
      <c r="PD17" s="252"/>
      <c r="PE17" s="252"/>
      <c r="PF17" s="252"/>
      <c r="PG17" s="252"/>
      <c r="PH17" s="252"/>
      <c r="PI17" s="252"/>
      <c r="PJ17" s="252"/>
      <c r="PK17" s="252"/>
      <c r="PL17" s="252"/>
      <c r="PM17" s="252"/>
      <c r="PN17" s="252"/>
      <c r="PO17" s="252"/>
      <c r="PP17" s="252"/>
      <c r="PQ17" s="252"/>
      <c r="PR17" s="252"/>
      <c r="PS17" s="252"/>
      <c r="PT17" s="252"/>
      <c r="PU17" s="252"/>
      <c r="PV17" s="252"/>
      <c r="PW17" s="252"/>
      <c r="PX17" s="252"/>
      <c r="PY17" s="252"/>
      <c r="PZ17" s="252"/>
      <c r="QA17" s="252"/>
      <c r="QB17" s="252"/>
      <c r="QC17" s="252"/>
      <c r="QD17" s="252"/>
      <c r="QE17" s="252"/>
      <c r="QF17" s="252"/>
      <c r="QG17" s="252"/>
      <c r="QH17" s="252"/>
      <c r="QI17" s="252"/>
      <c r="QJ17" s="252"/>
      <c r="QK17" s="252"/>
      <c r="QL17" s="252"/>
      <c r="QM17" s="252"/>
      <c r="QN17" s="252"/>
      <c r="QO17" s="252"/>
      <c r="QP17" s="252"/>
      <c r="QQ17" s="252"/>
      <c r="QR17" s="252"/>
      <c r="QS17" s="252"/>
      <c r="QT17" s="252"/>
      <c r="QU17" s="252"/>
      <c r="QV17" s="252"/>
      <c r="QW17" s="252"/>
      <c r="QX17" s="252"/>
      <c r="QY17" s="252"/>
      <c r="QZ17" s="252"/>
      <c r="RA17" s="252"/>
      <c r="RB17" s="252"/>
      <c r="RC17" s="252"/>
      <c r="RD17" s="252"/>
      <c r="RE17" s="252"/>
      <c r="RF17" s="252"/>
      <c r="RG17" s="252"/>
      <c r="RH17" s="252"/>
      <c r="RI17" s="252"/>
      <c r="RJ17" s="252"/>
      <c r="RK17" s="252"/>
      <c r="RL17" s="252"/>
      <c r="RM17" s="252"/>
      <c r="RN17" s="252"/>
      <c r="RO17" s="252"/>
      <c r="RP17" s="252"/>
      <c r="RQ17" s="252"/>
      <c r="RR17" s="252"/>
      <c r="RS17" s="252"/>
      <c r="RT17" s="252"/>
      <c r="RU17" s="252"/>
      <c r="RV17" s="252"/>
      <c r="RW17" s="252"/>
      <c r="RX17" s="252"/>
      <c r="RY17" s="252"/>
      <c r="RZ17" s="252"/>
      <c r="SA17" s="252"/>
      <c r="SB17" s="252"/>
      <c r="SC17" s="252"/>
      <c r="SD17" s="252"/>
      <c r="SE17" s="252"/>
      <c r="SF17" s="252"/>
      <c r="SG17" s="252"/>
      <c r="SH17" s="252"/>
      <c r="SI17" s="252"/>
      <c r="SJ17" s="252"/>
      <c r="SK17" s="252"/>
      <c r="SL17" s="252"/>
      <c r="SM17" s="252"/>
      <c r="SN17" s="252"/>
    </row>
    <row r="18" spans="1:508" s="243" customFormat="1" ht="15.6" customHeight="1" x14ac:dyDescent="0.55000000000000004">
      <c r="A18" s="220" t="str" cm="1">
        <f t="array" ref="A18">_xlfn.IFS(LEFT('Monthly Update'!A18, 3) = "*((", "", 'Monthly Update'!A18="", "", TRUE, 'Monthly Update'!A18)</f>
        <v/>
      </c>
      <c r="B18" s="220" t="str" cm="1">
        <f t="array" ref="B18">_xlfn.IFS(LEFT('Monthly Update'!B18, 3) = "*((", "", 'Monthly Update'!B18="", "", TRUE, 'Monthly Update'!B18)</f>
        <v/>
      </c>
      <c r="C18" s="221" t="str" cm="1">
        <f t="array" ref="C18">_xlfn.IFS(LEFT('Monthly Update'!CU18, 3) = "*((", "", 'Monthly Update'!CU18="", "", TRUE, 'Monthly Update'!CU18)</f>
        <v/>
      </c>
      <c r="D18" s="221" t="str" cm="1">
        <f t="array" ref="D18">_xlfn.IFS(LEFT('Monthly Update'!CV18, 3) = "*((", "", 'Monthly Update'!CV18="", "", TRUE, 'Monthly Update'!CV18)</f>
        <v/>
      </c>
      <c r="E18" s="221" t="str" cm="1">
        <f t="array" ref="E18">_xlfn.IFS(LEFT('Monthly Update'!CW18, 3) = "*((", "", 'Monthly Update'!CW18="", "", TRUE, 'Monthly Update'!CW18)</f>
        <v/>
      </c>
      <c r="F18" s="221" t="str" cm="1">
        <f t="array" ref="F18">_xlfn.IFS(LEFT('Monthly Update'!CX18, 3) = "*((", "", 'Monthly Update'!CX18="", "", TRUE, 'Monthly Update'!CX18)</f>
        <v/>
      </c>
      <c r="G18" s="221" t="str" cm="1">
        <f t="array" ref="G18">_xlfn.IFS(LEFT('Monthly Update'!CY18, 3) = "*((", "", 'Monthly Update'!CY18="", "", TRUE, 'Monthly Update'!CY18)</f>
        <v/>
      </c>
      <c r="H18" s="221" t="str" cm="1">
        <f t="array" ref="H18">_xlfn.IFS(LEFT('Monthly Update'!CZ18, 3) = "*((", "", 'Monthly Update'!CZ18="", "", TRUE, 'Monthly Update'!CZ18)</f>
        <v/>
      </c>
      <c r="I18" s="221" t="str" cm="1">
        <f t="array" ref="I18">_xlfn.IFS(LEFT('Monthly Update'!DA18, 3) = "*((", "", 'Monthly Update'!DA18="", "", TRUE, 'Monthly Update'!DA18)</f>
        <v/>
      </c>
      <c r="J18" s="221" t="str" cm="1">
        <f t="array" ref="J18">_xlfn.IFS(LEFT('Monthly Update'!DB18, 3) = "*((", "", 'Monthly Update'!DB18="", "", TRUE, 'Monthly Update'!DB18)</f>
        <v/>
      </c>
      <c r="K18" s="221" t="str" cm="1">
        <f t="array" ref="K18">_xlfn.IFS(LEFT('Monthly Update'!DC18, 3) = "*((", "", 'Monthly Update'!DC18="", "", TRUE, 'Monthly Update'!DC18)</f>
        <v/>
      </c>
      <c r="L18" s="221" t="str" cm="1">
        <f t="array" ref="L18">_xlfn.IFS(LEFT('Monthly Update'!DD18, 3) = "*((", "", 'Monthly Update'!DD18="", "", TRUE, 'Monthly Update'!DD18)</f>
        <v/>
      </c>
      <c r="M18" s="221" t="str" cm="1">
        <f t="array" ref="M18">_xlfn.IFS(LEFT('Monthly Update'!DE18, 3) = "*((", "", 'Monthly Update'!DE18="", "", TRUE, 'Monthly Update'!DE18)</f>
        <v/>
      </c>
      <c r="N18" s="221" t="str" cm="1">
        <f t="array" ref="N18">_xlfn.IFS(LEFT('Monthly Update'!DF18, 3) = "*((", "", 'Monthly Update'!DF18="", "", TRUE, 'Monthly Update'!DF18)</f>
        <v/>
      </c>
      <c r="O18" s="221" t="str" cm="1">
        <f t="array" ref="O18">_xlfn.IFS(LEFT('Monthly Update'!DG18, 3) = "*((", "", 'Monthly Update'!DG18="", "", TRUE, 'Monthly Update'!DG18)</f>
        <v/>
      </c>
      <c r="P18" s="221" t="str" cm="1">
        <f t="array" ref="P18">_xlfn.IFS(LEFT('Monthly Update'!DH18, 3) = "*((", "", 'Monthly Update'!DH18="", "", TRUE, 'Monthly Update'!DH18)</f>
        <v/>
      </c>
      <c r="Q18" s="221" t="str" cm="1">
        <f t="array" ref="Q18">_xlfn.IFS(LEFT('Monthly Update'!DI18, 3) = "*((", "", 'Monthly Update'!DI18="", "", TRUE, 'Monthly Update'!DI18)</f>
        <v/>
      </c>
      <c r="R18" s="221" t="str" cm="1">
        <f t="array" ref="R18">_xlfn.IFS(LEFT('Monthly Update'!DJ18, 3) = "*((", "", 'Monthly Update'!DJ18="", "", TRUE, 'Monthly Update'!DJ18)</f>
        <v/>
      </c>
      <c r="S18" s="221" t="str" cm="1">
        <f t="array" ref="S18">_xlfn.IFS(LEFT('Monthly Update'!DK18, 3) = "*((", "", 'Monthly Update'!DK18="", "", TRUE, 'Monthly Update'!DK18)</f>
        <v/>
      </c>
      <c r="T18" s="221" t="str" cm="1">
        <f t="array" ref="T18">_xlfn.IFS(LEFT('Monthly Update'!DL18, 3) = "*((", "", 'Monthly Update'!DL18="", "", TRUE, 'Monthly Update'!DL18)</f>
        <v/>
      </c>
      <c r="U18" s="221" t="str" cm="1">
        <f t="array" ref="U18">_xlfn.IFS(LEFT('Monthly Update'!DM18, 3) = "*((", "", 'Monthly Update'!DM18="", "", TRUE, 'Monthly Update'!DM18)</f>
        <v/>
      </c>
      <c r="V18" s="221" t="str" cm="1">
        <f t="array" ref="V18">_xlfn.IFS(LEFT('Monthly Update'!DN18, 3) = "*((", "", 'Monthly Update'!DN18="", "", TRUE, 'Monthly Update'!DN18)</f>
        <v/>
      </c>
      <c r="W18" s="221" t="str" cm="1">
        <f t="array" ref="W18">_xlfn.IFS(LEFT('Monthly Update'!DO18, 3) = "*((", "", 'Monthly Update'!DO18="", "", TRUE, 'Monthly Update'!DO18)</f>
        <v/>
      </c>
      <c r="X18" s="221" t="str" cm="1">
        <f t="array" ref="X18">_xlfn.IFS(LEFT('Monthly Update'!DP18, 3) = "*((", "", 'Monthly Update'!DP18="", "", TRUE, 'Monthly Update'!DP18)</f>
        <v/>
      </c>
      <c r="Y18" s="221" t="str" cm="1">
        <f t="array" ref="Y18">_xlfn.IFS(LEFT('Monthly Update'!DQ18, 3) = "*((", "", 'Monthly Update'!DQ18="", "", TRUE, 'Monthly Update'!DQ18)</f>
        <v/>
      </c>
      <c r="Z18" s="221" t="str" cm="1">
        <f t="array" ref="Z18">_xlfn.IFS(LEFT('Monthly Update'!DR18, 3) = "*((", "", 'Monthly Update'!DR18="", "", TRUE, 'Monthly Update'!DR18)</f>
        <v/>
      </c>
      <c r="AA18" s="221" t="str" cm="1">
        <f t="array" ref="AA18">_xlfn.IFS(LEFT('Monthly Update'!DS18, 3) = "*((", "", 'Monthly Update'!DS18="", "", TRUE, 'Monthly Update'!DS18)</f>
        <v/>
      </c>
      <c r="AB18" s="221" t="str" cm="1">
        <f t="array" ref="AB18">_xlfn.IFS(LEFT('Monthly Update'!DT18, 3) = "*((", "", 'Monthly Update'!DT18="", "", TRUE, 'Monthly Update'!DT18)</f>
        <v/>
      </c>
      <c r="AC18" s="221" t="str" cm="1">
        <f t="array" ref="AC18">_xlfn.IFS(LEFT('Monthly Update'!DU18, 3) = "*((", "", 'Monthly Update'!DU18="", "", TRUE, 'Monthly Update'!DU18)</f>
        <v/>
      </c>
      <c r="AD18" s="221" t="str" cm="1">
        <f t="array" ref="AD18">_xlfn.IFS(LEFT('Monthly Update'!DV18, 3) = "*((", "", 'Monthly Update'!DV18="", "", TRUE, 'Monthly Update'!DV18)</f>
        <v/>
      </c>
      <c r="AE18" s="221" t="str" cm="1">
        <f t="array" ref="AE18">_xlfn.IFS(LEFT('Monthly Update'!DW18, 3) = "*((", "", 'Monthly Update'!DW18="", "", TRUE, 'Monthly Update'!DW18)</f>
        <v/>
      </c>
      <c r="AF18" s="221" t="str" cm="1">
        <f t="array" ref="AF18">_xlfn.IFS(LEFT('Monthly Update'!DX18, 3) = "*((", "", 'Monthly Update'!DX18="", "", TRUE, 'Monthly Update'!DX18)</f>
        <v/>
      </c>
      <c r="AG18" s="221" t="str" cm="1">
        <f t="array" ref="AG18">_xlfn.IFS(LEFT('Monthly Update'!DY18, 3) = "*((", "", 'Monthly Update'!DY18="", "", TRUE, 'Monthly Update'!DY18)</f>
        <v/>
      </c>
      <c r="AH18" s="221" t="str" cm="1">
        <f t="array" ref="AH18">_xlfn.IFS(LEFT('Monthly Update'!DZ18, 3) = "*((", "", 'Monthly Update'!DZ18="", "", TRUE, 'Monthly Update'!DZ18)</f>
        <v/>
      </c>
      <c r="AI18" s="221" t="str" cm="1">
        <f t="array" ref="AI18">_xlfn.IFS(LEFT('Monthly Update'!EA18, 3) = "*((", "", 'Monthly Update'!EA18="", "", TRUE, 'Monthly Update'!EA18)</f>
        <v/>
      </c>
      <c r="AJ18" s="221" t="str" cm="1">
        <f t="array" ref="AJ18">_xlfn.IFS(LEFT('Monthly Update'!EB18, 3) = "*((", "", 'Monthly Update'!EB18="", "", TRUE, 'Monthly Update'!EB18)</f>
        <v/>
      </c>
      <c r="AK18" s="221" t="str" cm="1">
        <f t="array" ref="AK18">_xlfn.IFS(LEFT('Monthly Update'!EC18, 3) = "*((", "", 'Monthly Update'!EC18="", "", TRUE, 'Monthly Update'!EC18)</f>
        <v/>
      </c>
      <c r="AL18" s="221" t="str" cm="1">
        <f t="array" ref="AL18">_xlfn.IFS(LEFT('Monthly Update'!ED18, 3) = "*((", "", 'Monthly Update'!ED18="", "", TRUE, 'Monthly Update'!ED18)</f>
        <v/>
      </c>
      <c r="AM18" s="221" t="str" cm="1">
        <f t="array" ref="AM18">_xlfn.IFS(LEFT('Monthly Update'!EE18, 3) = "*((", "", 'Monthly Update'!EE18="", "", TRUE, 'Monthly Update'!EE18)</f>
        <v/>
      </c>
      <c r="AN18" s="221" t="str" cm="1">
        <f t="array" ref="AN18">_xlfn.IFS(LEFT('Monthly Update'!EF18, 3) = "*((", "", 'Monthly Update'!EF18="", "", TRUE, 'Monthly Update'!EF18)</f>
        <v/>
      </c>
      <c r="AO18" s="221" t="str" cm="1">
        <f t="array" ref="AO18">_xlfn.IFS(LEFT('Monthly Update'!EG18, 3) = "*((", "", 'Monthly Update'!EG18="", "", TRUE, 'Monthly Update'!EG18)</f>
        <v/>
      </c>
      <c r="AP18" s="221" t="str" cm="1">
        <f t="array" ref="AP18">_xlfn.IFS(LEFT('Monthly Update'!EH18, 3) = "*((", "", 'Monthly Update'!EH18="", "", TRUE, 'Monthly Update'!EH18)</f>
        <v/>
      </c>
      <c r="AQ18" s="221" t="str" cm="1">
        <f t="array" ref="AQ18">_xlfn.IFS(LEFT('Monthly Update'!EI18, 3) = "*((", "", 'Monthly Update'!EI18="", "", TRUE, 'Monthly Update'!EI18)</f>
        <v/>
      </c>
      <c r="AR18" s="221" t="str" cm="1">
        <f t="array" ref="AR18">_xlfn.IFS(LEFT('Monthly Update'!EJ18, 3) = "*((", "", 'Monthly Update'!EJ18="", "", TRUE, 'Monthly Update'!EJ18)</f>
        <v/>
      </c>
      <c r="AS18" s="221" t="str" cm="1">
        <f t="array" ref="AS18">_xlfn.IFS(LEFT('Monthly Update'!EK18, 3) = "*((", "", 'Monthly Update'!EK18="", "", TRUE, 'Monthly Update'!EK18)</f>
        <v/>
      </c>
      <c r="AT18" s="221" t="str" cm="1">
        <f t="array" ref="AT18">_xlfn.IFS(LEFT('Monthly Update'!EL18, 3) = "*((", "", 'Monthly Update'!EL18="", "", TRUE, 'Monthly Update'!EL18)</f>
        <v/>
      </c>
      <c r="AU18" s="221" t="str" cm="1">
        <f t="array" ref="AU18">_xlfn.IFS(LEFT('Monthly Update'!EM18, 3) = "*((", "", 'Monthly Update'!EM18="", "", TRUE, 'Monthly Update'!EM18)</f>
        <v/>
      </c>
      <c r="AV18" s="221" t="str" cm="1">
        <f t="array" ref="AV18">_xlfn.IFS(LEFT('Monthly Update'!EN18, 3) = "*((", "", 'Monthly Update'!EN18="", "", TRUE, 'Monthly Update'!EN18)</f>
        <v/>
      </c>
      <c r="AW18" s="221" t="str" cm="1">
        <f t="array" ref="AW18">_xlfn.IFS(LEFT('Monthly Update'!EO18, 3) = "*((", "", 'Monthly Update'!EO18="", "", TRUE, 'Monthly Update'!EO18)</f>
        <v/>
      </c>
      <c r="NU18" s="252"/>
      <c r="NV18" s="252"/>
      <c r="NW18" s="252"/>
      <c r="NX18" s="252"/>
      <c r="NY18" s="252"/>
      <c r="NZ18" s="252"/>
      <c r="OA18" s="252"/>
      <c r="OB18" s="252"/>
      <c r="OC18" s="252"/>
      <c r="OD18" s="252"/>
      <c r="OE18" s="252"/>
      <c r="OF18" s="252"/>
      <c r="OG18" s="252"/>
      <c r="OH18" s="252"/>
      <c r="OI18" s="252"/>
      <c r="OJ18" s="252"/>
      <c r="OK18" s="252"/>
      <c r="OL18" s="252"/>
      <c r="OM18" s="252"/>
      <c r="ON18" s="252"/>
      <c r="OO18" s="252"/>
      <c r="OP18" s="252"/>
      <c r="OQ18" s="252"/>
      <c r="OR18" s="252"/>
      <c r="OS18" s="252"/>
      <c r="OT18" s="252"/>
      <c r="OU18" s="252"/>
      <c r="OV18" s="252"/>
      <c r="OW18" s="252"/>
      <c r="OX18" s="252"/>
      <c r="OY18" s="252"/>
      <c r="OZ18" s="252"/>
      <c r="PA18" s="252"/>
      <c r="PB18" s="252"/>
      <c r="PC18" s="252"/>
      <c r="PD18" s="252"/>
      <c r="PE18" s="252"/>
      <c r="PF18" s="252"/>
      <c r="PG18" s="252"/>
      <c r="PH18" s="252"/>
      <c r="PI18" s="252"/>
      <c r="PJ18" s="252"/>
      <c r="PK18" s="252"/>
      <c r="PL18" s="252"/>
      <c r="PM18" s="252"/>
      <c r="PN18" s="252"/>
      <c r="PO18" s="252"/>
      <c r="PP18" s="252"/>
      <c r="PQ18" s="252"/>
      <c r="PR18" s="252"/>
      <c r="PS18" s="252"/>
      <c r="PT18" s="252"/>
      <c r="PU18" s="252"/>
      <c r="PV18" s="252"/>
      <c r="PW18" s="252"/>
      <c r="PX18" s="252"/>
      <c r="PY18" s="252"/>
      <c r="PZ18" s="252"/>
      <c r="QA18" s="252"/>
      <c r="QB18" s="252"/>
      <c r="QC18" s="252"/>
      <c r="QD18" s="252"/>
      <c r="QE18" s="252"/>
      <c r="QF18" s="252"/>
      <c r="QG18" s="252"/>
      <c r="QH18" s="252"/>
      <c r="QI18" s="252"/>
      <c r="QJ18" s="252"/>
      <c r="QK18" s="252"/>
      <c r="QL18" s="252"/>
      <c r="QM18" s="252"/>
      <c r="QN18" s="252"/>
      <c r="QO18" s="252"/>
      <c r="QP18" s="252"/>
      <c r="QQ18" s="252"/>
      <c r="QR18" s="252"/>
      <c r="QS18" s="252"/>
      <c r="QT18" s="252"/>
      <c r="QU18" s="252"/>
      <c r="QV18" s="252"/>
      <c r="QW18" s="252"/>
      <c r="QX18" s="252"/>
      <c r="QY18" s="252"/>
      <c r="QZ18" s="252"/>
      <c r="RA18" s="252"/>
      <c r="RB18" s="252"/>
      <c r="RC18" s="252"/>
      <c r="RD18" s="252"/>
      <c r="RE18" s="252"/>
      <c r="RF18" s="252"/>
      <c r="RG18" s="252"/>
      <c r="RH18" s="252"/>
      <c r="RI18" s="252"/>
      <c r="RJ18" s="252"/>
      <c r="RK18" s="252"/>
      <c r="RL18" s="252"/>
      <c r="RM18" s="252"/>
      <c r="RN18" s="252"/>
      <c r="RO18" s="252"/>
      <c r="RP18" s="252"/>
      <c r="RQ18" s="252"/>
      <c r="RR18" s="252"/>
      <c r="RS18" s="252"/>
      <c r="RT18" s="252"/>
      <c r="RU18" s="252"/>
      <c r="RV18" s="252"/>
      <c r="RW18" s="252"/>
      <c r="RX18" s="252"/>
      <c r="RY18" s="252"/>
      <c r="RZ18" s="252"/>
      <c r="SA18" s="252"/>
      <c r="SB18" s="252"/>
      <c r="SC18" s="252"/>
      <c r="SD18" s="252"/>
      <c r="SE18" s="252"/>
      <c r="SF18" s="252"/>
      <c r="SG18" s="252"/>
      <c r="SH18" s="252"/>
      <c r="SI18" s="252"/>
      <c r="SJ18" s="252"/>
      <c r="SK18" s="252"/>
      <c r="SL18" s="252"/>
      <c r="SM18" s="252"/>
      <c r="SN18" s="252"/>
    </row>
    <row r="19" spans="1:508" s="243" customFormat="1" ht="15.6" customHeight="1" x14ac:dyDescent="0.55000000000000004">
      <c r="A19" s="220" t="str" cm="1">
        <f t="array" ref="A19">_xlfn.IFS(LEFT('Monthly Update'!A19, 3) = "*((", "", 'Monthly Update'!A19="", "", TRUE, 'Monthly Update'!A19)</f>
        <v/>
      </c>
      <c r="B19" s="220" t="str" cm="1">
        <f t="array" ref="B19">_xlfn.IFS(LEFT('Monthly Update'!B19, 3) = "*((", "", 'Monthly Update'!B19="", "", TRUE, 'Monthly Update'!B19)</f>
        <v/>
      </c>
      <c r="C19" s="221" t="str" cm="1">
        <f t="array" ref="C19">_xlfn.IFS(LEFT('Monthly Update'!CU19, 3) = "*((", "", 'Monthly Update'!CU19="", "", TRUE, 'Monthly Update'!CU19)</f>
        <v/>
      </c>
      <c r="D19" s="221" t="str" cm="1">
        <f t="array" ref="D19">_xlfn.IFS(LEFT('Monthly Update'!CV19, 3) = "*((", "", 'Monthly Update'!CV19="", "", TRUE, 'Monthly Update'!CV19)</f>
        <v/>
      </c>
      <c r="E19" s="221" t="str" cm="1">
        <f t="array" ref="E19">_xlfn.IFS(LEFT('Monthly Update'!CW19, 3) = "*((", "", 'Monthly Update'!CW19="", "", TRUE, 'Monthly Update'!CW19)</f>
        <v/>
      </c>
      <c r="F19" s="221" t="str" cm="1">
        <f t="array" ref="F19">_xlfn.IFS(LEFT('Monthly Update'!CX19, 3) = "*((", "", 'Monthly Update'!CX19="", "", TRUE, 'Monthly Update'!CX19)</f>
        <v/>
      </c>
      <c r="G19" s="221" t="str" cm="1">
        <f t="array" ref="G19">_xlfn.IFS(LEFT('Monthly Update'!CY19, 3) = "*((", "", 'Monthly Update'!CY19="", "", TRUE, 'Monthly Update'!CY19)</f>
        <v/>
      </c>
      <c r="H19" s="221" t="str" cm="1">
        <f t="array" ref="H19">_xlfn.IFS(LEFT('Monthly Update'!CZ19, 3) = "*((", "", 'Monthly Update'!CZ19="", "", TRUE, 'Monthly Update'!CZ19)</f>
        <v/>
      </c>
      <c r="I19" s="221" t="str" cm="1">
        <f t="array" ref="I19">_xlfn.IFS(LEFT('Monthly Update'!DA19, 3) = "*((", "", 'Monthly Update'!DA19="", "", TRUE, 'Monthly Update'!DA19)</f>
        <v/>
      </c>
      <c r="J19" s="221" t="str" cm="1">
        <f t="array" ref="J19">_xlfn.IFS(LEFT('Monthly Update'!DB19, 3) = "*((", "", 'Monthly Update'!DB19="", "", TRUE, 'Monthly Update'!DB19)</f>
        <v/>
      </c>
      <c r="K19" s="221" t="str" cm="1">
        <f t="array" ref="K19">_xlfn.IFS(LEFT('Monthly Update'!DC19, 3) = "*((", "", 'Monthly Update'!DC19="", "", TRUE, 'Monthly Update'!DC19)</f>
        <v/>
      </c>
      <c r="L19" s="221" t="str" cm="1">
        <f t="array" ref="L19">_xlfn.IFS(LEFT('Monthly Update'!DD19, 3) = "*((", "", 'Monthly Update'!DD19="", "", TRUE, 'Monthly Update'!DD19)</f>
        <v/>
      </c>
      <c r="M19" s="221" t="str" cm="1">
        <f t="array" ref="M19">_xlfn.IFS(LEFT('Monthly Update'!DE19, 3) = "*((", "", 'Monthly Update'!DE19="", "", TRUE, 'Monthly Update'!DE19)</f>
        <v/>
      </c>
      <c r="N19" s="221" t="str" cm="1">
        <f t="array" ref="N19">_xlfn.IFS(LEFT('Monthly Update'!DF19, 3) = "*((", "", 'Monthly Update'!DF19="", "", TRUE, 'Monthly Update'!DF19)</f>
        <v/>
      </c>
      <c r="O19" s="221" t="str" cm="1">
        <f t="array" ref="O19">_xlfn.IFS(LEFT('Monthly Update'!DG19, 3) = "*((", "", 'Monthly Update'!DG19="", "", TRUE, 'Monthly Update'!DG19)</f>
        <v/>
      </c>
      <c r="P19" s="221" t="str" cm="1">
        <f t="array" ref="P19">_xlfn.IFS(LEFT('Monthly Update'!DH19, 3) = "*((", "", 'Monthly Update'!DH19="", "", TRUE, 'Monthly Update'!DH19)</f>
        <v/>
      </c>
      <c r="Q19" s="221" t="str" cm="1">
        <f t="array" ref="Q19">_xlfn.IFS(LEFT('Monthly Update'!DI19, 3) = "*((", "", 'Monthly Update'!DI19="", "", TRUE, 'Monthly Update'!DI19)</f>
        <v/>
      </c>
      <c r="R19" s="221" t="str" cm="1">
        <f t="array" ref="R19">_xlfn.IFS(LEFT('Monthly Update'!DJ19, 3) = "*((", "", 'Monthly Update'!DJ19="", "", TRUE, 'Monthly Update'!DJ19)</f>
        <v/>
      </c>
      <c r="S19" s="221" t="str" cm="1">
        <f t="array" ref="S19">_xlfn.IFS(LEFT('Monthly Update'!DK19, 3) = "*((", "", 'Monthly Update'!DK19="", "", TRUE, 'Monthly Update'!DK19)</f>
        <v/>
      </c>
      <c r="T19" s="221" t="str" cm="1">
        <f t="array" ref="T19">_xlfn.IFS(LEFT('Monthly Update'!DL19, 3) = "*((", "", 'Monthly Update'!DL19="", "", TRUE, 'Monthly Update'!DL19)</f>
        <v/>
      </c>
      <c r="U19" s="221" t="str" cm="1">
        <f t="array" ref="U19">_xlfn.IFS(LEFT('Monthly Update'!DM19, 3) = "*((", "", 'Monthly Update'!DM19="", "", TRUE, 'Monthly Update'!DM19)</f>
        <v/>
      </c>
      <c r="V19" s="221" t="str" cm="1">
        <f t="array" ref="V19">_xlfn.IFS(LEFT('Monthly Update'!DN19, 3) = "*((", "", 'Monthly Update'!DN19="", "", TRUE, 'Monthly Update'!DN19)</f>
        <v/>
      </c>
      <c r="W19" s="221" t="str" cm="1">
        <f t="array" ref="W19">_xlfn.IFS(LEFT('Monthly Update'!DO19, 3) = "*((", "", 'Monthly Update'!DO19="", "", TRUE, 'Monthly Update'!DO19)</f>
        <v/>
      </c>
      <c r="X19" s="221" t="str" cm="1">
        <f t="array" ref="X19">_xlfn.IFS(LEFT('Monthly Update'!DP19, 3) = "*((", "", 'Monthly Update'!DP19="", "", TRUE, 'Monthly Update'!DP19)</f>
        <v/>
      </c>
      <c r="Y19" s="221" t="str" cm="1">
        <f t="array" ref="Y19">_xlfn.IFS(LEFT('Monthly Update'!DQ19, 3) = "*((", "", 'Monthly Update'!DQ19="", "", TRUE, 'Monthly Update'!DQ19)</f>
        <v/>
      </c>
      <c r="Z19" s="221" t="str" cm="1">
        <f t="array" ref="Z19">_xlfn.IFS(LEFT('Monthly Update'!DR19, 3) = "*((", "", 'Monthly Update'!DR19="", "", TRUE, 'Monthly Update'!DR19)</f>
        <v/>
      </c>
      <c r="AA19" s="221" t="str" cm="1">
        <f t="array" ref="AA19">_xlfn.IFS(LEFT('Monthly Update'!DS19, 3) = "*((", "", 'Monthly Update'!DS19="", "", TRUE, 'Monthly Update'!DS19)</f>
        <v/>
      </c>
      <c r="AB19" s="221" t="str" cm="1">
        <f t="array" ref="AB19">_xlfn.IFS(LEFT('Monthly Update'!DT19, 3) = "*((", "", 'Monthly Update'!DT19="", "", TRUE, 'Monthly Update'!DT19)</f>
        <v/>
      </c>
      <c r="AC19" s="221" t="str" cm="1">
        <f t="array" ref="AC19">_xlfn.IFS(LEFT('Monthly Update'!DU19, 3) = "*((", "", 'Monthly Update'!DU19="", "", TRUE, 'Monthly Update'!DU19)</f>
        <v/>
      </c>
      <c r="AD19" s="221" t="str" cm="1">
        <f t="array" ref="AD19">_xlfn.IFS(LEFT('Monthly Update'!DV19, 3) = "*((", "", 'Monthly Update'!DV19="", "", TRUE, 'Monthly Update'!DV19)</f>
        <v/>
      </c>
      <c r="AE19" s="221" t="str" cm="1">
        <f t="array" ref="AE19">_xlfn.IFS(LEFT('Monthly Update'!DW19, 3) = "*((", "", 'Monthly Update'!DW19="", "", TRUE, 'Monthly Update'!DW19)</f>
        <v/>
      </c>
      <c r="AF19" s="221" t="str" cm="1">
        <f t="array" ref="AF19">_xlfn.IFS(LEFT('Monthly Update'!DX19, 3) = "*((", "", 'Monthly Update'!DX19="", "", TRUE, 'Monthly Update'!DX19)</f>
        <v/>
      </c>
      <c r="AG19" s="221" t="str" cm="1">
        <f t="array" ref="AG19">_xlfn.IFS(LEFT('Monthly Update'!DY19, 3) = "*((", "", 'Monthly Update'!DY19="", "", TRUE, 'Monthly Update'!DY19)</f>
        <v/>
      </c>
      <c r="AH19" s="221" t="str" cm="1">
        <f t="array" ref="AH19">_xlfn.IFS(LEFT('Monthly Update'!DZ19, 3) = "*((", "", 'Monthly Update'!DZ19="", "", TRUE, 'Monthly Update'!DZ19)</f>
        <v/>
      </c>
      <c r="AI19" s="221" t="str" cm="1">
        <f t="array" ref="AI19">_xlfn.IFS(LEFT('Monthly Update'!EA19, 3) = "*((", "", 'Monthly Update'!EA19="", "", TRUE, 'Monthly Update'!EA19)</f>
        <v/>
      </c>
      <c r="AJ19" s="221" t="str" cm="1">
        <f t="array" ref="AJ19">_xlfn.IFS(LEFT('Monthly Update'!EB19, 3) = "*((", "", 'Monthly Update'!EB19="", "", TRUE, 'Monthly Update'!EB19)</f>
        <v/>
      </c>
      <c r="AK19" s="221" t="str" cm="1">
        <f t="array" ref="AK19">_xlfn.IFS(LEFT('Monthly Update'!EC19, 3) = "*((", "", 'Monthly Update'!EC19="", "", TRUE, 'Monthly Update'!EC19)</f>
        <v/>
      </c>
      <c r="AL19" s="221" t="str" cm="1">
        <f t="array" ref="AL19">_xlfn.IFS(LEFT('Monthly Update'!ED19, 3) = "*((", "", 'Monthly Update'!ED19="", "", TRUE, 'Monthly Update'!ED19)</f>
        <v/>
      </c>
      <c r="AM19" s="221" t="str" cm="1">
        <f t="array" ref="AM19">_xlfn.IFS(LEFT('Monthly Update'!EE19, 3) = "*((", "", 'Monthly Update'!EE19="", "", TRUE, 'Monthly Update'!EE19)</f>
        <v/>
      </c>
      <c r="AN19" s="221" t="str" cm="1">
        <f t="array" ref="AN19">_xlfn.IFS(LEFT('Monthly Update'!EF19, 3) = "*((", "", 'Monthly Update'!EF19="", "", TRUE, 'Monthly Update'!EF19)</f>
        <v/>
      </c>
      <c r="AO19" s="221" t="str" cm="1">
        <f t="array" ref="AO19">_xlfn.IFS(LEFT('Monthly Update'!EG19, 3) = "*((", "", 'Monthly Update'!EG19="", "", TRUE, 'Monthly Update'!EG19)</f>
        <v/>
      </c>
      <c r="AP19" s="221" t="str" cm="1">
        <f t="array" ref="AP19">_xlfn.IFS(LEFT('Monthly Update'!EH19, 3) = "*((", "", 'Monthly Update'!EH19="", "", TRUE, 'Monthly Update'!EH19)</f>
        <v/>
      </c>
      <c r="AQ19" s="221" t="str" cm="1">
        <f t="array" ref="AQ19">_xlfn.IFS(LEFT('Monthly Update'!EI19, 3) = "*((", "", 'Monthly Update'!EI19="", "", TRUE, 'Monthly Update'!EI19)</f>
        <v/>
      </c>
      <c r="AR19" s="221" t="str" cm="1">
        <f t="array" ref="AR19">_xlfn.IFS(LEFT('Monthly Update'!EJ19, 3) = "*((", "", 'Monthly Update'!EJ19="", "", TRUE, 'Monthly Update'!EJ19)</f>
        <v/>
      </c>
      <c r="AS19" s="221" t="str" cm="1">
        <f t="array" ref="AS19">_xlfn.IFS(LEFT('Monthly Update'!EK19, 3) = "*((", "", 'Monthly Update'!EK19="", "", TRUE, 'Monthly Update'!EK19)</f>
        <v/>
      </c>
      <c r="AT19" s="221" t="str" cm="1">
        <f t="array" ref="AT19">_xlfn.IFS(LEFT('Monthly Update'!EL19, 3) = "*((", "", 'Monthly Update'!EL19="", "", TRUE, 'Monthly Update'!EL19)</f>
        <v/>
      </c>
      <c r="AU19" s="221" t="str" cm="1">
        <f t="array" ref="AU19">_xlfn.IFS(LEFT('Monthly Update'!EM19, 3) = "*((", "", 'Monthly Update'!EM19="", "", TRUE, 'Monthly Update'!EM19)</f>
        <v/>
      </c>
      <c r="AV19" s="221" t="str" cm="1">
        <f t="array" ref="AV19">_xlfn.IFS(LEFT('Monthly Update'!EN19, 3) = "*((", "", 'Monthly Update'!EN19="", "", TRUE, 'Monthly Update'!EN19)</f>
        <v/>
      </c>
      <c r="AW19" s="221" t="str" cm="1">
        <f t="array" ref="AW19">_xlfn.IFS(LEFT('Monthly Update'!EO19, 3) = "*((", "", 'Monthly Update'!EO19="", "", TRUE, 'Monthly Update'!EO19)</f>
        <v/>
      </c>
      <c r="NU19" s="252"/>
      <c r="NV19" s="252"/>
      <c r="NW19" s="252"/>
      <c r="NX19" s="252"/>
      <c r="NY19" s="252"/>
      <c r="NZ19" s="252"/>
      <c r="OA19" s="252"/>
      <c r="OB19" s="252"/>
      <c r="OC19" s="252"/>
      <c r="OD19" s="252"/>
      <c r="OE19" s="252"/>
      <c r="OF19" s="252"/>
      <c r="OG19" s="252"/>
      <c r="OH19" s="252"/>
      <c r="OI19" s="252"/>
      <c r="OJ19" s="252"/>
      <c r="OK19" s="252"/>
      <c r="OL19" s="252"/>
      <c r="OM19" s="252"/>
      <c r="ON19" s="252"/>
      <c r="OO19" s="252"/>
      <c r="OP19" s="252"/>
      <c r="OQ19" s="252"/>
      <c r="OR19" s="252"/>
      <c r="OS19" s="252"/>
      <c r="OT19" s="252"/>
      <c r="OU19" s="252"/>
      <c r="OV19" s="252"/>
      <c r="OW19" s="252"/>
      <c r="OX19" s="252"/>
      <c r="OY19" s="252"/>
      <c r="OZ19" s="252"/>
      <c r="PA19" s="252"/>
      <c r="PB19" s="252"/>
      <c r="PC19" s="252"/>
      <c r="PD19" s="252"/>
      <c r="PE19" s="252"/>
      <c r="PF19" s="252"/>
      <c r="PG19" s="252"/>
      <c r="PH19" s="252"/>
      <c r="PI19" s="252"/>
      <c r="PJ19" s="252"/>
      <c r="PK19" s="252"/>
      <c r="PL19" s="252"/>
      <c r="PM19" s="252"/>
      <c r="PN19" s="252"/>
      <c r="PO19" s="252"/>
      <c r="PP19" s="252"/>
      <c r="PQ19" s="252"/>
      <c r="PR19" s="252"/>
      <c r="PS19" s="252"/>
      <c r="PT19" s="252"/>
      <c r="PU19" s="252"/>
      <c r="PV19" s="252"/>
      <c r="PW19" s="252"/>
      <c r="PX19" s="252"/>
      <c r="PY19" s="252"/>
      <c r="PZ19" s="252"/>
      <c r="QA19" s="252"/>
      <c r="QB19" s="252"/>
      <c r="QC19" s="252"/>
      <c r="QD19" s="252"/>
      <c r="QE19" s="252"/>
      <c r="QF19" s="252"/>
      <c r="QG19" s="252"/>
      <c r="QH19" s="252"/>
      <c r="QI19" s="252"/>
      <c r="QJ19" s="252"/>
      <c r="QK19" s="252"/>
      <c r="QL19" s="252"/>
      <c r="QM19" s="252"/>
      <c r="QN19" s="252"/>
      <c r="QO19" s="252"/>
      <c r="QP19" s="252"/>
      <c r="QQ19" s="252"/>
      <c r="QR19" s="252"/>
      <c r="QS19" s="252"/>
      <c r="QT19" s="252"/>
      <c r="QU19" s="252"/>
      <c r="QV19" s="252"/>
      <c r="QW19" s="252"/>
      <c r="QX19" s="252"/>
      <c r="QY19" s="252"/>
      <c r="QZ19" s="252"/>
      <c r="RA19" s="252"/>
      <c r="RB19" s="252"/>
      <c r="RC19" s="252"/>
      <c r="RD19" s="252"/>
      <c r="RE19" s="252"/>
      <c r="RF19" s="252"/>
      <c r="RG19" s="252"/>
      <c r="RH19" s="252"/>
      <c r="RI19" s="252"/>
      <c r="RJ19" s="252"/>
      <c r="RK19" s="252"/>
      <c r="RL19" s="252"/>
      <c r="RM19" s="252"/>
      <c r="RN19" s="252"/>
      <c r="RO19" s="252"/>
      <c r="RP19" s="252"/>
      <c r="RQ19" s="252"/>
      <c r="RR19" s="252"/>
      <c r="RS19" s="252"/>
      <c r="RT19" s="252"/>
      <c r="RU19" s="252"/>
      <c r="RV19" s="252"/>
      <c r="RW19" s="252"/>
      <c r="RX19" s="252"/>
      <c r="RY19" s="252"/>
      <c r="RZ19" s="252"/>
      <c r="SA19" s="252"/>
      <c r="SB19" s="252"/>
      <c r="SC19" s="252"/>
      <c r="SD19" s="252"/>
      <c r="SE19" s="252"/>
      <c r="SF19" s="252"/>
      <c r="SG19" s="252"/>
      <c r="SH19" s="252"/>
      <c r="SI19" s="252"/>
      <c r="SJ19" s="252"/>
      <c r="SK19" s="252"/>
      <c r="SL19" s="252"/>
      <c r="SM19" s="252"/>
      <c r="SN19" s="252"/>
    </row>
    <row r="20" spans="1:508" s="243" customFormat="1" ht="15.6" customHeight="1" x14ac:dyDescent="0.55000000000000004">
      <c r="A20" s="220" t="str" cm="1">
        <f t="array" ref="A20">_xlfn.IFS(LEFT('Monthly Update'!A20, 3) = "*((", "", 'Monthly Update'!A20="", "", TRUE, 'Monthly Update'!A20)</f>
        <v/>
      </c>
      <c r="B20" s="220" t="str" cm="1">
        <f t="array" ref="B20">_xlfn.IFS(LEFT('Monthly Update'!B20, 3) = "*((", "", 'Monthly Update'!B20="", "", TRUE, 'Monthly Update'!B20)</f>
        <v/>
      </c>
      <c r="C20" s="221" t="str" cm="1">
        <f t="array" ref="C20">_xlfn.IFS(LEFT('Monthly Update'!CU20, 3) = "*((", "", 'Monthly Update'!CU20="", "", TRUE, 'Monthly Update'!CU20)</f>
        <v/>
      </c>
      <c r="D20" s="221" t="str" cm="1">
        <f t="array" ref="D20">_xlfn.IFS(LEFT('Monthly Update'!CV20, 3) = "*((", "", 'Monthly Update'!CV20="", "", TRUE, 'Monthly Update'!CV20)</f>
        <v/>
      </c>
      <c r="E20" s="221" t="str" cm="1">
        <f t="array" ref="E20">_xlfn.IFS(LEFT('Monthly Update'!CW20, 3) = "*((", "", 'Monthly Update'!CW20="", "", TRUE, 'Monthly Update'!CW20)</f>
        <v/>
      </c>
      <c r="F20" s="221" t="str" cm="1">
        <f t="array" ref="F20">_xlfn.IFS(LEFT('Monthly Update'!CX20, 3) = "*((", "", 'Monthly Update'!CX20="", "", TRUE, 'Monthly Update'!CX20)</f>
        <v/>
      </c>
      <c r="G20" s="221" t="str" cm="1">
        <f t="array" ref="G20">_xlfn.IFS(LEFT('Monthly Update'!CY20, 3) = "*((", "", 'Monthly Update'!CY20="", "", TRUE, 'Monthly Update'!CY20)</f>
        <v/>
      </c>
      <c r="H20" s="221" t="str" cm="1">
        <f t="array" ref="H20">_xlfn.IFS(LEFT('Monthly Update'!CZ20, 3) = "*((", "", 'Monthly Update'!CZ20="", "", TRUE, 'Monthly Update'!CZ20)</f>
        <v/>
      </c>
      <c r="I20" s="221" t="str" cm="1">
        <f t="array" ref="I20">_xlfn.IFS(LEFT('Monthly Update'!DA20, 3) = "*((", "", 'Monthly Update'!DA20="", "", TRUE, 'Monthly Update'!DA20)</f>
        <v/>
      </c>
      <c r="J20" s="221" t="str" cm="1">
        <f t="array" ref="J20">_xlfn.IFS(LEFT('Monthly Update'!DB20, 3) = "*((", "", 'Monthly Update'!DB20="", "", TRUE, 'Monthly Update'!DB20)</f>
        <v/>
      </c>
      <c r="K20" s="221" t="str" cm="1">
        <f t="array" ref="K20">_xlfn.IFS(LEFT('Monthly Update'!DC20, 3) = "*((", "", 'Monthly Update'!DC20="", "", TRUE, 'Monthly Update'!DC20)</f>
        <v/>
      </c>
      <c r="L20" s="221" t="str" cm="1">
        <f t="array" ref="L20">_xlfn.IFS(LEFT('Monthly Update'!DD20, 3) = "*((", "", 'Monthly Update'!DD20="", "", TRUE, 'Monthly Update'!DD20)</f>
        <v/>
      </c>
      <c r="M20" s="221" t="str" cm="1">
        <f t="array" ref="M20">_xlfn.IFS(LEFT('Monthly Update'!DE20, 3) = "*((", "", 'Monthly Update'!DE20="", "", TRUE, 'Monthly Update'!DE20)</f>
        <v/>
      </c>
      <c r="N20" s="221" t="str" cm="1">
        <f t="array" ref="N20">_xlfn.IFS(LEFT('Monthly Update'!DF20, 3) = "*((", "", 'Monthly Update'!DF20="", "", TRUE, 'Monthly Update'!DF20)</f>
        <v/>
      </c>
      <c r="O20" s="221" t="str" cm="1">
        <f t="array" ref="O20">_xlfn.IFS(LEFT('Monthly Update'!DG20, 3) = "*((", "", 'Monthly Update'!DG20="", "", TRUE, 'Monthly Update'!DG20)</f>
        <v/>
      </c>
      <c r="P20" s="221" t="str" cm="1">
        <f t="array" ref="P20">_xlfn.IFS(LEFT('Monthly Update'!DH20, 3) = "*((", "", 'Monthly Update'!DH20="", "", TRUE, 'Monthly Update'!DH20)</f>
        <v/>
      </c>
      <c r="Q20" s="221" t="str" cm="1">
        <f t="array" ref="Q20">_xlfn.IFS(LEFT('Monthly Update'!DI20, 3) = "*((", "", 'Monthly Update'!DI20="", "", TRUE, 'Monthly Update'!DI20)</f>
        <v/>
      </c>
      <c r="R20" s="221" t="str" cm="1">
        <f t="array" ref="R20">_xlfn.IFS(LEFT('Monthly Update'!DJ20, 3) = "*((", "", 'Monthly Update'!DJ20="", "", TRUE, 'Monthly Update'!DJ20)</f>
        <v/>
      </c>
      <c r="S20" s="221" t="str" cm="1">
        <f t="array" ref="S20">_xlfn.IFS(LEFT('Monthly Update'!DK20, 3) = "*((", "", 'Monthly Update'!DK20="", "", TRUE, 'Monthly Update'!DK20)</f>
        <v/>
      </c>
      <c r="T20" s="221" t="str" cm="1">
        <f t="array" ref="T20">_xlfn.IFS(LEFT('Monthly Update'!DL20, 3) = "*((", "", 'Monthly Update'!DL20="", "", TRUE, 'Monthly Update'!DL20)</f>
        <v/>
      </c>
      <c r="U20" s="221" t="str" cm="1">
        <f t="array" ref="U20">_xlfn.IFS(LEFT('Monthly Update'!DM20, 3) = "*((", "", 'Monthly Update'!DM20="", "", TRUE, 'Monthly Update'!DM20)</f>
        <v/>
      </c>
      <c r="V20" s="221" t="str" cm="1">
        <f t="array" ref="V20">_xlfn.IFS(LEFT('Monthly Update'!DN20, 3) = "*((", "", 'Monthly Update'!DN20="", "", TRUE, 'Monthly Update'!DN20)</f>
        <v/>
      </c>
      <c r="W20" s="221" t="str" cm="1">
        <f t="array" ref="W20">_xlfn.IFS(LEFT('Monthly Update'!DO20, 3) = "*((", "", 'Monthly Update'!DO20="", "", TRUE, 'Monthly Update'!DO20)</f>
        <v/>
      </c>
      <c r="X20" s="221" t="str" cm="1">
        <f t="array" ref="X20">_xlfn.IFS(LEFT('Monthly Update'!DP20, 3) = "*((", "", 'Monthly Update'!DP20="", "", TRUE, 'Monthly Update'!DP20)</f>
        <v/>
      </c>
      <c r="Y20" s="221" t="str" cm="1">
        <f t="array" ref="Y20">_xlfn.IFS(LEFT('Monthly Update'!DQ20, 3) = "*((", "", 'Monthly Update'!DQ20="", "", TRUE, 'Monthly Update'!DQ20)</f>
        <v/>
      </c>
      <c r="Z20" s="221" t="str" cm="1">
        <f t="array" ref="Z20">_xlfn.IFS(LEFT('Monthly Update'!DR20, 3) = "*((", "", 'Monthly Update'!DR20="", "", TRUE, 'Monthly Update'!DR20)</f>
        <v/>
      </c>
      <c r="AA20" s="221" t="str" cm="1">
        <f t="array" ref="AA20">_xlfn.IFS(LEFT('Monthly Update'!DS20, 3) = "*((", "", 'Monthly Update'!DS20="", "", TRUE, 'Monthly Update'!DS20)</f>
        <v/>
      </c>
      <c r="AB20" s="221" t="str" cm="1">
        <f t="array" ref="AB20">_xlfn.IFS(LEFT('Monthly Update'!DT20, 3) = "*((", "", 'Monthly Update'!DT20="", "", TRUE, 'Monthly Update'!DT20)</f>
        <v/>
      </c>
      <c r="AC20" s="221" t="str" cm="1">
        <f t="array" ref="AC20">_xlfn.IFS(LEFT('Monthly Update'!DU20, 3) = "*((", "", 'Monthly Update'!DU20="", "", TRUE, 'Monthly Update'!DU20)</f>
        <v/>
      </c>
      <c r="AD20" s="221" t="str" cm="1">
        <f t="array" ref="AD20">_xlfn.IFS(LEFT('Monthly Update'!DV20, 3) = "*((", "", 'Monthly Update'!DV20="", "", TRUE, 'Monthly Update'!DV20)</f>
        <v/>
      </c>
      <c r="AE20" s="221" t="str" cm="1">
        <f t="array" ref="AE20">_xlfn.IFS(LEFT('Monthly Update'!DW20, 3) = "*((", "", 'Monthly Update'!DW20="", "", TRUE, 'Monthly Update'!DW20)</f>
        <v/>
      </c>
      <c r="AF20" s="221" t="str" cm="1">
        <f t="array" ref="AF20">_xlfn.IFS(LEFT('Monthly Update'!DX20, 3) = "*((", "", 'Monthly Update'!DX20="", "", TRUE, 'Monthly Update'!DX20)</f>
        <v/>
      </c>
      <c r="AG20" s="221" t="str" cm="1">
        <f t="array" ref="AG20">_xlfn.IFS(LEFT('Monthly Update'!DY20, 3) = "*((", "", 'Monthly Update'!DY20="", "", TRUE, 'Monthly Update'!DY20)</f>
        <v/>
      </c>
      <c r="AH20" s="221" t="str" cm="1">
        <f t="array" ref="AH20">_xlfn.IFS(LEFT('Monthly Update'!DZ20, 3) = "*((", "", 'Monthly Update'!DZ20="", "", TRUE, 'Monthly Update'!DZ20)</f>
        <v/>
      </c>
      <c r="AI20" s="221" t="str" cm="1">
        <f t="array" ref="AI20">_xlfn.IFS(LEFT('Monthly Update'!EA20, 3) = "*((", "", 'Monthly Update'!EA20="", "", TRUE, 'Monthly Update'!EA20)</f>
        <v/>
      </c>
      <c r="AJ20" s="221" t="str" cm="1">
        <f t="array" ref="AJ20">_xlfn.IFS(LEFT('Monthly Update'!EB20, 3) = "*((", "", 'Monthly Update'!EB20="", "", TRUE, 'Monthly Update'!EB20)</f>
        <v/>
      </c>
      <c r="AK20" s="221" t="str" cm="1">
        <f t="array" ref="AK20">_xlfn.IFS(LEFT('Monthly Update'!EC20, 3) = "*((", "", 'Monthly Update'!EC20="", "", TRUE, 'Monthly Update'!EC20)</f>
        <v/>
      </c>
      <c r="AL20" s="221" t="str" cm="1">
        <f t="array" ref="AL20">_xlfn.IFS(LEFT('Monthly Update'!ED20, 3) = "*((", "", 'Monthly Update'!ED20="", "", TRUE, 'Monthly Update'!ED20)</f>
        <v/>
      </c>
      <c r="AM20" s="221" t="str" cm="1">
        <f t="array" ref="AM20">_xlfn.IFS(LEFT('Monthly Update'!EE20, 3) = "*((", "", 'Monthly Update'!EE20="", "", TRUE, 'Monthly Update'!EE20)</f>
        <v/>
      </c>
      <c r="AN20" s="221" t="str" cm="1">
        <f t="array" ref="AN20">_xlfn.IFS(LEFT('Monthly Update'!EF20, 3) = "*((", "", 'Monthly Update'!EF20="", "", TRUE, 'Monthly Update'!EF20)</f>
        <v/>
      </c>
      <c r="AO20" s="221" t="str" cm="1">
        <f t="array" ref="AO20">_xlfn.IFS(LEFT('Monthly Update'!EG20, 3) = "*((", "", 'Monthly Update'!EG20="", "", TRUE, 'Monthly Update'!EG20)</f>
        <v/>
      </c>
      <c r="AP20" s="221" t="str" cm="1">
        <f t="array" ref="AP20">_xlfn.IFS(LEFT('Monthly Update'!EH20, 3) = "*((", "", 'Monthly Update'!EH20="", "", TRUE, 'Monthly Update'!EH20)</f>
        <v/>
      </c>
      <c r="AQ20" s="221" t="str" cm="1">
        <f t="array" ref="AQ20">_xlfn.IFS(LEFT('Monthly Update'!EI20, 3) = "*((", "", 'Monthly Update'!EI20="", "", TRUE, 'Monthly Update'!EI20)</f>
        <v/>
      </c>
      <c r="AR20" s="221" t="str" cm="1">
        <f t="array" ref="AR20">_xlfn.IFS(LEFT('Monthly Update'!EJ20, 3) = "*((", "", 'Monthly Update'!EJ20="", "", TRUE, 'Monthly Update'!EJ20)</f>
        <v/>
      </c>
      <c r="AS20" s="221" t="str" cm="1">
        <f t="array" ref="AS20">_xlfn.IFS(LEFT('Monthly Update'!EK20, 3) = "*((", "", 'Monthly Update'!EK20="", "", TRUE, 'Monthly Update'!EK20)</f>
        <v/>
      </c>
      <c r="AT20" s="221" t="str" cm="1">
        <f t="array" ref="AT20">_xlfn.IFS(LEFT('Monthly Update'!EL20, 3) = "*((", "", 'Monthly Update'!EL20="", "", TRUE, 'Monthly Update'!EL20)</f>
        <v/>
      </c>
      <c r="AU20" s="221" t="str" cm="1">
        <f t="array" ref="AU20">_xlfn.IFS(LEFT('Monthly Update'!EM20, 3) = "*((", "", 'Monthly Update'!EM20="", "", TRUE, 'Monthly Update'!EM20)</f>
        <v/>
      </c>
      <c r="AV20" s="221" t="str" cm="1">
        <f t="array" ref="AV20">_xlfn.IFS(LEFT('Monthly Update'!EN20, 3) = "*((", "", 'Monthly Update'!EN20="", "", TRUE, 'Monthly Update'!EN20)</f>
        <v/>
      </c>
      <c r="AW20" s="221" t="str" cm="1">
        <f t="array" ref="AW20">_xlfn.IFS(LEFT('Monthly Update'!EO20, 3) = "*((", "", 'Monthly Update'!EO20="", "", TRUE, 'Monthly Update'!EO20)</f>
        <v/>
      </c>
      <c r="NU20" s="252"/>
      <c r="NV20" s="252"/>
      <c r="NW20" s="252"/>
      <c r="NX20" s="252"/>
      <c r="NY20" s="252"/>
      <c r="NZ20" s="252"/>
      <c r="OA20" s="252"/>
      <c r="OB20" s="252"/>
      <c r="OC20" s="252"/>
      <c r="OD20" s="252"/>
      <c r="OE20" s="252"/>
      <c r="OF20" s="252"/>
      <c r="OG20" s="252"/>
      <c r="OH20" s="252"/>
      <c r="OI20" s="252"/>
      <c r="OJ20" s="252"/>
      <c r="OK20" s="252"/>
      <c r="OL20" s="252"/>
      <c r="OM20" s="252"/>
      <c r="ON20" s="252"/>
      <c r="OO20" s="252"/>
      <c r="OP20" s="252"/>
      <c r="OQ20" s="252"/>
      <c r="OR20" s="252"/>
      <c r="OS20" s="252"/>
      <c r="OT20" s="252"/>
      <c r="OU20" s="252"/>
      <c r="OV20" s="252"/>
      <c r="OW20" s="252"/>
      <c r="OX20" s="252"/>
      <c r="OY20" s="252"/>
      <c r="OZ20" s="252"/>
      <c r="PA20" s="252"/>
      <c r="PB20" s="252"/>
      <c r="PC20" s="252"/>
      <c r="PD20" s="252"/>
      <c r="PE20" s="252"/>
      <c r="PF20" s="252"/>
      <c r="PG20" s="252"/>
      <c r="PH20" s="252"/>
      <c r="PI20" s="252"/>
      <c r="PJ20" s="252"/>
      <c r="PK20" s="252"/>
      <c r="PL20" s="252"/>
      <c r="PM20" s="252"/>
      <c r="PN20" s="252"/>
      <c r="PO20" s="252"/>
      <c r="PP20" s="252"/>
      <c r="PQ20" s="252"/>
      <c r="PR20" s="252"/>
      <c r="PS20" s="252"/>
      <c r="PT20" s="252"/>
      <c r="PU20" s="252"/>
      <c r="PV20" s="252"/>
      <c r="PW20" s="252"/>
      <c r="PX20" s="252"/>
      <c r="PY20" s="252"/>
      <c r="PZ20" s="252"/>
      <c r="QA20" s="252"/>
      <c r="QB20" s="252"/>
      <c r="QC20" s="252"/>
      <c r="QD20" s="252"/>
      <c r="QE20" s="252"/>
      <c r="QF20" s="252"/>
      <c r="QG20" s="252"/>
      <c r="QH20" s="252"/>
      <c r="QI20" s="252"/>
      <c r="QJ20" s="252"/>
      <c r="QK20" s="252"/>
      <c r="QL20" s="252"/>
      <c r="QM20" s="252"/>
      <c r="QN20" s="252"/>
      <c r="QO20" s="252"/>
      <c r="QP20" s="252"/>
      <c r="QQ20" s="252"/>
      <c r="QR20" s="252"/>
      <c r="QS20" s="252"/>
      <c r="QT20" s="252"/>
      <c r="QU20" s="252"/>
      <c r="QV20" s="252"/>
      <c r="QW20" s="252"/>
      <c r="QX20" s="252"/>
      <c r="QY20" s="252"/>
      <c r="QZ20" s="252"/>
      <c r="RA20" s="252"/>
      <c r="RB20" s="252"/>
      <c r="RC20" s="252"/>
      <c r="RD20" s="252"/>
      <c r="RE20" s="252"/>
      <c r="RF20" s="252"/>
      <c r="RG20" s="252"/>
      <c r="RH20" s="252"/>
      <c r="RI20" s="252"/>
      <c r="RJ20" s="252"/>
      <c r="RK20" s="252"/>
      <c r="RL20" s="252"/>
      <c r="RM20" s="252"/>
      <c r="RN20" s="252"/>
      <c r="RO20" s="252"/>
      <c r="RP20" s="252"/>
      <c r="RQ20" s="252"/>
      <c r="RR20" s="252"/>
      <c r="RS20" s="252"/>
      <c r="RT20" s="252"/>
      <c r="RU20" s="252"/>
      <c r="RV20" s="252"/>
      <c r="RW20" s="252"/>
      <c r="RX20" s="252"/>
      <c r="RY20" s="252"/>
      <c r="RZ20" s="252"/>
      <c r="SA20" s="252"/>
      <c r="SB20" s="252"/>
      <c r="SC20" s="252"/>
      <c r="SD20" s="252"/>
      <c r="SE20" s="252"/>
      <c r="SF20" s="252"/>
      <c r="SG20" s="252"/>
      <c r="SH20" s="252"/>
      <c r="SI20" s="252"/>
      <c r="SJ20" s="252"/>
      <c r="SK20" s="252"/>
      <c r="SL20" s="252"/>
      <c r="SM20" s="252"/>
      <c r="SN20" s="252"/>
    </row>
    <row r="21" spans="1:508" s="243" customFormat="1" ht="15.6" customHeight="1" x14ac:dyDescent="0.55000000000000004">
      <c r="A21" s="220" t="str" cm="1">
        <f t="array" ref="A21">_xlfn.IFS(LEFT('Monthly Update'!A21, 3) = "*((", "", 'Monthly Update'!A21="", "", TRUE, 'Monthly Update'!A21)</f>
        <v/>
      </c>
      <c r="B21" s="220" t="str" cm="1">
        <f t="array" ref="B21">_xlfn.IFS(LEFT('Monthly Update'!B21, 3) = "*((", "", 'Monthly Update'!B21="", "", TRUE, 'Monthly Update'!B21)</f>
        <v/>
      </c>
      <c r="C21" s="221" t="str" cm="1">
        <f t="array" ref="C21">_xlfn.IFS(LEFT('Monthly Update'!CU21, 3) = "*((", "", 'Monthly Update'!CU21="", "", TRUE, 'Monthly Update'!CU21)</f>
        <v/>
      </c>
      <c r="D21" s="221" t="str" cm="1">
        <f t="array" ref="D21">_xlfn.IFS(LEFT('Monthly Update'!CV21, 3) = "*((", "", 'Monthly Update'!CV21="", "", TRUE, 'Monthly Update'!CV21)</f>
        <v/>
      </c>
      <c r="E21" s="221" t="str" cm="1">
        <f t="array" ref="E21">_xlfn.IFS(LEFT('Monthly Update'!CW21, 3) = "*((", "", 'Monthly Update'!CW21="", "", TRUE, 'Monthly Update'!CW21)</f>
        <v/>
      </c>
      <c r="F21" s="221" t="str" cm="1">
        <f t="array" ref="F21">_xlfn.IFS(LEFT('Monthly Update'!CX21, 3) = "*((", "", 'Monthly Update'!CX21="", "", TRUE, 'Monthly Update'!CX21)</f>
        <v/>
      </c>
      <c r="G21" s="221" t="str" cm="1">
        <f t="array" ref="G21">_xlfn.IFS(LEFT('Monthly Update'!CY21, 3) = "*((", "", 'Monthly Update'!CY21="", "", TRUE, 'Monthly Update'!CY21)</f>
        <v/>
      </c>
      <c r="H21" s="221" t="str" cm="1">
        <f t="array" ref="H21">_xlfn.IFS(LEFT('Monthly Update'!CZ21, 3) = "*((", "", 'Monthly Update'!CZ21="", "", TRUE, 'Monthly Update'!CZ21)</f>
        <v/>
      </c>
      <c r="I21" s="221" t="str" cm="1">
        <f t="array" ref="I21">_xlfn.IFS(LEFT('Monthly Update'!DA21, 3) = "*((", "", 'Monthly Update'!DA21="", "", TRUE, 'Monthly Update'!DA21)</f>
        <v/>
      </c>
      <c r="J21" s="221" t="str" cm="1">
        <f t="array" ref="J21">_xlfn.IFS(LEFT('Monthly Update'!DB21, 3) = "*((", "", 'Monthly Update'!DB21="", "", TRUE, 'Monthly Update'!DB21)</f>
        <v/>
      </c>
      <c r="K21" s="221" t="str" cm="1">
        <f t="array" ref="K21">_xlfn.IFS(LEFT('Monthly Update'!DC21, 3) = "*((", "", 'Monthly Update'!DC21="", "", TRUE, 'Monthly Update'!DC21)</f>
        <v/>
      </c>
      <c r="L21" s="221" t="str" cm="1">
        <f t="array" ref="L21">_xlfn.IFS(LEFT('Monthly Update'!DD21, 3) = "*((", "", 'Monthly Update'!DD21="", "", TRUE, 'Monthly Update'!DD21)</f>
        <v/>
      </c>
      <c r="M21" s="221" t="str" cm="1">
        <f t="array" ref="M21">_xlfn.IFS(LEFT('Monthly Update'!DE21, 3) = "*((", "", 'Monthly Update'!DE21="", "", TRUE, 'Monthly Update'!DE21)</f>
        <v/>
      </c>
      <c r="N21" s="221" t="str" cm="1">
        <f t="array" ref="N21">_xlfn.IFS(LEFT('Monthly Update'!DF21, 3) = "*((", "", 'Monthly Update'!DF21="", "", TRUE, 'Monthly Update'!DF21)</f>
        <v/>
      </c>
      <c r="O21" s="221" t="str" cm="1">
        <f t="array" ref="O21">_xlfn.IFS(LEFT('Monthly Update'!DG21, 3) = "*((", "", 'Monthly Update'!DG21="", "", TRUE, 'Monthly Update'!DG21)</f>
        <v/>
      </c>
      <c r="P21" s="221" t="str" cm="1">
        <f t="array" ref="P21">_xlfn.IFS(LEFT('Monthly Update'!DH21, 3) = "*((", "", 'Monthly Update'!DH21="", "", TRUE, 'Monthly Update'!DH21)</f>
        <v/>
      </c>
      <c r="Q21" s="221" t="str" cm="1">
        <f t="array" ref="Q21">_xlfn.IFS(LEFT('Monthly Update'!DI21, 3) = "*((", "", 'Monthly Update'!DI21="", "", TRUE, 'Monthly Update'!DI21)</f>
        <v/>
      </c>
      <c r="R21" s="221" t="str" cm="1">
        <f t="array" ref="R21">_xlfn.IFS(LEFT('Monthly Update'!DJ21, 3) = "*((", "", 'Monthly Update'!DJ21="", "", TRUE, 'Monthly Update'!DJ21)</f>
        <v/>
      </c>
      <c r="S21" s="221" t="str" cm="1">
        <f t="array" ref="S21">_xlfn.IFS(LEFT('Monthly Update'!DK21, 3) = "*((", "", 'Monthly Update'!DK21="", "", TRUE, 'Monthly Update'!DK21)</f>
        <v/>
      </c>
      <c r="T21" s="221" t="str" cm="1">
        <f t="array" ref="T21">_xlfn.IFS(LEFT('Monthly Update'!DL21, 3) = "*((", "", 'Monthly Update'!DL21="", "", TRUE, 'Monthly Update'!DL21)</f>
        <v/>
      </c>
      <c r="U21" s="221" t="str" cm="1">
        <f t="array" ref="U21">_xlfn.IFS(LEFT('Monthly Update'!DM21, 3) = "*((", "", 'Monthly Update'!DM21="", "", TRUE, 'Monthly Update'!DM21)</f>
        <v/>
      </c>
      <c r="V21" s="221" t="str" cm="1">
        <f t="array" ref="V21">_xlfn.IFS(LEFT('Monthly Update'!DN21, 3) = "*((", "", 'Monthly Update'!DN21="", "", TRUE, 'Monthly Update'!DN21)</f>
        <v/>
      </c>
      <c r="W21" s="221" t="str" cm="1">
        <f t="array" ref="W21">_xlfn.IFS(LEFT('Monthly Update'!DO21, 3) = "*((", "", 'Monthly Update'!DO21="", "", TRUE, 'Monthly Update'!DO21)</f>
        <v/>
      </c>
      <c r="X21" s="221" t="str" cm="1">
        <f t="array" ref="X21">_xlfn.IFS(LEFT('Monthly Update'!DP21, 3) = "*((", "", 'Monthly Update'!DP21="", "", TRUE, 'Monthly Update'!DP21)</f>
        <v/>
      </c>
      <c r="Y21" s="221" t="str" cm="1">
        <f t="array" ref="Y21">_xlfn.IFS(LEFT('Monthly Update'!DQ21, 3) = "*((", "", 'Monthly Update'!DQ21="", "", TRUE, 'Monthly Update'!DQ21)</f>
        <v/>
      </c>
      <c r="Z21" s="221" t="str" cm="1">
        <f t="array" ref="Z21">_xlfn.IFS(LEFT('Monthly Update'!DR21, 3) = "*((", "", 'Monthly Update'!DR21="", "", TRUE, 'Monthly Update'!DR21)</f>
        <v/>
      </c>
      <c r="AA21" s="221" t="str" cm="1">
        <f t="array" ref="AA21">_xlfn.IFS(LEFT('Monthly Update'!DS21, 3) = "*((", "", 'Monthly Update'!DS21="", "", TRUE, 'Monthly Update'!DS21)</f>
        <v/>
      </c>
      <c r="AB21" s="221" t="str" cm="1">
        <f t="array" ref="AB21">_xlfn.IFS(LEFT('Monthly Update'!DT21, 3) = "*((", "", 'Monthly Update'!DT21="", "", TRUE, 'Monthly Update'!DT21)</f>
        <v/>
      </c>
      <c r="AC21" s="221" t="str" cm="1">
        <f t="array" ref="AC21">_xlfn.IFS(LEFT('Monthly Update'!DU21, 3) = "*((", "", 'Monthly Update'!DU21="", "", TRUE, 'Monthly Update'!DU21)</f>
        <v/>
      </c>
      <c r="AD21" s="221" t="str" cm="1">
        <f t="array" ref="AD21">_xlfn.IFS(LEFT('Monthly Update'!DV21, 3) = "*((", "", 'Monthly Update'!DV21="", "", TRUE, 'Monthly Update'!DV21)</f>
        <v/>
      </c>
      <c r="AE21" s="221" t="str" cm="1">
        <f t="array" ref="AE21">_xlfn.IFS(LEFT('Monthly Update'!DW21, 3) = "*((", "", 'Monthly Update'!DW21="", "", TRUE, 'Monthly Update'!DW21)</f>
        <v/>
      </c>
      <c r="AF21" s="221" t="str" cm="1">
        <f t="array" ref="AF21">_xlfn.IFS(LEFT('Monthly Update'!DX21, 3) = "*((", "", 'Monthly Update'!DX21="", "", TRUE, 'Monthly Update'!DX21)</f>
        <v/>
      </c>
      <c r="AG21" s="221" t="str" cm="1">
        <f t="array" ref="AG21">_xlfn.IFS(LEFT('Monthly Update'!DY21, 3) = "*((", "", 'Monthly Update'!DY21="", "", TRUE, 'Monthly Update'!DY21)</f>
        <v/>
      </c>
      <c r="AH21" s="221" t="str" cm="1">
        <f t="array" ref="AH21">_xlfn.IFS(LEFT('Monthly Update'!DZ21, 3) = "*((", "", 'Monthly Update'!DZ21="", "", TRUE, 'Monthly Update'!DZ21)</f>
        <v/>
      </c>
      <c r="AI21" s="221" t="str" cm="1">
        <f t="array" ref="AI21">_xlfn.IFS(LEFT('Monthly Update'!EA21, 3) = "*((", "", 'Monthly Update'!EA21="", "", TRUE, 'Monthly Update'!EA21)</f>
        <v/>
      </c>
      <c r="AJ21" s="221" t="str" cm="1">
        <f t="array" ref="AJ21">_xlfn.IFS(LEFT('Monthly Update'!EB21, 3) = "*((", "", 'Monthly Update'!EB21="", "", TRUE, 'Monthly Update'!EB21)</f>
        <v/>
      </c>
      <c r="AK21" s="221" t="str" cm="1">
        <f t="array" ref="AK21">_xlfn.IFS(LEFT('Monthly Update'!EC21, 3) = "*((", "", 'Monthly Update'!EC21="", "", TRUE, 'Monthly Update'!EC21)</f>
        <v/>
      </c>
      <c r="AL21" s="221" t="str" cm="1">
        <f t="array" ref="AL21">_xlfn.IFS(LEFT('Monthly Update'!ED21, 3) = "*((", "", 'Monthly Update'!ED21="", "", TRUE, 'Monthly Update'!ED21)</f>
        <v/>
      </c>
      <c r="AM21" s="221" t="str" cm="1">
        <f t="array" ref="AM21">_xlfn.IFS(LEFT('Monthly Update'!EE21, 3) = "*((", "", 'Monthly Update'!EE21="", "", TRUE, 'Monthly Update'!EE21)</f>
        <v/>
      </c>
      <c r="AN21" s="221" t="str" cm="1">
        <f t="array" ref="AN21">_xlfn.IFS(LEFT('Monthly Update'!EF21, 3) = "*((", "", 'Monthly Update'!EF21="", "", TRUE, 'Monthly Update'!EF21)</f>
        <v/>
      </c>
      <c r="AO21" s="221" t="str" cm="1">
        <f t="array" ref="AO21">_xlfn.IFS(LEFT('Monthly Update'!EG21, 3) = "*((", "", 'Monthly Update'!EG21="", "", TRUE, 'Monthly Update'!EG21)</f>
        <v/>
      </c>
      <c r="AP21" s="221" t="str" cm="1">
        <f t="array" ref="AP21">_xlfn.IFS(LEFT('Monthly Update'!EH21, 3) = "*((", "", 'Monthly Update'!EH21="", "", TRUE, 'Monthly Update'!EH21)</f>
        <v/>
      </c>
      <c r="AQ21" s="221" t="str" cm="1">
        <f t="array" ref="AQ21">_xlfn.IFS(LEFT('Monthly Update'!EI21, 3) = "*((", "", 'Monthly Update'!EI21="", "", TRUE, 'Monthly Update'!EI21)</f>
        <v/>
      </c>
      <c r="AR21" s="221" t="str" cm="1">
        <f t="array" ref="AR21">_xlfn.IFS(LEFT('Monthly Update'!EJ21, 3) = "*((", "", 'Monthly Update'!EJ21="", "", TRUE, 'Monthly Update'!EJ21)</f>
        <v/>
      </c>
      <c r="AS21" s="221" t="str" cm="1">
        <f t="array" ref="AS21">_xlfn.IFS(LEFT('Monthly Update'!EK21, 3) = "*((", "", 'Monthly Update'!EK21="", "", TRUE, 'Monthly Update'!EK21)</f>
        <v/>
      </c>
      <c r="AT21" s="221" t="str" cm="1">
        <f t="array" ref="AT21">_xlfn.IFS(LEFT('Monthly Update'!EL21, 3) = "*((", "", 'Monthly Update'!EL21="", "", TRUE, 'Monthly Update'!EL21)</f>
        <v/>
      </c>
      <c r="AU21" s="221" t="str" cm="1">
        <f t="array" ref="AU21">_xlfn.IFS(LEFT('Monthly Update'!EM21, 3) = "*((", "", 'Monthly Update'!EM21="", "", TRUE, 'Monthly Update'!EM21)</f>
        <v/>
      </c>
      <c r="AV21" s="221" t="str" cm="1">
        <f t="array" ref="AV21">_xlfn.IFS(LEFT('Monthly Update'!EN21, 3) = "*((", "", 'Monthly Update'!EN21="", "", TRUE, 'Monthly Update'!EN21)</f>
        <v/>
      </c>
      <c r="AW21" s="221" t="str" cm="1">
        <f t="array" ref="AW21">_xlfn.IFS(LEFT('Monthly Update'!EO21, 3) = "*((", "", 'Monthly Update'!EO21="", "", TRUE, 'Monthly Update'!EO21)</f>
        <v/>
      </c>
      <c r="NU21" s="252"/>
      <c r="NV21" s="252"/>
      <c r="NW21" s="252"/>
      <c r="NX21" s="252"/>
      <c r="NY21" s="252"/>
      <c r="NZ21" s="252"/>
      <c r="OA21" s="252"/>
      <c r="OB21" s="252"/>
      <c r="OC21" s="252"/>
      <c r="OD21" s="252"/>
      <c r="OE21" s="252"/>
      <c r="OF21" s="252"/>
      <c r="OG21" s="252"/>
      <c r="OH21" s="252"/>
      <c r="OI21" s="252"/>
      <c r="OJ21" s="252"/>
      <c r="OK21" s="252"/>
      <c r="OL21" s="252"/>
      <c r="OM21" s="252"/>
      <c r="ON21" s="252"/>
      <c r="OO21" s="252"/>
      <c r="OP21" s="252"/>
      <c r="OQ21" s="252"/>
      <c r="OR21" s="252"/>
      <c r="OS21" s="252"/>
      <c r="OT21" s="252"/>
      <c r="OU21" s="252"/>
      <c r="OV21" s="252"/>
      <c r="OW21" s="252"/>
      <c r="OX21" s="252"/>
      <c r="OY21" s="252"/>
      <c r="OZ21" s="252"/>
      <c r="PA21" s="252"/>
      <c r="PB21" s="252"/>
      <c r="PC21" s="252"/>
      <c r="PD21" s="252"/>
      <c r="PE21" s="252"/>
      <c r="PF21" s="252"/>
      <c r="PG21" s="252"/>
      <c r="PH21" s="252"/>
      <c r="PI21" s="252"/>
      <c r="PJ21" s="252"/>
      <c r="PK21" s="252"/>
      <c r="PL21" s="252"/>
      <c r="PM21" s="252"/>
      <c r="PN21" s="252"/>
      <c r="PO21" s="252"/>
      <c r="PP21" s="252"/>
      <c r="PQ21" s="252"/>
      <c r="PR21" s="252"/>
      <c r="PS21" s="252"/>
      <c r="PT21" s="252"/>
      <c r="PU21" s="252"/>
      <c r="PV21" s="252"/>
      <c r="PW21" s="252"/>
      <c r="PX21" s="252"/>
      <c r="PY21" s="252"/>
      <c r="PZ21" s="252"/>
      <c r="QA21" s="252"/>
      <c r="QB21" s="252"/>
      <c r="QC21" s="252"/>
      <c r="QD21" s="252"/>
      <c r="QE21" s="252"/>
      <c r="QF21" s="252"/>
      <c r="QG21" s="252"/>
      <c r="QH21" s="252"/>
      <c r="QI21" s="252"/>
      <c r="QJ21" s="252"/>
      <c r="QK21" s="252"/>
      <c r="QL21" s="252"/>
      <c r="QM21" s="252"/>
      <c r="QN21" s="252"/>
      <c r="QO21" s="252"/>
      <c r="QP21" s="252"/>
      <c r="QQ21" s="252"/>
      <c r="QR21" s="252"/>
      <c r="QS21" s="252"/>
      <c r="QT21" s="252"/>
      <c r="QU21" s="252"/>
      <c r="QV21" s="252"/>
      <c r="QW21" s="252"/>
      <c r="QX21" s="252"/>
      <c r="QY21" s="252"/>
      <c r="QZ21" s="252"/>
      <c r="RA21" s="252"/>
      <c r="RB21" s="252"/>
      <c r="RC21" s="252"/>
      <c r="RD21" s="252"/>
      <c r="RE21" s="252"/>
      <c r="RF21" s="252"/>
      <c r="RG21" s="252"/>
      <c r="RH21" s="252"/>
      <c r="RI21" s="252"/>
      <c r="RJ21" s="252"/>
      <c r="RK21" s="252"/>
      <c r="RL21" s="252"/>
      <c r="RM21" s="252"/>
      <c r="RN21" s="252"/>
      <c r="RO21" s="252"/>
      <c r="RP21" s="252"/>
      <c r="RQ21" s="252"/>
      <c r="RR21" s="252"/>
      <c r="RS21" s="252"/>
      <c r="RT21" s="252"/>
      <c r="RU21" s="252"/>
      <c r="RV21" s="252"/>
      <c r="RW21" s="252"/>
      <c r="RX21" s="252"/>
      <c r="RY21" s="252"/>
      <c r="RZ21" s="252"/>
      <c r="SA21" s="252"/>
      <c r="SB21" s="252"/>
      <c r="SC21" s="252"/>
      <c r="SD21" s="252"/>
      <c r="SE21" s="252"/>
      <c r="SF21" s="252"/>
      <c r="SG21" s="252"/>
      <c r="SH21" s="252"/>
      <c r="SI21" s="252"/>
      <c r="SJ21" s="252"/>
      <c r="SK21" s="252"/>
      <c r="SL21" s="252"/>
      <c r="SM21" s="252"/>
      <c r="SN21" s="252"/>
    </row>
    <row r="22" spans="1:508" s="243" customFormat="1" ht="15.6" customHeight="1" x14ac:dyDescent="0.55000000000000004">
      <c r="A22" s="220" t="str" cm="1">
        <f t="array" ref="A22">_xlfn.IFS(LEFT('Monthly Update'!A22, 3) = "*((", "", 'Monthly Update'!A22="", "", TRUE, 'Monthly Update'!A22)</f>
        <v/>
      </c>
      <c r="B22" s="220" t="str" cm="1">
        <f t="array" ref="B22">_xlfn.IFS(LEFT('Monthly Update'!B22, 3) = "*((", "", 'Monthly Update'!B22="", "", TRUE, 'Monthly Update'!B22)</f>
        <v/>
      </c>
      <c r="C22" s="221" t="str" cm="1">
        <f t="array" ref="C22">_xlfn.IFS(LEFT('Monthly Update'!CU22, 3) = "*((", "", 'Monthly Update'!CU22="", "", TRUE, 'Monthly Update'!CU22)</f>
        <v/>
      </c>
      <c r="D22" s="221" t="str" cm="1">
        <f t="array" ref="D22">_xlfn.IFS(LEFT('Monthly Update'!CV22, 3) = "*((", "", 'Monthly Update'!CV22="", "", TRUE, 'Monthly Update'!CV22)</f>
        <v/>
      </c>
      <c r="E22" s="221" t="str" cm="1">
        <f t="array" ref="E22">_xlfn.IFS(LEFT('Monthly Update'!CW22, 3) = "*((", "", 'Monthly Update'!CW22="", "", TRUE, 'Monthly Update'!CW22)</f>
        <v/>
      </c>
      <c r="F22" s="221" t="str" cm="1">
        <f t="array" ref="F22">_xlfn.IFS(LEFT('Monthly Update'!CX22, 3) = "*((", "", 'Monthly Update'!CX22="", "", TRUE, 'Monthly Update'!CX22)</f>
        <v/>
      </c>
      <c r="G22" s="221" t="str" cm="1">
        <f t="array" ref="G22">_xlfn.IFS(LEFT('Monthly Update'!CY22, 3) = "*((", "", 'Monthly Update'!CY22="", "", TRUE, 'Monthly Update'!CY22)</f>
        <v/>
      </c>
      <c r="H22" s="221" t="str" cm="1">
        <f t="array" ref="H22">_xlfn.IFS(LEFT('Monthly Update'!CZ22, 3) = "*((", "", 'Monthly Update'!CZ22="", "", TRUE, 'Monthly Update'!CZ22)</f>
        <v/>
      </c>
      <c r="I22" s="221" t="str" cm="1">
        <f t="array" ref="I22">_xlfn.IFS(LEFT('Monthly Update'!DA22, 3) = "*((", "", 'Monthly Update'!DA22="", "", TRUE, 'Monthly Update'!DA22)</f>
        <v/>
      </c>
      <c r="J22" s="221" t="str" cm="1">
        <f t="array" ref="J22">_xlfn.IFS(LEFT('Monthly Update'!DB22, 3) = "*((", "", 'Monthly Update'!DB22="", "", TRUE, 'Monthly Update'!DB22)</f>
        <v/>
      </c>
      <c r="K22" s="221" t="str" cm="1">
        <f t="array" ref="K22">_xlfn.IFS(LEFT('Monthly Update'!DC22, 3) = "*((", "", 'Monthly Update'!DC22="", "", TRUE, 'Monthly Update'!DC22)</f>
        <v/>
      </c>
      <c r="L22" s="221" t="str" cm="1">
        <f t="array" ref="L22">_xlfn.IFS(LEFT('Monthly Update'!DD22, 3) = "*((", "", 'Monthly Update'!DD22="", "", TRUE, 'Monthly Update'!DD22)</f>
        <v/>
      </c>
      <c r="M22" s="221" t="str" cm="1">
        <f t="array" ref="M22">_xlfn.IFS(LEFT('Monthly Update'!DE22, 3) = "*((", "", 'Monthly Update'!DE22="", "", TRUE, 'Monthly Update'!DE22)</f>
        <v/>
      </c>
      <c r="N22" s="221" t="str" cm="1">
        <f t="array" ref="N22">_xlfn.IFS(LEFT('Monthly Update'!DF22, 3) = "*((", "", 'Monthly Update'!DF22="", "", TRUE, 'Monthly Update'!DF22)</f>
        <v/>
      </c>
      <c r="O22" s="221" t="str" cm="1">
        <f t="array" ref="O22">_xlfn.IFS(LEFT('Monthly Update'!DG22, 3) = "*((", "", 'Monthly Update'!DG22="", "", TRUE, 'Monthly Update'!DG22)</f>
        <v/>
      </c>
      <c r="P22" s="221" t="str" cm="1">
        <f t="array" ref="P22">_xlfn.IFS(LEFT('Monthly Update'!DH22, 3) = "*((", "", 'Monthly Update'!DH22="", "", TRUE, 'Monthly Update'!DH22)</f>
        <v/>
      </c>
      <c r="Q22" s="221" t="str" cm="1">
        <f t="array" ref="Q22">_xlfn.IFS(LEFT('Monthly Update'!DI22, 3) = "*((", "", 'Monthly Update'!DI22="", "", TRUE, 'Monthly Update'!DI22)</f>
        <v/>
      </c>
      <c r="R22" s="221" t="str" cm="1">
        <f t="array" ref="R22">_xlfn.IFS(LEFT('Monthly Update'!DJ22, 3) = "*((", "", 'Monthly Update'!DJ22="", "", TRUE, 'Monthly Update'!DJ22)</f>
        <v/>
      </c>
      <c r="S22" s="221" t="str" cm="1">
        <f t="array" ref="S22">_xlfn.IFS(LEFT('Monthly Update'!DK22, 3) = "*((", "", 'Monthly Update'!DK22="", "", TRUE, 'Monthly Update'!DK22)</f>
        <v/>
      </c>
      <c r="T22" s="221" t="str" cm="1">
        <f t="array" ref="T22">_xlfn.IFS(LEFT('Monthly Update'!DL22, 3) = "*((", "", 'Monthly Update'!DL22="", "", TRUE, 'Monthly Update'!DL22)</f>
        <v/>
      </c>
      <c r="U22" s="221" t="str" cm="1">
        <f t="array" ref="U22">_xlfn.IFS(LEFT('Monthly Update'!DM22, 3) = "*((", "", 'Monthly Update'!DM22="", "", TRUE, 'Monthly Update'!DM22)</f>
        <v/>
      </c>
      <c r="V22" s="221" t="str" cm="1">
        <f t="array" ref="V22">_xlfn.IFS(LEFT('Monthly Update'!DN22, 3) = "*((", "", 'Monthly Update'!DN22="", "", TRUE, 'Monthly Update'!DN22)</f>
        <v/>
      </c>
      <c r="W22" s="221" t="str" cm="1">
        <f t="array" ref="W22">_xlfn.IFS(LEFT('Monthly Update'!DO22, 3) = "*((", "", 'Monthly Update'!DO22="", "", TRUE, 'Monthly Update'!DO22)</f>
        <v/>
      </c>
      <c r="X22" s="221" t="str" cm="1">
        <f t="array" ref="X22">_xlfn.IFS(LEFT('Monthly Update'!DP22, 3) = "*((", "", 'Monthly Update'!DP22="", "", TRUE, 'Monthly Update'!DP22)</f>
        <v/>
      </c>
      <c r="Y22" s="221" t="str" cm="1">
        <f t="array" ref="Y22">_xlfn.IFS(LEFT('Monthly Update'!DQ22, 3) = "*((", "", 'Monthly Update'!DQ22="", "", TRUE, 'Monthly Update'!DQ22)</f>
        <v/>
      </c>
      <c r="Z22" s="221" t="str" cm="1">
        <f t="array" ref="Z22">_xlfn.IFS(LEFT('Monthly Update'!DR22, 3) = "*((", "", 'Monthly Update'!DR22="", "", TRUE, 'Monthly Update'!DR22)</f>
        <v/>
      </c>
      <c r="AA22" s="221" t="str" cm="1">
        <f t="array" ref="AA22">_xlfn.IFS(LEFT('Monthly Update'!DS22, 3) = "*((", "", 'Monthly Update'!DS22="", "", TRUE, 'Monthly Update'!DS22)</f>
        <v/>
      </c>
      <c r="AB22" s="221" t="str" cm="1">
        <f t="array" ref="AB22">_xlfn.IFS(LEFT('Monthly Update'!DT22, 3) = "*((", "", 'Monthly Update'!DT22="", "", TRUE, 'Monthly Update'!DT22)</f>
        <v/>
      </c>
      <c r="AC22" s="221" t="str" cm="1">
        <f t="array" ref="AC22">_xlfn.IFS(LEFT('Monthly Update'!DU22, 3) = "*((", "", 'Monthly Update'!DU22="", "", TRUE, 'Monthly Update'!DU22)</f>
        <v/>
      </c>
      <c r="AD22" s="221" t="str" cm="1">
        <f t="array" ref="AD22">_xlfn.IFS(LEFT('Monthly Update'!DV22, 3) = "*((", "", 'Monthly Update'!DV22="", "", TRUE, 'Monthly Update'!DV22)</f>
        <v/>
      </c>
      <c r="AE22" s="221" t="str" cm="1">
        <f t="array" ref="AE22">_xlfn.IFS(LEFT('Monthly Update'!DW22, 3) = "*((", "", 'Monthly Update'!DW22="", "", TRUE, 'Monthly Update'!DW22)</f>
        <v/>
      </c>
      <c r="AF22" s="221" t="str" cm="1">
        <f t="array" ref="AF22">_xlfn.IFS(LEFT('Monthly Update'!DX22, 3) = "*((", "", 'Monthly Update'!DX22="", "", TRUE, 'Monthly Update'!DX22)</f>
        <v/>
      </c>
      <c r="AG22" s="221" t="str" cm="1">
        <f t="array" ref="AG22">_xlfn.IFS(LEFT('Monthly Update'!DY22, 3) = "*((", "", 'Monthly Update'!DY22="", "", TRUE, 'Monthly Update'!DY22)</f>
        <v/>
      </c>
      <c r="AH22" s="221" t="str" cm="1">
        <f t="array" ref="AH22">_xlfn.IFS(LEFT('Monthly Update'!DZ22, 3) = "*((", "", 'Monthly Update'!DZ22="", "", TRUE, 'Monthly Update'!DZ22)</f>
        <v/>
      </c>
      <c r="AI22" s="221" t="str" cm="1">
        <f t="array" ref="AI22">_xlfn.IFS(LEFT('Monthly Update'!EA22, 3) = "*((", "", 'Monthly Update'!EA22="", "", TRUE, 'Monthly Update'!EA22)</f>
        <v/>
      </c>
      <c r="AJ22" s="221" t="str" cm="1">
        <f t="array" ref="AJ22">_xlfn.IFS(LEFT('Monthly Update'!EB22, 3) = "*((", "", 'Monthly Update'!EB22="", "", TRUE, 'Monthly Update'!EB22)</f>
        <v/>
      </c>
      <c r="AK22" s="221" t="str" cm="1">
        <f t="array" ref="AK22">_xlfn.IFS(LEFT('Monthly Update'!EC22, 3) = "*((", "", 'Monthly Update'!EC22="", "", TRUE, 'Monthly Update'!EC22)</f>
        <v/>
      </c>
      <c r="AL22" s="221" t="str" cm="1">
        <f t="array" ref="AL22">_xlfn.IFS(LEFT('Monthly Update'!ED22, 3) = "*((", "", 'Monthly Update'!ED22="", "", TRUE, 'Monthly Update'!ED22)</f>
        <v/>
      </c>
      <c r="AM22" s="221" t="str" cm="1">
        <f t="array" ref="AM22">_xlfn.IFS(LEFT('Monthly Update'!EE22, 3) = "*((", "", 'Monthly Update'!EE22="", "", TRUE, 'Monthly Update'!EE22)</f>
        <v/>
      </c>
      <c r="AN22" s="221" t="str" cm="1">
        <f t="array" ref="AN22">_xlfn.IFS(LEFT('Monthly Update'!EF22, 3) = "*((", "", 'Monthly Update'!EF22="", "", TRUE, 'Monthly Update'!EF22)</f>
        <v/>
      </c>
      <c r="AO22" s="221" t="str" cm="1">
        <f t="array" ref="AO22">_xlfn.IFS(LEFT('Monthly Update'!EG22, 3) = "*((", "", 'Monthly Update'!EG22="", "", TRUE, 'Monthly Update'!EG22)</f>
        <v/>
      </c>
      <c r="AP22" s="221" t="str" cm="1">
        <f t="array" ref="AP22">_xlfn.IFS(LEFT('Monthly Update'!EH22, 3) = "*((", "", 'Monthly Update'!EH22="", "", TRUE, 'Monthly Update'!EH22)</f>
        <v/>
      </c>
      <c r="AQ22" s="221" t="str" cm="1">
        <f t="array" ref="AQ22">_xlfn.IFS(LEFT('Monthly Update'!EI22, 3) = "*((", "", 'Monthly Update'!EI22="", "", TRUE, 'Monthly Update'!EI22)</f>
        <v/>
      </c>
      <c r="AR22" s="221" t="str" cm="1">
        <f t="array" ref="AR22">_xlfn.IFS(LEFT('Monthly Update'!EJ22, 3) = "*((", "", 'Monthly Update'!EJ22="", "", TRUE, 'Monthly Update'!EJ22)</f>
        <v/>
      </c>
      <c r="AS22" s="221" t="str" cm="1">
        <f t="array" ref="AS22">_xlfn.IFS(LEFT('Monthly Update'!EK22, 3) = "*((", "", 'Monthly Update'!EK22="", "", TRUE, 'Monthly Update'!EK22)</f>
        <v/>
      </c>
      <c r="AT22" s="221" t="str" cm="1">
        <f t="array" ref="AT22">_xlfn.IFS(LEFT('Monthly Update'!EL22, 3) = "*((", "", 'Monthly Update'!EL22="", "", TRUE, 'Monthly Update'!EL22)</f>
        <v/>
      </c>
      <c r="AU22" s="221" t="str" cm="1">
        <f t="array" ref="AU22">_xlfn.IFS(LEFT('Monthly Update'!EM22, 3) = "*((", "", 'Monthly Update'!EM22="", "", TRUE, 'Monthly Update'!EM22)</f>
        <v/>
      </c>
      <c r="AV22" s="221" t="str" cm="1">
        <f t="array" ref="AV22">_xlfn.IFS(LEFT('Monthly Update'!EN22, 3) = "*((", "", 'Monthly Update'!EN22="", "", TRUE, 'Monthly Update'!EN22)</f>
        <v/>
      </c>
      <c r="AW22" s="221" t="str" cm="1">
        <f t="array" ref="AW22">_xlfn.IFS(LEFT('Monthly Update'!EO22, 3) = "*((", "", 'Monthly Update'!EO22="", "", TRUE, 'Monthly Update'!EO22)</f>
        <v/>
      </c>
      <c r="NU22" s="252"/>
      <c r="NV22" s="252"/>
      <c r="NW22" s="252"/>
      <c r="NX22" s="252"/>
      <c r="NY22" s="252"/>
      <c r="NZ22" s="252"/>
      <c r="OA22" s="252"/>
      <c r="OB22" s="252"/>
      <c r="OC22" s="252"/>
      <c r="OD22" s="252"/>
      <c r="OE22" s="252"/>
      <c r="OF22" s="252"/>
      <c r="OG22" s="252"/>
      <c r="OH22" s="252"/>
      <c r="OI22" s="252"/>
      <c r="OJ22" s="252"/>
      <c r="OK22" s="252"/>
      <c r="OL22" s="252"/>
      <c r="OM22" s="252"/>
      <c r="ON22" s="252"/>
      <c r="OO22" s="252"/>
      <c r="OP22" s="252"/>
      <c r="OQ22" s="252"/>
      <c r="OR22" s="252"/>
      <c r="OS22" s="252"/>
      <c r="OT22" s="252"/>
      <c r="OU22" s="252"/>
      <c r="OV22" s="252"/>
      <c r="OW22" s="252"/>
      <c r="OX22" s="252"/>
      <c r="OY22" s="252"/>
      <c r="OZ22" s="252"/>
      <c r="PA22" s="252"/>
      <c r="PB22" s="252"/>
      <c r="PC22" s="252"/>
      <c r="PD22" s="252"/>
      <c r="PE22" s="252"/>
      <c r="PF22" s="252"/>
      <c r="PG22" s="252"/>
      <c r="PH22" s="252"/>
      <c r="PI22" s="252"/>
      <c r="PJ22" s="252"/>
      <c r="PK22" s="252"/>
      <c r="PL22" s="252"/>
      <c r="PM22" s="252"/>
      <c r="PN22" s="252"/>
      <c r="PO22" s="252"/>
      <c r="PP22" s="252"/>
      <c r="PQ22" s="252"/>
      <c r="PR22" s="252"/>
      <c r="PS22" s="252"/>
      <c r="PT22" s="252"/>
      <c r="PU22" s="252"/>
      <c r="PV22" s="252"/>
      <c r="PW22" s="252"/>
      <c r="PX22" s="252"/>
      <c r="PY22" s="252"/>
      <c r="PZ22" s="252"/>
      <c r="QA22" s="252"/>
      <c r="QB22" s="252"/>
      <c r="QC22" s="252"/>
      <c r="QD22" s="252"/>
      <c r="QE22" s="252"/>
      <c r="QF22" s="252"/>
      <c r="QG22" s="252"/>
      <c r="QH22" s="252"/>
      <c r="QI22" s="252"/>
      <c r="QJ22" s="252"/>
      <c r="QK22" s="252"/>
      <c r="QL22" s="252"/>
      <c r="QM22" s="252"/>
      <c r="QN22" s="252"/>
      <c r="QO22" s="252"/>
      <c r="QP22" s="252"/>
      <c r="QQ22" s="252"/>
      <c r="QR22" s="252"/>
      <c r="QS22" s="252"/>
      <c r="QT22" s="252"/>
      <c r="QU22" s="252"/>
      <c r="QV22" s="252"/>
      <c r="QW22" s="252"/>
      <c r="QX22" s="252"/>
      <c r="QY22" s="252"/>
      <c r="QZ22" s="252"/>
      <c r="RA22" s="252"/>
      <c r="RB22" s="252"/>
      <c r="RC22" s="252"/>
      <c r="RD22" s="252"/>
      <c r="RE22" s="252"/>
      <c r="RF22" s="252"/>
      <c r="RG22" s="252"/>
      <c r="RH22" s="252"/>
      <c r="RI22" s="252"/>
      <c r="RJ22" s="252"/>
      <c r="RK22" s="252"/>
      <c r="RL22" s="252"/>
      <c r="RM22" s="252"/>
      <c r="RN22" s="252"/>
      <c r="RO22" s="252"/>
      <c r="RP22" s="252"/>
      <c r="RQ22" s="252"/>
      <c r="RR22" s="252"/>
      <c r="RS22" s="252"/>
      <c r="RT22" s="252"/>
      <c r="RU22" s="252"/>
      <c r="RV22" s="252"/>
      <c r="RW22" s="252"/>
      <c r="RX22" s="252"/>
      <c r="RY22" s="252"/>
      <c r="RZ22" s="252"/>
      <c r="SA22" s="252"/>
      <c r="SB22" s="252"/>
      <c r="SC22" s="252"/>
      <c r="SD22" s="252"/>
      <c r="SE22" s="252"/>
      <c r="SF22" s="252"/>
      <c r="SG22" s="252"/>
      <c r="SH22" s="252"/>
      <c r="SI22" s="252"/>
      <c r="SJ22" s="252"/>
      <c r="SK22" s="252"/>
      <c r="SL22" s="252"/>
      <c r="SM22" s="252"/>
      <c r="SN22" s="252"/>
    </row>
    <row r="23" spans="1:508" s="243" customFormat="1" ht="15.6" customHeight="1" x14ac:dyDescent="0.55000000000000004">
      <c r="A23" s="220" t="str" cm="1">
        <f t="array" ref="A23">_xlfn.IFS(LEFT('Monthly Update'!A23, 3) = "*((", "", 'Monthly Update'!A23="", "", TRUE, 'Monthly Update'!A23)</f>
        <v/>
      </c>
      <c r="B23" s="220" t="str" cm="1">
        <f t="array" ref="B23">_xlfn.IFS(LEFT('Monthly Update'!B23, 3) = "*((", "", 'Monthly Update'!B23="", "", TRUE, 'Monthly Update'!B23)</f>
        <v/>
      </c>
      <c r="C23" s="221" t="str" cm="1">
        <f t="array" ref="C23">_xlfn.IFS(LEFT('Monthly Update'!CU23, 3) = "*((", "", 'Monthly Update'!CU23="", "", TRUE, 'Monthly Update'!CU23)</f>
        <v/>
      </c>
      <c r="D23" s="221" t="str" cm="1">
        <f t="array" ref="D23">_xlfn.IFS(LEFT('Monthly Update'!CV23, 3) = "*((", "", 'Monthly Update'!CV23="", "", TRUE, 'Monthly Update'!CV23)</f>
        <v/>
      </c>
      <c r="E23" s="221" t="str" cm="1">
        <f t="array" ref="E23">_xlfn.IFS(LEFT('Monthly Update'!CW23, 3) = "*((", "", 'Monthly Update'!CW23="", "", TRUE, 'Monthly Update'!CW23)</f>
        <v/>
      </c>
      <c r="F23" s="221" t="str" cm="1">
        <f t="array" ref="F23">_xlfn.IFS(LEFT('Monthly Update'!CX23, 3) = "*((", "", 'Monthly Update'!CX23="", "", TRUE, 'Monthly Update'!CX23)</f>
        <v/>
      </c>
      <c r="G23" s="221" t="str" cm="1">
        <f t="array" ref="G23">_xlfn.IFS(LEFT('Monthly Update'!CY23, 3) = "*((", "", 'Monthly Update'!CY23="", "", TRUE, 'Monthly Update'!CY23)</f>
        <v/>
      </c>
      <c r="H23" s="221" t="str" cm="1">
        <f t="array" ref="H23">_xlfn.IFS(LEFT('Monthly Update'!CZ23, 3) = "*((", "", 'Monthly Update'!CZ23="", "", TRUE, 'Monthly Update'!CZ23)</f>
        <v/>
      </c>
      <c r="I23" s="221" t="str" cm="1">
        <f t="array" ref="I23">_xlfn.IFS(LEFT('Monthly Update'!DA23, 3) = "*((", "", 'Monthly Update'!DA23="", "", TRUE, 'Monthly Update'!DA23)</f>
        <v/>
      </c>
      <c r="J23" s="221" t="str" cm="1">
        <f t="array" ref="J23">_xlfn.IFS(LEFT('Monthly Update'!DB23, 3) = "*((", "", 'Monthly Update'!DB23="", "", TRUE, 'Monthly Update'!DB23)</f>
        <v/>
      </c>
      <c r="K23" s="221" t="str" cm="1">
        <f t="array" ref="K23">_xlfn.IFS(LEFT('Monthly Update'!DC23, 3) = "*((", "", 'Monthly Update'!DC23="", "", TRUE, 'Monthly Update'!DC23)</f>
        <v/>
      </c>
      <c r="L23" s="221" t="str" cm="1">
        <f t="array" ref="L23">_xlfn.IFS(LEFT('Monthly Update'!DD23, 3) = "*((", "", 'Monthly Update'!DD23="", "", TRUE, 'Monthly Update'!DD23)</f>
        <v/>
      </c>
      <c r="M23" s="221" t="str" cm="1">
        <f t="array" ref="M23">_xlfn.IFS(LEFT('Monthly Update'!DE23, 3) = "*((", "", 'Monthly Update'!DE23="", "", TRUE, 'Monthly Update'!DE23)</f>
        <v/>
      </c>
      <c r="N23" s="221" t="str" cm="1">
        <f t="array" ref="N23">_xlfn.IFS(LEFT('Monthly Update'!DF23, 3) = "*((", "", 'Monthly Update'!DF23="", "", TRUE, 'Monthly Update'!DF23)</f>
        <v/>
      </c>
      <c r="O23" s="221" t="str" cm="1">
        <f t="array" ref="O23">_xlfn.IFS(LEFT('Monthly Update'!DG23, 3) = "*((", "", 'Monthly Update'!DG23="", "", TRUE, 'Monthly Update'!DG23)</f>
        <v/>
      </c>
      <c r="P23" s="221" t="str" cm="1">
        <f t="array" ref="P23">_xlfn.IFS(LEFT('Monthly Update'!DH23, 3) = "*((", "", 'Monthly Update'!DH23="", "", TRUE, 'Monthly Update'!DH23)</f>
        <v/>
      </c>
      <c r="Q23" s="221" t="str" cm="1">
        <f t="array" ref="Q23">_xlfn.IFS(LEFT('Monthly Update'!DI23, 3) = "*((", "", 'Monthly Update'!DI23="", "", TRUE, 'Monthly Update'!DI23)</f>
        <v/>
      </c>
      <c r="R23" s="221" t="str" cm="1">
        <f t="array" ref="R23">_xlfn.IFS(LEFT('Monthly Update'!DJ23, 3) = "*((", "", 'Monthly Update'!DJ23="", "", TRUE, 'Monthly Update'!DJ23)</f>
        <v/>
      </c>
      <c r="S23" s="221" t="str" cm="1">
        <f t="array" ref="S23">_xlfn.IFS(LEFT('Monthly Update'!DK23, 3) = "*((", "", 'Monthly Update'!DK23="", "", TRUE, 'Monthly Update'!DK23)</f>
        <v/>
      </c>
      <c r="T23" s="221" t="str" cm="1">
        <f t="array" ref="T23">_xlfn.IFS(LEFT('Monthly Update'!DL23, 3) = "*((", "", 'Monthly Update'!DL23="", "", TRUE, 'Monthly Update'!DL23)</f>
        <v/>
      </c>
      <c r="U23" s="221" t="str" cm="1">
        <f t="array" ref="U23">_xlfn.IFS(LEFT('Monthly Update'!DM23, 3) = "*((", "", 'Monthly Update'!DM23="", "", TRUE, 'Monthly Update'!DM23)</f>
        <v/>
      </c>
      <c r="V23" s="221" t="str" cm="1">
        <f t="array" ref="V23">_xlfn.IFS(LEFT('Monthly Update'!DN23, 3) = "*((", "", 'Monthly Update'!DN23="", "", TRUE, 'Monthly Update'!DN23)</f>
        <v/>
      </c>
      <c r="W23" s="221" t="str" cm="1">
        <f t="array" ref="W23">_xlfn.IFS(LEFT('Monthly Update'!DO23, 3) = "*((", "", 'Monthly Update'!DO23="", "", TRUE, 'Monthly Update'!DO23)</f>
        <v/>
      </c>
      <c r="X23" s="221" t="str" cm="1">
        <f t="array" ref="X23">_xlfn.IFS(LEFT('Monthly Update'!DP23, 3) = "*((", "", 'Monthly Update'!DP23="", "", TRUE, 'Monthly Update'!DP23)</f>
        <v/>
      </c>
      <c r="Y23" s="221" t="str" cm="1">
        <f t="array" ref="Y23">_xlfn.IFS(LEFT('Monthly Update'!DQ23, 3) = "*((", "", 'Monthly Update'!DQ23="", "", TRUE, 'Monthly Update'!DQ23)</f>
        <v/>
      </c>
      <c r="Z23" s="221" t="str" cm="1">
        <f t="array" ref="Z23">_xlfn.IFS(LEFT('Monthly Update'!DR23, 3) = "*((", "", 'Monthly Update'!DR23="", "", TRUE, 'Monthly Update'!DR23)</f>
        <v/>
      </c>
      <c r="AA23" s="221" t="str" cm="1">
        <f t="array" ref="AA23">_xlfn.IFS(LEFT('Monthly Update'!DS23, 3) = "*((", "", 'Monthly Update'!DS23="", "", TRUE, 'Monthly Update'!DS23)</f>
        <v/>
      </c>
      <c r="AB23" s="221" t="str" cm="1">
        <f t="array" ref="AB23">_xlfn.IFS(LEFT('Monthly Update'!DT23, 3) = "*((", "", 'Monthly Update'!DT23="", "", TRUE, 'Monthly Update'!DT23)</f>
        <v/>
      </c>
      <c r="AC23" s="221" t="str" cm="1">
        <f t="array" ref="AC23">_xlfn.IFS(LEFT('Monthly Update'!DU23, 3) = "*((", "", 'Monthly Update'!DU23="", "", TRUE, 'Monthly Update'!DU23)</f>
        <v/>
      </c>
      <c r="AD23" s="221" t="str" cm="1">
        <f t="array" ref="AD23">_xlfn.IFS(LEFT('Monthly Update'!DV23, 3) = "*((", "", 'Monthly Update'!DV23="", "", TRUE, 'Monthly Update'!DV23)</f>
        <v/>
      </c>
      <c r="AE23" s="221" t="str" cm="1">
        <f t="array" ref="AE23">_xlfn.IFS(LEFT('Monthly Update'!DW23, 3) = "*((", "", 'Monthly Update'!DW23="", "", TRUE, 'Monthly Update'!DW23)</f>
        <v/>
      </c>
      <c r="AF23" s="221" t="str" cm="1">
        <f t="array" ref="AF23">_xlfn.IFS(LEFT('Monthly Update'!DX23, 3) = "*((", "", 'Monthly Update'!DX23="", "", TRUE, 'Monthly Update'!DX23)</f>
        <v/>
      </c>
      <c r="AG23" s="221" t="str" cm="1">
        <f t="array" ref="AG23">_xlfn.IFS(LEFT('Monthly Update'!DY23, 3) = "*((", "", 'Monthly Update'!DY23="", "", TRUE, 'Monthly Update'!DY23)</f>
        <v/>
      </c>
      <c r="AH23" s="221" t="str" cm="1">
        <f t="array" ref="AH23">_xlfn.IFS(LEFT('Monthly Update'!DZ23, 3) = "*((", "", 'Monthly Update'!DZ23="", "", TRUE, 'Monthly Update'!DZ23)</f>
        <v/>
      </c>
      <c r="AI23" s="221" t="str" cm="1">
        <f t="array" ref="AI23">_xlfn.IFS(LEFT('Monthly Update'!EA23, 3) = "*((", "", 'Monthly Update'!EA23="", "", TRUE, 'Monthly Update'!EA23)</f>
        <v/>
      </c>
      <c r="AJ23" s="221" t="str" cm="1">
        <f t="array" ref="AJ23">_xlfn.IFS(LEFT('Monthly Update'!EB23, 3) = "*((", "", 'Monthly Update'!EB23="", "", TRUE, 'Monthly Update'!EB23)</f>
        <v/>
      </c>
      <c r="AK23" s="221" t="str" cm="1">
        <f t="array" ref="AK23">_xlfn.IFS(LEFT('Monthly Update'!EC23, 3) = "*((", "", 'Monthly Update'!EC23="", "", TRUE, 'Monthly Update'!EC23)</f>
        <v/>
      </c>
      <c r="AL23" s="221" t="str" cm="1">
        <f t="array" ref="AL23">_xlfn.IFS(LEFT('Monthly Update'!ED23, 3) = "*((", "", 'Monthly Update'!ED23="", "", TRUE, 'Monthly Update'!ED23)</f>
        <v/>
      </c>
      <c r="AM23" s="221" t="str" cm="1">
        <f t="array" ref="AM23">_xlfn.IFS(LEFT('Monthly Update'!EE23, 3) = "*((", "", 'Monthly Update'!EE23="", "", TRUE, 'Monthly Update'!EE23)</f>
        <v/>
      </c>
      <c r="AN23" s="221" t="str" cm="1">
        <f t="array" ref="AN23">_xlfn.IFS(LEFT('Monthly Update'!EF23, 3) = "*((", "", 'Monthly Update'!EF23="", "", TRUE, 'Monthly Update'!EF23)</f>
        <v/>
      </c>
      <c r="AO23" s="221" t="str" cm="1">
        <f t="array" ref="AO23">_xlfn.IFS(LEFT('Monthly Update'!EG23, 3) = "*((", "", 'Monthly Update'!EG23="", "", TRUE, 'Monthly Update'!EG23)</f>
        <v/>
      </c>
      <c r="AP23" s="221" t="str" cm="1">
        <f t="array" ref="AP23">_xlfn.IFS(LEFT('Monthly Update'!EH23, 3) = "*((", "", 'Monthly Update'!EH23="", "", TRUE, 'Monthly Update'!EH23)</f>
        <v/>
      </c>
      <c r="AQ23" s="221" t="str" cm="1">
        <f t="array" ref="AQ23">_xlfn.IFS(LEFT('Monthly Update'!EI23, 3) = "*((", "", 'Monthly Update'!EI23="", "", TRUE, 'Monthly Update'!EI23)</f>
        <v/>
      </c>
      <c r="AR23" s="221" t="str" cm="1">
        <f t="array" ref="AR23">_xlfn.IFS(LEFT('Monthly Update'!EJ23, 3) = "*((", "", 'Monthly Update'!EJ23="", "", TRUE, 'Monthly Update'!EJ23)</f>
        <v/>
      </c>
      <c r="AS23" s="221" t="str" cm="1">
        <f t="array" ref="AS23">_xlfn.IFS(LEFT('Monthly Update'!EK23, 3) = "*((", "", 'Monthly Update'!EK23="", "", TRUE, 'Monthly Update'!EK23)</f>
        <v/>
      </c>
      <c r="AT23" s="221" t="str" cm="1">
        <f t="array" ref="AT23">_xlfn.IFS(LEFT('Monthly Update'!EL23, 3) = "*((", "", 'Monthly Update'!EL23="", "", TRUE, 'Monthly Update'!EL23)</f>
        <v/>
      </c>
      <c r="AU23" s="221" t="str" cm="1">
        <f t="array" ref="AU23">_xlfn.IFS(LEFT('Monthly Update'!EM23, 3) = "*((", "", 'Monthly Update'!EM23="", "", TRUE, 'Monthly Update'!EM23)</f>
        <v/>
      </c>
      <c r="AV23" s="221" t="str" cm="1">
        <f t="array" ref="AV23">_xlfn.IFS(LEFT('Monthly Update'!EN23, 3) = "*((", "", 'Monthly Update'!EN23="", "", TRUE, 'Monthly Update'!EN23)</f>
        <v/>
      </c>
      <c r="AW23" s="221" t="str" cm="1">
        <f t="array" ref="AW23">_xlfn.IFS(LEFT('Monthly Update'!EO23, 3) = "*((", "", 'Monthly Update'!EO23="", "", TRUE, 'Monthly Update'!EO23)</f>
        <v/>
      </c>
      <c r="NU23" s="252"/>
      <c r="NV23" s="252"/>
      <c r="NW23" s="252"/>
      <c r="NX23" s="252"/>
      <c r="NY23" s="252"/>
      <c r="NZ23" s="252"/>
      <c r="OA23" s="252"/>
      <c r="OB23" s="252"/>
      <c r="OC23" s="252"/>
      <c r="OD23" s="252"/>
      <c r="OE23" s="252"/>
      <c r="OF23" s="252"/>
      <c r="OG23" s="252"/>
      <c r="OH23" s="252"/>
      <c r="OI23" s="252"/>
      <c r="OJ23" s="252"/>
      <c r="OK23" s="252"/>
      <c r="OL23" s="252"/>
      <c r="OM23" s="252"/>
      <c r="ON23" s="252"/>
      <c r="OO23" s="252"/>
      <c r="OP23" s="252"/>
      <c r="OQ23" s="252"/>
      <c r="OR23" s="252"/>
      <c r="OS23" s="252"/>
      <c r="OT23" s="252"/>
      <c r="OU23" s="252"/>
      <c r="OV23" s="252"/>
      <c r="OW23" s="252"/>
      <c r="OX23" s="252"/>
      <c r="OY23" s="252"/>
      <c r="OZ23" s="252"/>
      <c r="PA23" s="252"/>
      <c r="PB23" s="252"/>
      <c r="PC23" s="252"/>
      <c r="PD23" s="252"/>
      <c r="PE23" s="252"/>
      <c r="PF23" s="252"/>
      <c r="PG23" s="252"/>
      <c r="PH23" s="252"/>
      <c r="PI23" s="252"/>
      <c r="PJ23" s="252"/>
      <c r="PK23" s="252"/>
      <c r="PL23" s="252"/>
      <c r="PM23" s="252"/>
      <c r="PN23" s="252"/>
      <c r="PO23" s="252"/>
      <c r="PP23" s="252"/>
      <c r="PQ23" s="252"/>
      <c r="PR23" s="252"/>
      <c r="PS23" s="252"/>
      <c r="PT23" s="252"/>
      <c r="PU23" s="252"/>
      <c r="PV23" s="252"/>
      <c r="PW23" s="252"/>
      <c r="PX23" s="252"/>
      <c r="PY23" s="252"/>
      <c r="PZ23" s="252"/>
      <c r="QA23" s="252"/>
      <c r="QB23" s="252"/>
      <c r="QC23" s="252"/>
      <c r="QD23" s="252"/>
      <c r="QE23" s="252"/>
      <c r="QF23" s="252"/>
      <c r="QG23" s="252"/>
      <c r="QH23" s="252"/>
      <c r="QI23" s="252"/>
      <c r="QJ23" s="252"/>
      <c r="QK23" s="252"/>
      <c r="QL23" s="252"/>
      <c r="QM23" s="252"/>
      <c r="QN23" s="252"/>
      <c r="QO23" s="252"/>
      <c r="QP23" s="252"/>
      <c r="QQ23" s="252"/>
      <c r="QR23" s="252"/>
      <c r="QS23" s="252"/>
      <c r="QT23" s="252"/>
      <c r="QU23" s="252"/>
      <c r="QV23" s="252"/>
      <c r="QW23" s="252"/>
      <c r="QX23" s="252"/>
      <c r="QY23" s="252"/>
      <c r="QZ23" s="252"/>
      <c r="RA23" s="252"/>
      <c r="RB23" s="252"/>
      <c r="RC23" s="252"/>
      <c r="RD23" s="252"/>
      <c r="RE23" s="252"/>
      <c r="RF23" s="252"/>
      <c r="RG23" s="252"/>
      <c r="RH23" s="252"/>
      <c r="RI23" s="252"/>
      <c r="RJ23" s="252"/>
      <c r="RK23" s="252"/>
      <c r="RL23" s="252"/>
      <c r="RM23" s="252"/>
      <c r="RN23" s="252"/>
      <c r="RO23" s="252"/>
      <c r="RP23" s="252"/>
      <c r="RQ23" s="252"/>
      <c r="RR23" s="252"/>
      <c r="RS23" s="252"/>
      <c r="RT23" s="252"/>
      <c r="RU23" s="252"/>
      <c r="RV23" s="252"/>
      <c r="RW23" s="252"/>
      <c r="RX23" s="252"/>
      <c r="RY23" s="252"/>
      <c r="RZ23" s="252"/>
      <c r="SA23" s="252"/>
      <c r="SB23" s="252"/>
      <c r="SC23" s="252"/>
      <c r="SD23" s="252"/>
      <c r="SE23" s="252"/>
      <c r="SF23" s="252"/>
      <c r="SG23" s="252"/>
      <c r="SH23" s="252"/>
      <c r="SI23" s="252"/>
      <c r="SJ23" s="252"/>
      <c r="SK23" s="252"/>
      <c r="SL23" s="252"/>
      <c r="SM23" s="252"/>
      <c r="SN23" s="252"/>
    </row>
    <row r="24" spans="1:508" s="243" customFormat="1" ht="15.6" customHeight="1" x14ac:dyDescent="0.55000000000000004">
      <c r="A24" s="220" t="str" cm="1">
        <f t="array" ref="A24">_xlfn.IFS(LEFT('Monthly Update'!A24, 3) = "*((", "", 'Monthly Update'!A24="", "", TRUE, 'Monthly Update'!A24)</f>
        <v/>
      </c>
      <c r="B24" s="220" t="str" cm="1">
        <f t="array" ref="B24">_xlfn.IFS(LEFT('Monthly Update'!B24, 3) = "*((", "", 'Monthly Update'!B24="", "", TRUE, 'Monthly Update'!B24)</f>
        <v/>
      </c>
      <c r="C24" s="221" t="str" cm="1">
        <f t="array" ref="C24">_xlfn.IFS(LEFT('Monthly Update'!CU24, 3) = "*((", "", 'Monthly Update'!CU24="", "", TRUE, 'Monthly Update'!CU24)</f>
        <v/>
      </c>
      <c r="D24" s="221" t="str" cm="1">
        <f t="array" ref="D24">_xlfn.IFS(LEFT('Monthly Update'!CV24, 3) = "*((", "", 'Monthly Update'!CV24="", "", TRUE, 'Monthly Update'!CV24)</f>
        <v/>
      </c>
      <c r="E24" s="221" t="str" cm="1">
        <f t="array" ref="E24">_xlfn.IFS(LEFT('Monthly Update'!CW24, 3) = "*((", "", 'Monthly Update'!CW24="", "", TRUE, 'Monthly Update'!CW24)</f>
        <v/>
      </c>
      <c r="F24" s="221" t="str" cm="1">
        <f t="array" ref="F24">_xlfn.IFS(LEFT('Monthly Update'!CX24, 3) = "*((", "", 'Monthly Update'!CX24="", "", TRUE, 'Monthly Update'!CX24)</f>
        <v/>
      </c>
      <c r="G24" s="221" t="str" cm="1">
        <f t="array" ref="G24">_xlfn.IFS(LEFT('Monthly Update'!CY24, 3) = "*((", "", 'Monthly Update'!CY24="", "", TRUE, 'Monthly Update'!CY24)</f>
        <v/>
      </c>
      <c r="H24" s="221" t="str" cm="1">
        <f t="array" ref="H24">_xlfn.IFS(LEFT('Monthly Update'!CZ24, 3) = "*((", "", 'Monthly Update'!CZ24="", "", TRUE, 'Monthly Update'!CZ24)</f>
        <v/>
      </c>
      <c r="I24" s="221" t="str" cm="1">
        <f t="array" ref="I24">_xlfn.IFS(LEFT('Monthly Update'!DA24, 3) = "*((", "", 'Monthly Update'!DA24="", "", TRUE, 'Monthly Update'!DA24)</f>
        <v/>
      </c>
      <c r="J24" s="221" t="str" cm="1">
        <f t="array" ref="J24">_xlfn.IFS(LEFT('Monthly Update'!DB24, 3) = "*((", "", 'Monthly Update'!DB24="", "", TRUE, 'Monthly Update'!DB24)</f>
        <v/>
      </c>
      <c r="K24" s="221" t="str" cm="1">
        <f t="array" ref="K24">_xlfn.IFS(LEFT('Monthly Update'!DC24, 3) = "*((", "", 'Monthly Update'!DC24="", "", TRUE, 'Monthly Update'!DC24)</f>
        <v/>
      </c>
      <c r="L24" s="221" t="str" cm="1">
        <f t="array" ref="L24">_xlfn.IFS(LEFT('Monthly Update'!DD24, 3) = "*((", "", 'Monthly Update'!DD24="", "", TRUE, 'Monthly Update'!DD24)</f>
        <v/>
      </c>
      <c r="M24" s="221" t="str" cm="1">
        <f t="array" ref="M24">_xlfn.IFS(LEFT('Monthly Update'!DE24, 3) = "*((", "", 'Monthly Update'!DE24="", "", TRUE, 'Monthly Update'!DE24)</f>
        <v/>
      </c>
      <c r="N24" s="221" t="str" cm="1">
        <f t="array" ref="N24">_xlfn.IFS(LEFT('Monthly Update'!DF24, 3) = "*((", "", 'Monthly Update'!DF24="", "", TRUE, 'Monthly Update'!DF24)</f>
        <v/>
      </c>
      <c r="O24" s="221" t="str" cm="1">
        <f t="array" ref="O24">_xlfn.IFS(LEFT('Monthly Update'!DG24, 3) = "*((", "", 'Monthly Update'!DG24="", "", TRUE, 'Monthly Update'!DG24)</f>
        <v/>
      </c>
      <c r="P24" s="221" t="str" cm="1">
        <f t="array" ref="P24">_xlfn.IFS(LEFT('Monthly Update'!DH24, 3) = "*((", "", 'Monthly Update'!DH24="", "", TRUE, 'Monthly Update'!DH24)</f>
        <v/>
      </c>
      <c r="Q24" s="221" t="str" cm="1">
        <f t="array" ref="Q24">_xlfn.IFS(LEFT('Monthly Update'!DI24, 3) = "*((", "", 'Monthly Update'!DI24="", "", TRUE, 'Monthly Update'!DI24)</f>
        <v/>
      </c>
      <c r="R24" s="221" t="str" cm="1">
        <f t="array" ref="R24">_xlfn.IFS(LEFT('Monthly Update'!DJ24, 3) = "*((", "", 'Monthly Update'!DJ24="", "", TRUE, 'Monthly Update'!DJ24)</f>
        <v/>
      </c>
      <c r="S24" s="221" t="str" cm="1">
        <f t="array" ref="S24">_xlfn.IFS(LEFT('Monthly Update'!DK24, 3) = "*((", "", 'Monthly Update'!DK24="", "", TRUE, 'Monthly Update'!DK24)</f>
        <v/>
      </c>
      <c r="T24" s="221" t="str" cm="1">
        <f t="array" ref="T24">_xlfn.IFS(LEFT('Monthly Update'!DL24, 3) = "*((", "", 'Monthly Update'!DL24="", "", TRUE, 'Monthly Update'!DL24)</f>
        <v/>
      </c>
      <c r="U24" s="221" t="str" cm="1">
        <f t="array" ref="U24">_xlfn.IFS(LEFT('Monthly Update'!DM24, 3) = "*((", "", 'Monthly Update'!DM24="", "", TRUE, 'Monthly Update'!DM24)</f>
        <v/>
      </c>
      <c r="V24" s="221" t="str" cm="1">
        <f t="array" ref="V24">_xlfn.IFS(LEFT('Monthly Update'!DN24, 3) = "*((", "", 'Monthly Update'!DN24="", "", TRUE, 'Monthly Update'!DN24)</f>
        <v/>
      </c>
      <c r="W24" s="221" t="str" cm="1">
        <f t="array" ref="W24">_xlfn.IFS(LEFT('Monthly Update'!DO24, 3) = "*((", "", 'Monthly Update'!DO24="", "", TRUE, 'Monthly Update'!DO24)</f>
        <v/>
      </c>
      <c r="X24" s="221" t="str" cm="1">
        <f t="array" ref="X24">_xlfn.IFS(LEFT('Monthly Update'!DP24, 3) = "*((", "", 'Monthly Update'!DP24="", "", TRUE, 'Monthly Update'!DP24)</f>
        <v/>
      </c>
      <c r="Y24" s="221" t="str" cm="1">
        <f t="array" ref="Y24">_xlfn.IFS(LEFT('Monthly Update'!DQ24, 3) = "*((", "", 'Monthly Update'!DQ24="", "", TRUE, 'Monthly Update'!DQ24)</f>
        <v/>
      </c>
      <c r="Z24" s="221" t="str" cm="1">
        <f t="array" ref="Z24">_xlfn.IFS(LEFT('Monthly Update'!DR24, 3) = "*((", "", 'Monthly Update'!DR24="", "", TRUE, 'Monthly Update'!DR24)</f>
        <v/>
      </c>
      <c r="AA24" s="221" t="str" cm="1">
        <f t="array" ref="AA24">_xlfn.IFS(LEFT('Monthly Update'!DS24, 3) = "*((", "", 'Monthly Update'!DS24="", "", TRUE, 'Monthly Update'!DS24)</f>
        <v/>
      </c>
      <c r="AB24" s="221" t="str" cm="1">
        <f t="array" ref="AB24">_xlfn.IFS(LEFT('Monthly Update'!DT24, 3) = "*((", "", 'Monthly Update'!DT24="", "", TRUE, 'Monthly Update'!DT24)</f>
        <v/>
      </c>
      <c r="AC24" s="221" t="str" cm="1">
        <f t="array" ref="AC24">_xlfn.IFS(LEFT('Monthly Update'!DU24, 3) = "*((", "", 'Monthly Update'!DU24="", "", TRUE, 'Monthly Update'!DU24)</f>
        <v/>
      </c>
      <c r="AD24" s="221" t="str" cm="1">
        <f t="array" ref="AD24">_xlfn.IFS(LEFT('Monthly Update'!DV24, 3) = "*((", "", 'Monthly Update'!DV24="", "", TRUE, 'Monthly Update'!DV24)</f>
        <v/>
      </c>
      <c r="AE24" s="221" t="str" cm="1">
        <f t="array" ref="AE24">_xlfn.IFS(LEFT('Monthly Update'!DW24, 3) = "*((", "", 'Monthly Update'!DW24="", "", TRUE, 'Monthly Update'!DW24)</f>
        <v/>
      </c>
      <c r="AF24" s="221" t="str" cm="1">
        <f t="array" ref="AF24">_xlfn.IFS(LEFT('Monthly Update'!DX24, 3) = "*((", "", 'Monthly Update'!DX24="", "", TRUE, 'Monthly Update'!DX24)</f>
        <v/>
      </c>
      <c r="AG24" s="221" t="str" cm="1">
        <f t="array" ref="AG24">_xlfn.IFS(LEFT('Monthly Update'!DY24, 3) = "*((", "", 'Monthly Update'!DY24="", "", TRUE, 'Monthly Update'!DY24)</f>
        <v/>
      </c>
      <c r="AH24" s="221" t="str" cm="1">
        <f t="array" ref="AH24">_xlfn.IFS(LEFT('Monthly Update'!DZ24, 3) = "*((", "", 'Monthly Update'!DZ24="", "", TRUE, 'Monthly Update'!DZ24)</f>
        <v/>
      </c>
      <c r="AI24" s="221" t="str" cm="1">
        <f t="array" ref="AI24">_xlfn.IFS(LEFT('Monthly Update'!EA24, 3) = "*((", "", 'Monthly Update'!EA24="", "", TRUE, 'Monthly Update'!EA24)</f>
        <v/>
      </c>
      <c r="AJ24" s="221" t="str" cm="1">
        <f t="array" ref="AJ24">_xlfn.IFS(LEFT('Monthly Update'!EB24, 3) = "*((", "", 'Monthly Update'!EB24="", "", TRUE, 'Monthly Update'!EB24)</f>
        <v/>
      </c>
      <c r="AK24" s="221" t="str" cm="1">
        <f t="array" ref="AK24">_xlfn.IFS(LEFT('Monthly Update'!EC24, 3) = "*((", "", 'Monthly Update'!EC24="", "", TRUE, 'Monthly Update'!EC24)</f>
        <v/>
      </c>
      <c r="AL24" s="221" t="str" cm="1">
        <f t="array" ref="AL24">_xlfn.IFS(LEFT('Monthly Update'!ED24, 3) = "*((", "", 'Monthly Update'!ED24="", "", TRUE, 'Monthly Update'!ED24)</f>
        <v/>
      </c>
      <c r="AM24" s="221" t="str" cm="1">
        <f t="array" ref="AM24">_xlfn.IFS(LEFT('Monthly Update'!EE24, 3) = "*((", "", 'Monthly Update'!EE24="", "", TRUE, 'Monthly Update'!EE24)</f>
        <v/>
      </c>
      <c r="AN24" s="221" t="str" cm="1">
        <f t="array" ref="AN24">_xlfn.IFS(LEFT('Monthly Update'!EF24, 3) = "*((", "", 'Monthly Update'!EF24="", "", TRUE, 'Monthly Update'!EF24)</f>
        <v/>
      </c>
      <c r="AO24" s="221" t="str" cm="1">
        <f t="array" ref="AO24">_xlfn.IFS(LEFT('Monthly Update'!EG24, 3) = "*((", "", 'Monthly Update'!EG24="", "", TRUE, 'Monthly Update'!EG24)</f>
        <v/>
      </c>
      <c r="AP24" s="221" t="str" cm="1">
        <f t="array" ref="AP24">_xlfn.IFS(LEFT('Monthly Update'!EH24, 3) = "*((", "", 'Monthly Update'!EH24="", "", TRUE, 'Monthly Update'!EH24)</f>
        <v/>
      </c>
      <c r="AQ24" s="221" t="str" cm="1">
        <f t="array" ref="AQ24">_xlfn.IFS(LEFT('Monthly Update'!EI24, 3) = "*((", "", 'Monthly Update'!EI24="", "", TRUE, 'Monthly Update'!EI24)</f>
        <v/>
      </c>
      <c r="AR24" s="221" t="str" cm="1">
        <f t="array" ref="AR24">_xlfn.IFS(LEFT('Monthly Update'!EJ24, 3) = "*((", "", 'Monthly Update'!EJ24="", "", TRUE, 'Monthly Update'!EJ24)</f>
        <v/>
      </c>
      <c r="AS24" s="221" t="str" cm="1">
        <f t="array" ref="AS24">_xlfn.IFS(LEFT('Monthly Update'!EK24, 3) = "*((", "", 'Monthly Update'!EK24="", "", TRUE, 'Monthly Update'!EK24)</f>
        <v/>
      </c>
      <c r="AT24" s="221" t="str" cm="1">
        <f t="array" ref="AT24">_xlfn.IFS(LEFT('Monthly Update'!EL24, 3) = "*((", "", 'Monthly Update'!EL24="", "", TRUE, 'Monthly Update'!EL24)</f>
        <v/>
      </c>
      <c r="AU24" s="221" t="str" cm="1">
        <f t="array" ref="AU24">_xlfn.IFS(LEFT('Monthly Update'!EM24, 3) = "*((", "", 'Monthly Update'!EM24="", "", TRUE, 'Monthly Update'!EM24)</f>
        <v/>
      </c>
      <c r="AV24" s="221" t="str" cm="1">
        <f t="array" ref="AV24">_xlfn.IFS(LEFT('Monthly Update'!EN24, 3) = "*((", "", 'Monthly Update'!EN24="", "", TRUE, 'Monthly Update'!EN24)</f>
        <v/>
      </c>
      <c r="AW24" s="221" t="str" cm="1">
        <f t="array" ref="AW24">_xlfn.IFS(LEFT('Monthly Update'!EO24, 3) = "*((", "", 'Monthly Update'!EO24="", "", TRUE, 'Monthly Update'!EO24)</f>
        <v/>
      </c>
      <c r="NU24" s="252"/>
      <c r="NV24" s="252"/>
      <c r="NW24" s="252"/>
      <c r="NX24" s="252"/>
      <c r="NY24" s="252"/>
      <c r="NZ24" s="252"/>
      <c r="OA24" s="252"/>
      <c r="OB24" s="252"/>
      <c r="OC24" s="252"/>
      <c r="OD24" s="252"/>
      <c r="OE24" s="252"/>
      <c r="OF24" s="252"/>
      <c r="OG24" s="252"/>
      <c r="OH24" s="252"/>
      <c r="OI24" s="252"/>
      <c r="OJ24" s="252"/>
      <c r="OK24" s="252"/>
      <c r="OL24" s="252"/>
      <c r="OM24" s="252"/>
      <c r="ON24" s="252"/>
      <c r="OO24" s="252"/>
      <c r="OP24" s="252"/>
      <c r="OQ24" s="252"/>
      <c r="OR24" s="252"/>
      <c r="OS24" s="252"/>
      <c r="OT24" s="252"/>
      <c r="OU24" s="252"/>
      <c r="OV24" s="252"/>
      <c r="OW24" s="252"/>
      <c r="OX24" s="252"/>
      <c r="OY24" s="252"/>
      <c r="OZ24" s="252"/>
      <c r="PA24" s="252"/>
      <c r="PB24" s="252"/>
      <c r="PC24" s="252"/>
      <c r="PD24" s="252"/>
      <c r="PE24" s="252"/>
      <c r="PF24" s="252"/>
      <c r="PG24" s="252"/>
      <c r="PH24" s="252"/>
      <c r="PI24" s="252"/>
      <c r="PJ24" s="252"/>
      <c r="PK24" s="252"/>
      <c r="PL24" s="252"/>
      <c r="PM24" s="252"/>
      <c r="PN24" s="252"/>
      <c r="PO24" s="252"/>
      <c r="PP24" s="252"/>
      <c r="PQ24" s="252"/>
      <c r="PR24" s="252"/>
      <c r="PS24" s="252"/>
      <c r="PT24" s="252"/>
      <c r="PU24" s="252"/>
      <c r="PV24" s="252"/>
      <c r="PW24" s="252"/>
      <c r="PX24" s="252"/>
      <c r="PY24" s="252"/>
      <c r="PZ24" s="252"/>
      <c r="QA24" s="252"/>
      <c r="QB24" s="252"/>
      <c r="QC24" s="252"/>
      <c r="QD24" s="252"/>
      <c r="QE24" s="252"/>
      <c r="QF24" s="252"/>
      <c r="QG24" s="252"/>
      <c r="QH24" s="252"/>
      <c r="QI24" s="252"/>
      <c r="QJ24" s="252"/>
      <c r="QK24" s="252"/>
      <c r="QL24" s="252"/>
      <c r="QM24" s="252"/>
      <c r="QN24" s="252"/>
      <c r="QO24" s="252"/>
      <c r="QP24" s="252"/>
      <c r="QQ24" s="252"/>
      <c r="QR24" s="252"/>
      <c r="QS24" s="252"/>
      <c r="QT24" s="252"/>
      <c r="QU24" s="252"/>
      <c r="QV24" s="252"/>
      <c r="QW24" s="252"/>
      <c r="QX24" s="252"/>
      <c r="QY24" s="252"/>
      <c r="QZ24" s="252"/>
      <c r="RA24" s="252"/>
      <c r="RB24" s="252"/>
      <c r="RC24" s="252"/>
      <c r="RD24" s="252"/>
      <c r="RE24" s="252"/>
      <c r="RF24" s="252"/>
      <c r="RG24" s="252"/>
      <c r="RH24" s="252"/>
      <c r="RI24" s="252"/>
      <c r="RJ24" s="252"/>
      <c r="RK24" s="252"/>
      <c r="RL24" s="252"/>
      <c r="RM24" s="252"/>
      <c r="RN24" s="252"/>
      <c r="RO24" s="252"/>
      <c r="RP24" s="252"/>
      <c r="RQ24" s="252"/>
      <c r="RR24" s="252"/>
      <c r="RS24" s="252"/>
      <c r="RT24" s="252"/>
      <c r="RU24" s="252"/>
      <c r="RV24" s="252"/>
      <c r="RW24" s="252"/>
      <c r="RX24" s="252"/>
      <c r="RY24" s="252"/>
      <c r="RZ24" s="252"/>
      <c r="SA24" s="252"/>
      <c r="SB24" s="252"/>
      <c r="SC24" s="252"/>
      <c r="SD24" s="252"/>
      <c r="SE24" s="252"/>
      <c r="SF24" s="252"/>
      <c r="SG24" s="252"/>
      <c r="SH24" s="252"/>
      <c r="SI24" s="252"/>
      <c r="SJ24" s="252"/>
      <c r="SK24" s="252"/>
      <c r="SL24" s="252"/>
      <c r="SM24" s="252"/>
      <c r="SN24" s="252"/>
    </row>
    <row r="25" spans="1:508" s="243" customFormat="1" ht="15.6" customHeight="1" x14ac:dyDescent="0.55000000000000004">
      <c r="A25" s="220" t="str" cm="1">
        <f t="array" ref="A25">_xlfn.IFS(LEFT('Monthly Update'!A25, 3) = "*((", "", 'Monthly Update'!A25="", "", TRUE, 'Monthly Update'!A25)</f>
        <v/>
      </c>
      <c r="B25" s="220" t="str" cm="1">
        <f t="array" ref="B25">_xlfn.IFS(LEFT('Monthly Update'!B25, 3) = "*((", "", 'Monthly Update'!B25="", "", TRUE, 'Monthly Update'!B25)</f>
        <v/>
      </c>
      <c r="C25" s="221" t="str" cm="1">
        <f t="array" ref="C25">_xlfn.IFS(LEFT('Monthly Update'!CU25, 3) = "*((", "", 'Monthly Update'!CU25="", "", TRUE, 'Monthly Update'!CU25)</f>
        <v/>
      </c>
      <c r="D25" s="221" t="str" cm="1">
        <f t="array" ref="D25">_xlfn.IFS(LEFT('Monthly Update'!CV25, 3) = "*((", "", 'Monthly Update'!CV25="", "", TRUE, 'Monthly Update'!CV25)</f>
        <v/>
      </c>
      <c r="E25" s="221" t="str" cm="1">
        <f t="array" ref="E25">_xlfn.IFS(LEFT('Monthly Update'!CW25, 3) = "*((", "", 'Monthly Update'!CW25="", "", TRUE, 'Monthly Update'!CW25)</f>
        <v/>
      </c>
      <c r="F25" s="221" t="str" cm="1">
        <f t="array" ref="F25">_xlfn.IFS(LEFT('Monthly Update'!CX25, 3) = "*((", "", 'Monthly Update'!CX25="", "", TRUE, 'Monthly Update'!CX25)</f>
        <v/>
      </c>
      <c r="G25" s="221" t="str" cm="1">
        <f t="array" ref="G25">_xlfn.IFS(LEFT('Monthly Update'!CY25, 3) = "*((", "", 'Monthly Update'!CY25="", "", TRUE, 'Monthly Update'!CY25)</f>
        <v/>
      </c>
      <c r="H25" s="221" t="str" cm="1">
        <f t="array" ref="H25">_xlfn.IFS(LEFT('Monthly Update'!CZ25, 3) = "*((", "", 'Monthly Update'!CZ25="", "", TRUE, 'Monthly Update'!CZ25)</f>
        <v/>
      </c>
      <c r="I25" s="221" t="str" cm="1">
        <f t="array" ref="I25">_xlfn.IFS(LEFT('Monthly Update'!DA25, 3) = "*((", "", 'Monthly Update'!DA25="", "", TRUE, 'Monthly Update'!DA25)</f>
        <v/>
      </c>
      <c r="J25" s="221" t="str" cm="1">
        <f t="array" ref="J25">_xlfn.IFS(LEFT('Monthly Update'!DB25, 3) = "*((", "", 'Monthly Update'!DB25="", "", TRUE, 'Monthly Update'!DB25)</f>
        <v/>
      </c>
      <c r="K25" s="221" t="str" cm="1">
        <f t="array" ref="K25">_xlfn.IFS(LEFT('Monthly Update'!DC25, 3) = "*((", "", 'Monthly Update'!DC25="", "", TRUE, 'Monthly Update'!DC25)</f>
        <v/>
      </c>
      <c r="L25" s="221" t="str" cm="1">
        <f t="array" ref="L25">_xlfn.IFS(LEFT('Monthly Update'!DD25, 3) = "*((", "", 'Monthly Update'!DD25="", "", TRUE, 'Monthly Update'!DD25)</f>
        <v/>
      </c>
      <c r="M25" s="221" t="str" cm="1">
        <f t="array" ref="M25">_xlfn.IFS(LEFT('Monthly Update'!DE25, 3) = "*((", "", 'Monthly Update'!DE25="", "", TRUE, 'Monthly Update'!DE25)</f>
        <v/>
      </c>
      <c r="N25" s="221" t="str" cm="1">
        <f t="array" ref="N25">_xlfn.IFS(LEFT('Monthly Update'!DF25, 3) = "*((", "", 'Monthly Update'!DF25="", "", TRUE, 'Monthly Update'!DF25)</f>
        <v/>
      </c>
      <c r="O25" s="221" t="str" cm="1">
        <f t="array" ref="O25">_xlfn.IFS(LEFT('Monthly Update'!DG25, 3) = "*((", "", 'Monthly Update'!DG25="", "", TRUE, 'Monthly Update'!DG25)</f>
        <v/>
      </c>
      <c r="P25" s="221" t="str" cm="1">
        <f t="array" ref="P25">_xlfn.IFS(LEFT('Monthly Update'!DH25, 3) = "*((", "", 'Monthly Update'!DH25="", "", TRUE, 'Monthly Update'!DH25)</f>
        <v/>
      </c>
      <c r="Q25" s="221" t="str" cm="1">
        <f t="array" ref="Q25">_xlfn.IFS(LEFT('Monthly Update'!DI25, 3) = "*((", "", 'Monthly Update'!DI25="", "", TRUE, 'Monthly Update'!DI25)</f>
        <v/>
      </c>
      <c r="R25" s="221" t="str" cm="1">
        <f t="array" ref="R25">_xlfn.IFS(LEFT('Monthly Update'!DJ25, 3) = "*((", "", 'Monthly Update'!DJ25="", "", TRUE, 'Monthly Update'!DJ25)</f>
        <v/>
      </c>
      <c r="S25" s="221" t="str" cm="1">
        <f t="array" ref="S25">_xlfn.IFS(LEFT('Monthly Update'!DK25, 3) = "*((", "", 'Monthly Update'!DK25="", "", TRUE, 'Monthly Update'!DK25)</f>
        <v/>
      </c>
      <c r="T25" s="221" t="str" cm="1">
        <f t="array" ref="T25">_xlfn.IFS(LEFT('Monthly Update'!DL25, 3) = "*((", "", 'Monthly Update'!DL25="", "", TRUE, 'Monthly Update'!DL25)</f>
        <v/>
      </c>
      <c r="U25" s="221" t="str" cm="1">
        <f t="array" ref="U25">_xlfn.IFS(LEFT('Monthly Update'!DM25, 3) = "*((", "", 'Monthly Update'!DM25="", "", TRUE, 'Monthly Update'!DM25)</f>
        <v/>
      </c>
      <c r="V25" s="221" t="str" cm="1">
        <f t="array" ref="V25">_xlfn.IFS(LEFT('Monthly Update'!DN25, 3) = "*((", "", 'Monthly Update'!DN25="", "", TRUE, 'Monthly Update'!DN25)</f>
        <v/>
      </c>
      <c r="W25" s="221" t="str" cm="1">
        <f t="array" ref="W25">_xlfn.IFS(LEFT('Monthly Update'!DO25, 3) = "*((", "", 'Monthly Update'!DO25="", "", TRUE, 'Monthly Update'!DO25)</f>
        <v/>
      </c>
      <c r="X25" s="221" t="str" cm="1">
        <f t="array" ref="X25">_xlfn.IFS(LEFT('Monthly Update'!DP25, 3) = "*((", "", 'Monthly Update'!DP25="", "", TRUE, 'Monthly Update'!DP25)</f>
        <v/>
      </c>
      <c r="Y25" s="221" t="str" cm="1">
        <f t="array" ref="Y25">_xlfn.IFS(LEFT('Monthly Update'!DQ25, 3) = "*((", "", 'Monthly Update'!DQ25="", "", TRUE, 'Monthly Update'!DQ25)</f>
        <v/>
      </c>
      <c r="Z25" s="221" t="str" cm="1">
        <f t="array" ref="Z25">_xlfn.IFS(LEFT('Monthly Update'!DR25, 3) = "*((", "", 'Monthly Update'!DR25="", "", TRUE, 'Monthly Update'!DR25)</f>
        <v/>
      </c>
      <c r="AA25" s="221" t="str" cm="1">
        <f t="array" ref="AA25">_xlfn.IFS(LEFT('Monthly Update'!DS25, 3) = "*((", "", 'Monthly Update'!DS25="", "", TRUE, 'Monthly Update'!DS25)</f>
        <v/>
      </c>
      <c r="AB25" s="221" t="str" cm="1">
        <f t="array" ref="AB25">_xlfn.IFS(LEFT('Monthly Update'!DT25, 3) = "*((", "", 'Monthly Update'!DT25="", "", TRUE, 'Monthly Update'!DT25)</f>
        <v/>
      </c>
      <c r="AC25" s="221" t="str" cm="1">
        <f t="array" ref="AC25">_xlfn.IFS(LEFT('Monthly Update'!DU25, 3) = "*((", "", 'Monthly Update'!DU25="", "", TRUE, 'Monthly Update'!DU25)</f>
        <v/>
      </c>
      <c r="AD25" s="221" t="str" cm="1">
        <f t="array" ref="AD25">_xlfn.IFS(LEFT('Monthly Update'!DV25, 3) = "*((", "", 'Monthly Update'!DV25="", "", TRUE, 'Monthly Update'!DV25)</f>
        <v/>
      </c>
      <c r="AE25" s="221" t="str" cm="1">
        <f t="array" ref="AE25">_xlfn.IFS(LEFT('Monthly Update'!DW25, 3) = "*((", "", 'Monthly Update'!DW25="", "", TRUE, 'Monthly Update'!DW25)</f>
        <v/>
      </c>
      <c r="AF25" s="221" t="str" cm="1">
        <f t="array" ref="AF25">_xlfn.IFS(LEFT('Monthly Update'!DX25, 3) = "*((", "", 'Monthly Update'!DX25="", "", TRUE, 'Monthly Update'!DX25)</f>
        <v/>
      </c>
      <c r="AG25" s="221" t="str" cm="1">
        <f t="array" ref="AG25">_xlfn.IFS(LEFT('Monthly Update'!DY25, 3) = "*((", "", 'Monthly Update'!DY25="", "", TRUE, 'Monthly Update'!DY25)</f>
        <v/>
      </c>
      <c r="AH25" s="221" t="str" cm="1">
        <f t="array" ref="AH25">_xlfn.IFS(LEFT('Monthly Update'!DZ25, 3) = "*((", "", 'Monthly Update'!DZ25="", "", TRUE, 'Monthly Update'!DZ25)</f>
        <v/>
      </c>
      <c r="AI25" s="221" t="str" cm="1">
        <f t="array" ref="AI25">_xlfn.IFS(LEFT('Monthly Update'!EA25, 3) = "*((", "", 'Monthly Update'!EA25="", "", TRUE, 'Monthly Update'!EA25)</f>
        <v/>
      </c>
      <c r="AJ25" s="221" t="str" cm="1">
        <f t="array" ref="AJ25">_xlfn.IFS(LEFT('Monthly Update'!EB25, 3) = "*((", "", 'Monthly Update'!EB25="", "", TRUE, 'Monthly Update'!EB25)</f>
        <v/>
      </c>
      <c r="AK25" s="221" t="str" cm="1">
        <f t="array" ref="AK25">_xlfn.IFS(LEFT('Monthly Update'!EC25, 3) = "*((", "", 'Monthly Update'!EC25="", "", TRUE, 'Monthly Update'!EC25)</f>
        <v/>
      </c>
      <c r="AL25" s="221" t="str" cm="1">
        <f t="array" ref="AL25">_xlfn.IFS(LEFT('Monthly Update'!ED25, 3) = "*((", "", 'Monthly Update'!ED25="", "", TRUE, 'Monthly Update'!ED25)</f>
        <v/>
      </c>
      <c r="AM25" s="221" t="str" cm="1">
        <f t="array" ref="AM25">_xlfn.IFS(LEFT('Monthly Update'!EE25, 3) = "*((", "", 'Monthly Update'!EE25="", "", TRUE, 'Monthly Update'!EE25)</f>
        <v/>
      </c>
      <c r="AN25" s="221" t="str" cm="1">
        <f t="array" ref="AN25">_xlfn.IFS(LEFT('Monthly Update'!EF25, 3) = "*((", "", 'Monthly Update'!EF25="", "", TRUE, 'Monthly Update'!EF25)</f>
        <v/>
      </c>
      <c r="AO25" s="221" t="str" cm="1">
        <f t="array" ref="AO25">_xlfn.IFS(LEFT('Monthly Update'!EG25, 3) = "*((", "", 'Monthly Update'!EG25="", "", TRUE, 'Monthly Update'!EG25)</f>
        <v/>
      </c>
      <c r="AP25" s="221" t="str" cm="1">
        <f t="array" ref="AP25">_xlfn.IFS(LEFT('Monthly Update'!EH25, 3) = "*((", "", 'Monthly Update'!EH25="", "", TRUE, 'Monthly Update'!EH25)</f>
        <v/>
      </c>
      <c r="AQ25" s="221" t="str" cm="1">
        <f t="array" ref="AQ25">_xlfn.IFS(LEFT('Monthly Update'!EI25, 3) = "*((", "", 'Monthly Update'!EI25="", "", TRUE, 'Monthly Update'!EI25)</f>
        <v/>
      </c>
      <c r="AR25" s="221" t="str" cm="1">
        <f t="array" ref="AR25">_xlfn.IFS(LEFT('Monthly Update'!EJ25, 3) = "*((", "", 'Monthly Update'!EJ25="", "", TRUE, 'Monthly Update'!EJ25)</f>
        <v/>
      </c>
      <c r="AS25" s="221" t="str" cm="1">
        <f t="array" ref="AS25">_xlfn.IFS(LEFT('Monthly Update'!EK25, 3) = "*((", "", 'Monthly Update'!EK25="", "", TRUE, 'Monthly Update'!EK25)</f>
        <v/>
      </c>
      <c r="AT25" s="221" t="str" cm="1">
        <f t="array" ref="AT25">_xlfn.IFS(LEFT('Monthly Update'!EL25, 3) = "*((", "", 'Monthly Update'!EL25="", "", TRUE, 'Monthly Update'!EL25)</f>
        <v/>
      </c>
      <c r="AU25" s="221" t="str" cm="1">
        <f t="array" ref="AU25">_xlfn.IFS(LEFT('Monthly Update'!EM25, 3) = "*((", "", 'Monthly Update'!EM25="", "", TRUE, 'Monthly Update'!EM25)</f>
        <v/>
      </c>
      <c r="AV25" s="221" t="str" cm="1">
        <f t="array" ref="AV25">_xlfn.IFS(LEFT('Monthly Update'!EN25, 3) = "*((", "", 'Monthly Update'!EN25="", "", TRUE, 'Monthly Update'!EN25)</f>
        <v/>
      </c>
      <c r="AW25" s="221" t="str" cm="1">
        <f t="array" ref="AW25">_xlfn.IFS(LEFT('Monthly Update'!EO25, 3) = "*((", "", 'Monthly Update'!EO25="", "", TRUE, 'Monthly Update'!EO25)</f>
        <v/>
      </c>
      <c r="NU25" s="252"/>
      <c r="NV25" s="252"/>
      <c r="NW25" s="252"/>
      <c r="NX25" s="252"/>
      <c r="NY25" s="252"/>
      <c r="NZ25" s="252"/>
      <c r="OA25" s="252"/>
      <c r="OB25" s="252"/>
      <c r="OC25" s="252"/>
      <c r="OD25" s="252"/>
      <c r="OE25" s="252"/>
      <c r="OF25" s="252"/>
      <c r="OG25" s="252"/>
      <c r="OH25" s="252"/>
      <c r="OI25" s="252"/>
      <c r="OJ25" s="252"/>
      <c r="OK25" s="252"/>
      <c r="OL25" s="252"/>
      <c r="OM25" s="252"/>
      <c r="ON25" s="252"/>
      <c r="OO25" s="252"/>
      <c r="OP25" s="252"/>
      <c r="OQ25" s="252"/>
      <c r="OR25" s="252"/>
      <c r="OS25" s="252"/>
      <c r="OT25" s="252"/>
      <c r="OU25" s="252"/>
      <c r="OV25" s="252"/>
      <c r="OW25" s="252"/>
      <c r="OX25" s="252"/>
      <c r="OY25" s="252"/>
      <c r="OZ25" s="252"/>
      <c r="PA25" s="252"/>
      <c r="PB25" s="252"/>
      <c r="PC25" s="252"/>
      <c r="PD25" s="252"/>
      <c r="PE25" s="252"/>
      <c r="PF25" s="252"/>
      <c r="PG25" s="252"/>
      <c r="PH25" s="252"/>
      <c r="PI25" s="252"/>
      <c r="PJ25" s="252"/>
      <c r="PK25" s="252"/>
      <c r="PL25" s="252"/>
      <c r="PM25" s="252"/>
      <c r="PN25" s="252"/>
      <c r="PO25" s="252"/>
      <c r="PP25" s="252"/>
      <c r="PQ25" s="252"/>
      <c r="PR25" s="252"/>
      <c r="PS25" s="252"/>
      <c r="PT25" s="252"/>
      <c r="PU25" s="252"/>
      <c r="PV25" s="252"/>
      <c r="PW25" s="252"/>
      <c r="PX25" s="252"/>
      <c r="PY25" s="252"/>
      <c r="PZ25" s="252"/>
      <c r="QA25" s="252"/>
      <c r="QB25" s="252"/>
      <c r="QC25" s="252"/>
      <c r="QD25" s="252"/>
      <c r="QE25" s="252"/>
      <c r="QF25" s="252"/>
      <c r="QG25" s="252"/>
      <c r="QH25" s="252"/>
      <c r="QI25" s="252"/>
      <c r="QJ25" s="252"/>
      <c r="QK25" s="252"/>
      <c r="QL25" s="252"/>
      <c r="QM25" s="252"/>
      <c r="QN25" s="252"/>
      <c r="QO25" s="252"/>
      <c r="QP25" s="252"/>
      <c r="QQ25" s="252"/>
      <c r="QR25" s="252"/>
      <c r="QS25" s="252"/>
      <c r="QT25" s="252"/>
      <c r="QU25" s="252"/>
      <c r="QV25" s="252"/>
      <c r="QW25" s="252"/>
      <c r="QX25" s="252"/>
      <c r="QY25" s="252"/>
      <c r="QZ25" s="252"/>
      <c r="RA25" s="252"/>
      <c r="RB25" s="252"/>
      <c r="RC25" s="252"/>
      <c r="RD25" s="252"/>
      <c r="RE25" s="252"/>
      <c r="RF25" s="252"/>
      <c r="RG25" s="252"/>
      <c r="RH25" s="252"/>
      <c r="RI25" s="252"/>
      <c r="RJ25" s="252"/>
      <c r="RK25" s="252"/>
      <c r="RL25" s="252"/>
      <c r="RM25" s="252"/>
      <c r="RN25" s="252"/>
      <c r="RO25" s="252"/>
      <c r="RP25" s="252"/>
      <c r="RQ25" s="252"/>
      <c r="RR25" s="252"/>
      <c r="RS25" s="252"/>
      <c r="RT25" s="252"/>
      <c r="RU25" s="252"/>
      <c r="RV25" s="252"/>
      <c r="RW25" s="252"/>
      <c r="RX25" s="252"/>
      <c r="RY25" s="252"/>
      <c r="RZ25" s="252"/>
      <c r="SA25" s="252"/>
      <c r="SB25" s="252"/>
      <c r="SC25" s="252"/>
      <c r="SD25" s="252"/>
      <c r="SE25" s="252"/>
      <c r="SF25" s="252"/>
      <c r="SG25" s="252"/>
      <c r="SH25" s="252"/>
      <c r="SI25" s="252"/>
      <c r="SJ25" s="252"/>
      <c r="SK25" s="252"/>
      <c r="SL25" s="252"/>
      <c r="SM25" s="252"/>
      <c r="SN25" s="252"/>
    </row>
    <row r="26" spans="1:508" s="243" customFormat="1" ht="15.6" customHeight="1" x14ac:dyDescent="0.55000000000000004">
      <c r="A26" s="220" t="str" cm="1">
        <f t="array" ref="A26">_xlfn.IFS(LEFT('Monthly Update'!A26, 3) = "*((", "", 'Monthly Update'!A26="", "", TRUE, 'Monthly Update'!A26)</f>
        <v/>
      </c>
      <c r="B26" s="220" t="str" cm="1">
        <f t="array" ref="B26">_xlfn.IFS(LEFT('Monthly Update'!B26, 3) = "*((", "", 'Monthly Update'!B26="", "", TRUE, 'Monthly Update'!B26)</f>
        <v/>
      </c>
      <c r="C26" s="221" t="str" cm="1">
        <f t="array" ref="C26">_xlfn.IFS(LEFT('Monthly Update'!CU26, 3) = "*((", "", 'Monthly Update'!CU26="", "", TRUE, 'Monthly Update'!CU26)</f>
        <v/>
      </c>
      <c r="D26" s="221" t="str" cm="1">
        <f t="array" ref="D26">_xlfn.IFS(LEFT('Monthly Update'!CV26, 3) = "*((", "", 'Monthly Update'!CV26="", "", TRUE, 'Monthly Update'!CV26)</f>
        <v/>
      </c>
      <c r="E26" s="221" t="str" cm="1">
        <f t="array" ref="E26">_xlfn.IFS(LEFT('Monthly Update'!CW26, 3) = "*((", "", 'Monthly Update'!CW26="", "", TRUE, 'Monthly Update'!CW26)</f>
        <v/>
      </c>
      <c r="F26" s="221" t="str" cm="1">
        <f t="array" ref="F26">_xlfn.IFS(LEFT('Monthly Update'!CX26, 3) = "*((", "", 'Monthly Update'!CX26="", "", TRUE, 'Monthly Update'!CX26)</f>
        <v/>
      </c>
      <c r="G26" s="221" t="str" cm="1">
        <f t="array" ref="G26">_xlfn.IFS(LEFT('Monthly Update'!CY26, 3) = "*((", "", 'Monthly Update'!CY26="", "", TRUE, 'Monthly Update'!CY26)</f>
        <v/>
      </c>
      <c r="H26" s="221" t="str" cm="1">
        <f t="array" ref="H26">_xlfn.IFS(LEFT('Monthly Update'!CZ26, 3) = "*((", "", 'Monthly Update'!CZ26="", "", TRUE, 'Monthly Update'!CZ26)</f>
        <v/>
      </c>
      <c r="I26" s="221" t="str" cm="1">
        <f t="array" ref="I26">_xlfn.IFS(LEFT('Monthly Update'!DA26, 3) = "*((", "", 'Monthly Update'!DA26="", "", TRUE, 'Monthly Update'!DA26)</f>
        <v/>
      </c>
      <c r="J26" s="221" t="str" cm="1">
        <f t="array" ref="J26">_xlfn.IFS(LEFT('Monthly Update'!DB26, 3) = "*((", "", 'Monthly Update'!DB26="", "", TRUE, 'Monthly Update'!DB26)</f>
        <v/>
      </c>
      <c r="K26" s="221" t="str" cm="1">
        <f t="array" ref="K26">_xlfn.IFS(LEFT('Monthly Update'!DC26, 3) = "*((", "", 'Monthly Update'!DC26="", "", TRUE, 'Monthly Update'!DC26)</f>
        <v/>
      </c>
      <c r="L26" s="221" t="str" cm="1">
        <f t="array" ref="L26">_xlfn.IFS(LEFT('Monthly Update'!DD26, 3) = "*((", "", 'Monthly Update'!DD26="", "", TRUE, 'Monthly Update'!DD26)</f>
        <v/>
      </c>
      <c r="M26" s="221" t="str" cm="1">
        <f t="array" ref="M26">_xlfn.IFS(LEFT('Monthly Update'!DE26, 3) = "*((", "", 'Monthly Update'!DE26="", "", TRUE, 'Monthly Update'!DE26)</f>
        <v/>
      </c>
      <c r="N26" s="221" t="str" cm="1">
        <f t="array" ref="N26">_xlfn.IFS(LEFT('Monthly Update'!DF26, 3) = "*((", "", 'Monthly Update'!DF26="", "", TRUE, 'Monthly Update'!DF26)</f>
        <v/>
      </c>
      <c r="O26" s="221" t="str" cm="1">
        <f t="array" ref="O26">_xlfn.IFS(LEFT('Monthly Update'!DG26, 3) = "*((", "", 'Monthly Update'!DG26="", "", TRUE, 'Monthly Update'!DG26)</f>
        <v/>
      </c>
      <c r="P26" s="221" t="str" cm="1">
        <f t="array" ref="P26">_xlfn.IFS(LEFT('Monthly Update'!DH26, 3) = "*((", "", 'Monthly Update'!DH26="", "", TRUE, 'Monthly Update'!DH26)</f>
        <v/>
      </c>
      <c r="Q26" s="221" t="str" cm="1">
        <f t="array" ref="Q26">_xlfn.IFS(LEFT('Monthly Update'!DI26, 3) = "*((", "", 'Monthly Update'!DI26="", "", TRUE, 'Monthly Update'!DI26)</f>
        <v/>
      </c>
      <c r="R26" s="221" t="str" cm="1">
        <f t="array" ref="R26">_xlfn.IFS(LEFT('Monthly Update'!DJ26, 3) = "*((", "", 'Monthly Update'!DJ26="", "", TRUE, 'Monthly Update'!DJ26)</f>
        <v/>
      </c>
      <c r="S26" s="221" t="str" cm="1">
        <f t="array" ref="S26">_xlfn.IFS(LEFT('Monthly Update'!DK26, 3) = "*((", "", 'Monthly Update'!DK26="", "", TRUE, 'Monthly Update'!DK26)</f>
        <v/>
      </c>
      <c r="T26" s="221" t="str" cm="1">
        <f t="array" ref="T26">_xlfn.IFS(LEFT('Monthly Update'!DL26, 3) = "*((", "", 'Monthly Update'!DL26="", "", TRUE, 'Monthly Update'!DL26)</f>
        <v/>
      </c>
      <c r="U26" s="221" t="str" cm="1">
        <f t="array" ref="U26">_xlfn.IFS(LEFT('Monthly Update'!DM26, 3) = "*((", "", 'Monthly Update'!DM26="", "", TRUE, 'Monthly Update'!DM26)</f>
        <v/>
      </c>
      <c r="V26" s="221" t="str" cm="1">
        <f t="array" ref="V26">_xlfn.IFS(LEFT('Monthly Update'!DN26, 3) = "*((", "", 'Monthly Update'!DN26="", "", TRUE, 'Monthly Update'!DN26)</f>
        <v/>
      </c>
      <c r="W26" s="221" t="str" cm="1">
        <f t="array" ref="W26">_xlfn.IFS(LEFT('Monthly Update'!DO26, 3) = "*((", "", 'Monthly Update'!DO26="", "", TRUE, 'Monthly Update'!DO26)</f>
        <v/>
      </c>
      <c r="X26" s="221" t="str" cm="1">
        <f t="array" ref="X26">_xlfn.IFS(LEFT('Monthly Update'!DP26, 3) = "*((", "", 'Monthly Update'!DP26="", "", TRUE, 'Monthly Update'!DP26)</f>
        <v/>
      </c>
      <c r="Y26" s="221" t="str" cm="1">
        <f t="array" ref="Y26">_xlfn.IFS(LEFT('Monthly Update'!DQ26, 3) = "*((", "", 'Monthly Update'!DQ26="", "", TRUE, 'Monthly Update'!DQ26)</f>
        <v/>
      </c>
      <c r="Z26" s="221" t="str" cm="1">
        <f t="array" ref="Z26">_xlfn.IFS(LEFT('Monthly Update'!DR26, 3) = "*((", "", 'Monthly Update'!DR26="", "", TRUE, 'Monthly Update'!DR26)</f>
        <v/>
      </c>
      <c r="AA26" s="221" t="str" cm="1">
        <f t="array" ref="AA26">_xlfn.IFS(LEFT('Monthly Update'!DS26, 3) = "*((", "", 'Monthly Update'!DS26="", "", TRUE, 'Monthly Update'!DS26)</f>
        <v/>
      </c>
      <c r="AB26" s="221" t="str" cm="1">
        <f t="array" ref="AB26">_xlfn.IFS(LEFT('Monthly Update'!DT26, 3) = "*((", "", 'Monthly Update'!DT26="", "", TRUE, 'Monthly Update'!DT26)</f>
        <v/>
      </c>
      <c r="AC26" s="221" t="str" cm="1">
        <f t="array" ref="AC26">_xlfn.IFS(LEFT('Monthly Update'!DU26, 3) = "*((", "", 'Monthly Update'!DU26="", "", TRUE, 'Monthly Update'!DU26)</f>
        <v/>
      </c>
      <c r="AD26" s="221" t="str" cm="1">
        <f t="array" ref="AD26">_xlfn.IFS(LEFT('Monthly Update'!DV26, 3) = "*((", "", 'Monthly Update'!DV26="", "", TRUE, 'Monthly Update'!DV26)</f>
        <v/>
      </c>
      <c r="AE26" s="221" t="str" cm="1">
        <f t="array" ref="AE26">_xlfn.IFS(LEFT('Monthly Update'!DW26, 3) = "*((", "", 'Monthly Update'!DW26="", "", TRUE, 'Monthly Update'!DW26)</f>
        <v/>
      </c>
      <c r="AF26" s="221" t="str" cm="1">
        <f t="array" ref="AF26">_xlfn.IFS(LEFT('Monthly Update'!DX26, 3) = "*((", "", 'Monthly Update'!DX26="", "", TRUE, 'Monthly Update'!DX26)</f>
        <v/>
      </c>
      <c r="AG26" s="221" t="str" cm="1">
        <f t="array" ref="AG26">_xlfn.IFS(LEFT('Monthly Update'!DY26, 3) = "*((", "", 'Monthly Update'!DY26="", "", TRUE, 'Monthly Update'!DY26)</f>
        <v/>
      </c>
      <c r="AH26" s="221" t="str" cm="1">
        <f t="array" ref="AH26">_xlfn.IFS(LEFT('Monthly Update'!DZ26, 3) = "*((", "", 'Monthly Update'!DZ26="", "", TRUE, 'Monthly Update'!DZ26)</f>
        <v/>
      </c>
      <c r="AI26" s="221" t="str" cm="1">
        <f t="array" ref="AI26">_xlfn.IFS(LEFT('Monthly Update'!EA26, 3) = "*((", "", 'Monthly Update'!EA26="", "", TRUE, 'Monthly Update'!EA26)</f>
        <v/>
      </c>
      <c r="AJ26" s="221" t="str" cm="1">
        <f t="array" ref="AJ26">_xlfn.IFS(LEFT('Monthly Update'!EB26, 3) = "*((", "", 'Monthly Update'!EB26="", "", TRUE, 'Monthly Update'!EB26)</f>
        <v/>
      </c>
      <c r="AK26" s="221" t="str" cm="1">
        <f t="array" ref="AK26">_xlfn.IFS(LEFT('Monthly Update'!EC26, 3) = "*((", "", 'Monthly Update'!EC26="", "", TRUE, 'Monthly Update'!EC26)</f>
        <v/>
      </c>
      <c r="AL26" s="221" t="str" cm="1">
        <f t="array" ref="AL26">_xlfn.IFS(LEFT('Monthly Update'!ED26, 3) = "*((", "", 'Monthly Update'!ED26="", "", TRUE, 'Monthly Update'!ED26)</f>
        <v/>
      </c>
      <c r="AM26" s="221" t="str" cm="1">
        <f t="array" ref="AM26">_xlfn.IFS(LEFT('Monthly Update'!EE26, 3) = "*((", "", 'Monthly Update'!EE26="", "", TRUE, 'Monthly Update'!EE26)</f>
        <v/>
      </c>
      <c r="AN26" s="221" t="str" cm="1">
        <f t="array" ref="AN26">_xlfn.IFS(LEFT('Monthly Update'!EF26, 3) = "*((", "", 'Monthly Update'!EF26="", "", TRUE, 'Monthly Update'!EF26)</f>
        <v/>
      </c>
      <c r="AO26" s="221" t="str" cm="1">
        <f t="array" ref="AO26">_xlfn.IFS(LEFT('Monthly Update'!EG26, 3) = "*((", "", 'Monthly Update'!EG26="", "", TRUE, 'Monthly Update'!EG26)</f>
        <v/>
      </c>
      <c r="AP26" s="221" t="str" cm="1">
        <f t="array" ref="AP26">_xlfn.IFS(LEFT('Monthly Update'!EH26, 3) = "*((", "", 'Monthly Update'!EH26="", "", TRUE, 'Monthly Update'!EH26)</f>
        <v/>
      </c>
      <c r="AQ26" s="221" t="str" cm="1">
        <f t="array" ref="AQ26">_xlfn.IFS(LEFT('Monthly Update'!EI26, 3) = "*((", "", 'Monthly Update'!EI26="", "", TRUE, 'Monthly Update'!EI26)</f>
        <v/>
      </c>
      <c r="AR26" s="221" t="str" cm="1">
        <f t="array" ref="AR26">_xlfn.IFS(LEFT('Monthly Update'!EJ26, 3) = "*((", "", 'Monthly Update'!EJ26="", "", TRUE, 'Monthly Update'!EJ26)</f>
        <v/>
      </c>
      <c r="AS26" s="221" t="str" cm="1">
        <f t="array" ref="AS26">_xlfn.IFS(LEFT('Monthly Update'!EK26, 3) = "*((", "", 'Monthly Update'!EK26="", "", TRUE, 'Monthly Update'!EK26)</f>
        <v/>
      </c>
      <c r="AT26" s="221" t="str" cm="1">
        <f t="array" ref="AT26">_xlfn.IFS(LEFT('Monthly Update'!EL26, 3) = "*((", "", 'Monthly Update'!EL26="", "", TRUE, 'Monthly Update'!EL26)</f>
        <v/>
      </c>
      <c r="AU26" s="221" t="str" cm="1">
        <f t="array" ref="AU26">_xlfn.IFS(LEFT('Monthly Update'!EM26, 3) = "*((", "", 'Monthly Update'!EM26="", "", TRUE, 'Monthly Update'!EM26)</f>
        <v/>
      </c>
      <c r="AV26" s="221" t="str" cm="1">
        <f t="array" ref="AV26">_xlfn.IFS(LEFT('Monthly Update'!EN26, 3) = "*((", "", 'Monthly Update'!EN26="", "", TRUE, 'Monthly Update'!EN26)</f>
        <v/>
      </c>
      <c r="AW26" s="221" t="str" cm="1">
        <f t="array" ref="AW26">_xlfn.IFS(LEFT('Monthly Update'!EO26, 3) = "*((", "", 'Monthly Update'!EO26="", "", TRUE, 'Monthly Update'!EO26)</f>
        <v/>
      </c>
      <c r="NU26" s="252"/>
      <c r="NV26" s="252"/>
      <c r="NW26" s="252"/>
      <c r="NX26" s="252"/>
      <c r="NY26" s="252"/>
      <c r="NZ26" s="252"/>
      <c r="OA26" s="252"/>
      <c r="OB26" s="252"/>
      <c r="OC26" s="252"/>
      <c r="OD26" s="252"/>
      <c r="OE26" s="252"/>
      <c r="OF26" s="252"/>
      <c r="OG26" s="252"/>
      <c r="OH26" s="252"/>
      <c r="OI26" s="252"/>
      <c r="OJ26" s="252"/>
      <c r="OK26" s="252"/>
      <c r="OL26" s="252"/>
      <c r="OM26" s="252"/>
      <c r="ON26" s="252"/>
      <c r="OO26" s="252"/>
      <c r="OP26" s="252"/>
      <c r="OQ26" s="252"/>
      <c r="OR26" s="252"/>
      <c r="OS26" s="252"/>
      <c r="OT26" s="252"/>
      <c r="OU26" s="252"/>
      <c r="OV26" s="252"/>
      <c r="OW26" s="252"/>
      <c r="OX26" s="252"/>
      <c r="OY26" s="252"/>
      <c r="OZ26" s="252"/>
      <c r="PA26" s="252"/>
      <c r="PB26" s="252"/>
      <c r="PC26" s="252"/>
      <c r="PD26" s="252"/>
      <c r="PE26" s="252"/>
      <c r="PF26" s="252"/>
      <c r="PG26" s="252"/>
      <c r="PH26" s="252"/>
      <c r="PI26" s="252"/>
      <c r="PJ26" s="252"/>
      <c r="PK26" s="252"/>
      <c r="PL26" s="252"/>
      <c r="PM26" s="252"/>
      <c r="PN26" s="252"/>
      <c r="PO26" s="252"/>
      <c r="PP26" s="252"/>
      <c r="PQ26" s="252"/>
      <c r="PR26" s="252"/>
      <c r="PS26" s="252"/>
      <c r="PT26" s="252"/>
      <c r="PU26" s="252"/>
      <c r="PV26" s="252"/>
      <c r="PW26" s="252"/>
      <c r="PX26" s="252"/>
      <c r="PY26" s="252"/>
      <c r="PZ26" s="252"/>
      <c r="QA26" s="252"/>
      <c r="QB26" s="252"/>
      <c r="QC26" s="252"/>
      <c r="QD26" s="252"/>
      <c r="QE26" s="252"/>
      <c r="QF26" s="252"/>
      <c r="QG26" s="252"/>
      <c r="QH26" s="252"/>
      <c r="QI26" s="252"/>
      <c r="QJ26" s="252"/>
      <c r="QK26" s="252"/>
      <c r="QL26" s="252"/>
      <c r="QM26" s="252"/>
      <c r="QN26" s="252"/>
      <c r="QO26" s="252"/>
      <c r="QP26" s="252"/>
      <c r="QQ26" s="252"/>
      <c r="QR26" s="252"/>
      <c r="QS26" s="252"/>
      <c r="QT26" s="252"/>
      <c r="QU26" s="252"/>
      <c r="QV26" s="252"/>
      <c r="QW26" s="252"/>
      <c r="QX26" s="252"/>
      <c r="QY26" s="252"/>
      <c r="QZ26" s="252"/>
      <c r="RA26" s="252"/>
      <c r="RB26" s="252"/>
      <c r="RC26" s="252"/>
      <c r="RD26" s="252"/>
      <c r="RE26" s="252"/>
      <c r="RF26" s="252"/>
      <c r="RG26" s="252"/>
      <c r="RH26" s="252"/>
      <c r="RI26" s="252"/>
      <c r="RJ26" s="252"/>
      <c r="RK26" s="252"/>
      <c r="RL26" s="252"/>
      <c r="RM26" s="252"/>
      <c r="RN26" s="252"/>
      <c r="RO26" s="252"/>
      <c r="RP26" s="252"/>
      <c r="RQ26" s="252"/>
      <c r="RR26" s="252"/>
      <c r="RS26" s="252"/>
      <c r="RT26" s="252"/>
      <c r="RU26" s="252"/>
      <c r="RV26" s="252"/>
      <c r="RW26" s="252"/>
      <c r="RX26" s="252"/>
      <c r="RY26" s="252"/>
      <c r="RZ26" s="252"/>
      <c r="SA26" s="252"/>
      <c r="SB26" s="252"/>
      <c r="SC26" s="252"/>
      <c r="SD26" s="252"/>
      <c r="SE26" s="252"/>
      <c r="SF26" s="252"/>
      <c r="SG26" s="252"/>
      <c r="SH26" s="252"/>
      <c r="SI26" s="252"/>
      <c r="SJ26" s="252"/>
      <c r="SK26" s="252"/>
      <c r="SL26" s="252"/>
      <c r="SM26" s="252"/>
      <c r="SN26" s="252"/>
    </row>
    <row r="27" spans="1:508" s="243" customFormat="1" ht="15.6" customHeight="1" x14ac:dyDescent="0.55000000000000004">
      <c r="A27" s="220" t="str" cm="1">
        <f t="array" ref="A27">_xlfn.IFS(LEFT('Monthly Update'!A27, 3) = "*((", "", 'Monthly Update'!A27="", "", TRUE, 'Monthly Update'!A27)</f>
        <v/>
      </c>
      <c r="B27" s="220" t="str" cm="1">
        <f t="array" ref="B27">_xlfn.IFS(LEFT('Monthly Update'!B27, 3) = "*((", "", 'Monthly Update'!B27="", "", TRUE, 'Monthly Update'!B27)</f>
        <v/>
      </c>
      <c r="C27" s="221" t="str" cm="1">
        <f t="array" ref="C27">_xlfn.IFS(LEFT('Monthly Update'!CU27, 3) = "*((", "", 'Monthly Update'!CU27="", "", TRUE, 'Monthly Update'!CU27)</f>
        <v/>
      </c>
      <c r="D27" s="221" t="str" cm="1">
        <f t="array" ref="D27">_xlfn.IFS(LEFT('Monthly Update'!CV27, 3) = "*((", "", 'Monthly Update'!CV27="", "", TRUE, 'Monthly Update'!CV27)</f>
        <v/>
      </c>
      <c r="E27" s="221" t="str" cm="1">
        <f t="array" ref="E27">_xlfn.IFS(LEFT('Monthly Update'!CW27, 3) = "*((", "", 'Monthly Update'!CW27="", "", TRUE, 'Monthly Update'!CW27)</f>
        <v/>
      </c>
      <c r="F27" s="221" t="str" cm="1">
        <f t="array" ref="F27">_xlfn.IFS(LEFT('Monthly Update'!CX27, 3) = "*((", "", 'Monthly Update'!CX27="", "", TRUE, 'Monthly Update'!CX27)</f>
        <v/>
      </c>
      <c r="G27" s="221" t="str" cm="1">
        <f t="array" ref="G27">_xlfn.IFS(LEFT('Monthly Update'!CY27, 3) = "*((", "", 'Monthly Update'!CY27="", "", TRUE, 'Monthly Update'!CY27)</f>
        <v/>
      </c>
      <c r="H27" s="221" t="str" cm="1">
        <f t="array" ref="H27">_xlfn.IFS(LEFT('Monthly Update'!CZ27, 3) = "*((", "", 'Monthly Update'!CZ27="", "", TRUE, 'Monthly Update'!CZ27)</f>
        <v/>
      </c>
      <c r="I27" s="221" t="str" cm="1">
        <f t="array" ref="I27">_xlfn.IFS(LEFT('Monthly Update'!DA27, 3) = "*((", "", 'Monthly Update'!DA27="", "", TRUE, 'Monthly Update'!DA27)</f>
        <v/>
      </c>
      <c r="J27" s="221" t="str" cm="1">
        <f t="array" ref="J27">_xlfn.IFS(LEFT('Monthly Update'!DB27, 3) = "*((", "", 'Monthly Update'!DB27="", "", TRUE, 'Monthly Update'!DB27)</f>
        <v/>
      </c>
      <c r="K27" s="221" t="str" cm="1">
        <f t="array" ref="K27">_xlfn.IFS(LEFT('Monthly Update'!DC27, 3) = "*((", "", 'Monthly Update'!DC27="", "", TRUE, 'Monthly Update'!DC27)</f>
        <v/>
      </c>
      <c r="L27" s="221" t="str" cm="1">
        <f t="array" ref="L27">_xlfn.IFS(LEFT('Monthly Update'!DD27, 3) = "*((", "", 'Monthly Update'!DD27="", "", TRUE, 'Monthly Update'!DD27)</f>
        <v/>
      </c>
      <c r="M27" s="221" t="str" cm="1">
        <f t="array" ref="M27">_xlfn.IFS(LEFT('Monthly Update'!DE27, 3) = "*((", "", 'Monthly Update'!DE27="", "", TRUE, 'Monthly Update'!DE27)</f>
        <v/>
      </c>
      <c r="N27" s="221" t="str" cm="1">
        <f t="array" ref="N27">_xlfn.IFS(LEFT('Monthly Update'!DF27, 3) = "*((", "", 'Monthly Update'!DF27="", "", TRUE, 'Monthly Update'!DF27)</f>
        <v/>
      </c>
      <c r="O27" s="221" t="str" cm="1">
        <f t="array" ref="O27">_xlfn.IFS(LEFT('Monthly Update'!DG27, 3) = "*((", "", 'Monthly Update'!DG27="", "", TRUE, 'Monthly Update'!DG27)</f>
        <v/>
      </c>
      <c r="P27" s="221" t="str" cm="1">
        <f t="array" ref="P27">_xlfn.IFS(LEFT('Monthly Update'!DH27, 3) = "*((", "", 'Monthly Update'!DH27="", "", TRUE, 'Monthly Update'!DH27)</f>
        <v/>
      </c>
      <c r="Q27" s="221" t="str" cm="1">
        <f t="array" ref="Q27">_xlfn.IFS(LEFT('Monthly Update'!DI27, 3) = "*((", "", 'Monthly Update'!DI27="", "", TRUE, 'Monthly Update'!DI27)</f>
        <v/>
      </c>
      <c r="R27" s="221" t="str" cm="1">
        <f t="array" ref="R27">_xlfn.IFS(LEFT('Monthly Update'!DJ27, 3) = "*((", "", 'Monthly Update'!DJ27="", "", TRUE, 'Monthly Update'!DJ27)</f>
        <v/>
      </c>
      <c r="S27" s="221" t="str" cm="1">
        <f t="array" ref="S27">_xlfn.IFS(LEFT('Monthly Update'!DK27, 3) = "*((", "", 'Monthly Update'!DK27="", "", TRUE, 'Monthly Update'!DK27)</f>
        <v/>
      </c>
      <c r="T27" s="221" t="str" cm="1">
        <f t="array" ref="T27">_xlfn.IFS(LEFT('Monthly Update'!DL27, 3) = "*((", "", 'Monthly Update'!DL27="", "", TRUE, 'Monthly Update'!DL27)</f>
        <v/>
      </c>
      <c r="U27" s="221" t="str" cm="1">
        <f t="array" ref="U27">_xlfn.IFS(LEFT('Monthly Update'!DM27, 3) = "*((", "", 'Monthly Update'!DM27="", "", TRUE, 'Monthly Update'!DM27)</f>
        <v/>
      </c>
      <c r="V27" s="221" t="str" cm="1">
        <f t="array" ref="V27">_xlfn.IFS(LEFT('Monthly Update'!DN27, 3) = "*((", "", 'Monthly Update'!DN27="", "", TRUE, 'Monthly Update'!DN27)</f>
        <v/>
      </c>
      <c r="W27" s="221" t="str" cm="1">
        <f t="array" ref="W27">_xlfn.IFS(LEFT('Monthly Update'!DO27, 3) = "*((", "", 'Monthly Update'!DO27="", "", TRUE, 'Monthly Update'!DO27)</f>
        <v/>
      </c>
      <c r="X27" s="221" t="str" cm="1">
        <f t="array" ref="X27">_xlfn.IFS(LEFT('Monthly Update'!DP27, 3) = "*((", "", 'Monthly Update'!DP27="", "", TRUE, 'Monthly Update'!DP27)</f>
        <v/>
      </c>
      <c r="Y27" s="221" t="str" cm="1">
        <f t="array" ref="Y27">_xlfn.IFS(LEFT('Monthly Update'!DQ27, 3) = "*((", "", 'Monthly Update'!DQ27="", "", TRUE, 'Monthly Update'!DQ27)</f>
        <v/>
      </c>
      <c r="Z27" s="221" t="str" cm="1">
        <f t="array" ref="Z27">_xlfn.IFS(LEFT('Monthly Update'!DR27, 3) = "*((", "", 'Monthly Update'!DR27="", "", TRUE, 'Monthly Update'!DR27)</f>
        <v/>
      </c>
      <c r="AA27" s="221" t="str" cm="1">
        <f t="array" ref="AA27">_xlfn.IFS(LEFT('Monthly Update'!DS27, 3) = "*((", "", 'Monthly Update'!DS27="", "", TRUE, 'Monthly Update'!DS27)</f>
        <v/>
      </c>
      <c r="AB27" s="221" t="str" cm="1">
        <f t="array" ref="AB27">_xlfn.IFS(LEFT('Monthly Update'!DT27, 3) = "*((", "", 'Monthly Update'!DT27="", "", TRUE, 'Monthly Update'!DT27)</f>
        <v/>
      </c>
      <c r="AC27" s="221" t="str" cm="1">
        <f t="array" ref="AC27">_xlfn.IFS(LEFT('Monthly Update'!DU27, 3) = "*((", "", 'Monthly Update'!DU27="", "", TRUE, 'Monthly Update'!DU27)</f>
        <v/>
      </c>
      <c r="AD27" s="221" t="str" cm="1">
        <f t="array" ref="AD27">_xlfn.IFS(LEFT('Monthly Update'!DV27, 3) = "*((", "", 'Monthly Update'!DV27="", "", TRUE, 'Monthly Update'!DV27)</f>
        <v/>
      </c>
      <c r="AE27" s="221" t="str" cm="1">
        <f t="array" ref="AE27">_xlfn.IFS(LEFT('Monthly Update'!DW27, 3) = "*((", "", 'Monthly Update'!DW27="", "", TRUE, 'Monthly Update'!DW27)</f>
        <v/>
      </c>
      <c r="AF27" s="221" t="str" cm="1">
        <f t="array" ref="AF27">_xlfn.IFS(LEFT('Monthly Update'!DX27, 3) = "*((", "", 'Monthly Update'!DX27="", "", TRUE, 'Monthly Update'!DX27)</f>
        <v/>
      </c>
      <c r="AG27" s="221" t="str" cm="1">
        <f t="array" ref="AG27">_xlfn.IFS(LEFT('Monthly Update'!DY27, 3) = "*((", "", 'Monthly Update'!DY27="", "", TRUE, 'Monthly Update'!DY27)</f>
        <v/>
      </c>
      <c r="AH27" s="221" t="str" cm="1">
        <f t="array" ref="AH27">_xlfn.IFS(LEFT('Monthly Update'!DZ27, 3) = "*((", "", 'Monthly Update'!DZ27="", "", TRUE, 'Monthly Update'!DZ27)</f>
        <v/>
      </c>
      <c r="AI27" s="221" t="str" cm="1">
        <f t="array" ref="AI27">_xlfn.IFS(LEFT('Monthly Update'!EA27, 3) = "*((", "", 'Monthly Update'!EA27="", "", TRUE, 'Monthly Update'!EA27)</f>
        <v/>
      </c>
      <c r="AJ27" s="221" t="str" cm="1">
        <f t="array" ref="AJ27">_xlfn.IFS(LEFT('Monthly Update'!EB27, 3) = "*((", "", 'Monthly Update'!EB27="", "", TRUE, 'Monthly Update'!EB27)</f>
        <v/>
      </c>
      <c r="AK27" s="221" t="str" cm="1">
        <f t="array" ref="AK27">_xlfn.IFS(LEFT('Monthly Update'!EC27, 3) = "*((", "", 'Monthly Update'!EC27="", "", TRUE, 'Monthly Update'!EC27)</f>
        <v/>
      </c>
      <c r="AL27" s="221" t="str" cm="1">
        <f t="array" ref="AL27">_xlfn.IFS(LEFT('Monthly Update'!ED27, 3) = "*((", "", 'Monthly Update'!ED27="", "", TRUE, 'Monthly Update'!ED27)</f>
        <v/>
      </c>
      <c r="AM27" s="221" t="str" cm="1">
        <f t="array" ref="AM27">_xlfn.IFS(LEFT('Monthly Update'!EE27, 3) = "*((", "", 'Monthly Update'!EE27="", "", TRUE, 'Monthly Update'!EE27)</f>
        <v/>
      </c>
      <c r="AN27" s="221" t="str" cm="1">
        <f t="array" ref="AN27">_xlfn.IFS(LEFT('Monthly Update'!EF27, 3) = "*((", "", 'Monthly Update'!EF27="", "", TRUE, 'Monthly Update'!EF27)</f>
        <v/>
      </c>
      <c r="AO27" s="221" t="str" cm="1">
        <f t="array" ref="AO27">_xlfn.IFS(LEFT('Monthly Update'!EG27, 3) = "*((", "", 'Monthly Update'!EG27="", "", TRUE, 'Monthly Update'!EG27)</f>
        <v/>
      </c>
      <c r="AP27" s="221" t="str" cm="1">
        <f t="array" ref="AP27">_xlfn.IFS(LEFT('Monthly Update'!EH27, 3) = "*((", "", 'Monthly Update'!EH27="", "", TRUE, 'Monthly Update'!EH27)</f>
        <v/>
      </c>
      <c r="AQ27" s="221" t="str" cm="1">
        <f t="array" ref="AQ27">_xlfn.IFS(LEFT('Monthly Update'!EI27, 3) = "*((", "", 'Monthly Update'!EI27="", "", TRUE, 'Monthly Update'!EI27)</f>
        <v/>
      </c>
      <c r="AR27" s="221" t="str" cm="1">
        <f t="array" ref="AR27">_xlfn.IFS(LEFT('Monthly Update'!EJ27, 3) = "*((", "", 'Monthly Update'!EJ27="", "", TRUE, 'Monthly Update'!EJ27)</f>
        <v/>
      </c>
      <c r="AS27" s="221" t="str" cm="1">
        <f t="array" ref="AS27">_xlfn.IFS(LEFT('Monthly Update'!EK27, 3) = "*((", "", 'Monthly Update'!EK27="", "", TRUE, 'Monthly Update'!EK27)</f>
        <v/>
      </c>
      <c r="AT27" s="221" t="str" cm="1">
        <f t="array" ref="AT27">_xlfn.IFS(LEFT('Monthly Update'!EL27, 3) = "*((", "", 'Monthly Update'!EL27="", "", TRUE, 'Monthly Update'!EL27)</f>
        <v/>
      </c>
      <c r="AU27" s="221" t="str" cm="1">
        <f t="array" ref="AU27">_xlfn.IFS(LEFT('Monthly Update'!EM27, 3) = "*((", "", 'Monthly Update'!EM27="", "", TRUE, 'Monthly Update'!EM27)</f>
        <v/>
      </c>
      <c r="AV27" s="221" t="str" cm="1">
        <f t="array" ref="AV27">_xlfn.IFS(LEFT('Monthly Update'!EN27, 3) = "*((", "", 'Monthly Update'!EN27="", "", TRUE, 'Monthly Update'!EN27)</f>
        <v/>
      </c>
      <c r="AW27" s="221" t="str" cm="1">
        <f t="array" ref="AW27">_xlfn.IFS(LEFT('Monthly Update'!EO27, 3) = "*((", "", 'Monthly Update'!EO27="", "", TRUE, 'Monthly Update'!EO27)</f>
        <v/>
      </c>
      <c r="NU27" s="252"/>
      <c r="NV27" s="252"/>
      <c r="NW27" s="252"/>
      <c r="NX27" s="252"/>
      <c r="NY27" s="252"/>
      <c r="NZ27" s="252"/>
      <c r="OA27" s="252"/>
      <c r="OB27" s="252"/>
      <c r="OC27" s="252"/>
      <c r="OD27" s="252"/>
      <c r="OE27" s="252"/>
      <c r="OF27" s="252"/>
      <c r="OG27" s="252"/>
      <c r="OH27" s="252"/>
      <c r="OI27" s="252"/>
      <c r="OJ27" s="252"/>
      <c r="OK27" s="252"/>
      <c r="OL27" s="252"/>
      <c r="OM27" s="252"/>
      <c r="ON27" s="252"/>
      <c r="OO27" s="252"/>
      <c r="OP27" s="252"/>
      <c r="OQ27" s="252"/>
      <c r="OR27" s="252"/>
      <c r="OS27" s="252"/>
      <c r="OT27" s="252"/>
      <c r="OU27" s="252"/>
      <c r="OV27" s="252"/>
      <c r="OW27" s="252"/>
      <c r="OX27" s="252"/>
      <c r="OY27" s="252"/>
      <c r="OZ27" s="252"/>
      <c r="PA27" s="252"/>
      <c r="PB27" s="252"/>
      <c r="PC27" s="252"/>
      <c r="PD27" s="252"/>
      <c r="PE27" s="252"/>
      <c r="PF27" s="252"/>
      <c r="PG27" s="252"/>
      <c r="PH27" s="252"/>
      <c r="PI27" s="252"/>
      <c r="PJ27" s="252"/>
      <c r="PK27" s="252"/>
      <c r="PL27" s="252"/>
      <c r="PM27" s="252"/>
      <c r="PN27" s="252"/>
      <c r="PO27" s="252"/>
      <c r="PP27" s="252"/>
      <c r="PQ27" s="252"/>
      <c r="PR27" s="252"/>
      <c r="PS27" s="252"/>
      <c r="PT27" s="252"/>
      <c r="PU27" s="252"/>
      <c r="PV27" s="252"/>
      <c r="PW27" s="252"/>
      <c r="PX27" s="252"/>
      <c r="PY27" s="252"/>
      <c r="PZ27" s="252"/>
      <c r="QA27" s="252"/>
      <c r="QB27" s="252"/>
      <c r="QC27" s="252"/>
      <c r="QD27" s="252"/>
      <c r="QE27" s="252"/>
      <c r="QF27" s="252"/>
      <c r="QG27" s="252"/>
      <c r="QH27" s="252"/>
      <c r="QI27" s="252"/>
      <c r="QJ27" s="252"/>
      <c r="QK27" s="252"/>
      <c r="QL27" s="252"/>
      <c r="QM27" s="252"/>
      <c r="QN27" s="252"/>
      <c r="QO27" s="252"/>
      <c r="QP27" s="252"/>
      <c r="QQ27" s="252"/>
      <c r="QR27" s="252"/>
      <c r="QS27" s="252"/>
      <c r="QT27" s="252"/>
      <c r="QU27" s="252"/>
      <c r="QV27" s="252"/>
      <c r="QW27" s="252"/>
      <c r="QX27" s="252"/>
      <c r="QY27" s="252"/>
      <c r="QZ27" s="252"/>
      <c r="RA27" s="252"/>
      <c r="RB27" s="252"/>
      <c r="RC27" s="252"/>
      <c r="RD27" s="252"/>
      <c r="RE27" s="252"/>
      <c r="RF27" s="252"/>
      <c r="RG27" s="252"/>
      <c r="RH27" s="252"/>
      <c r="RI27" s="252"/>
      <c r="RJ27" s="252"/>
      <c r="RK27" s="252"/>
      <c r="RL27" s="252"/>
      <c r="RM27" s="252"/>
      <c r="RN27" s="252"/>
      <c r="RO27" s="252"/>
      <c r="RP27" s="252"/>
      <c r="RQ27" s="252"/>
      <c r="RR27" s="252"/>
      <c r="RS27" s="252"/>
      <c r="RT27" s="252"/>
      <c r="RU27" s="252"/>
      <c r="RV27" s="252"/>
      <c r="RW27" s="252"/>
      <c r="RX27" s="252"/>
      <c r="RY27" s="252"/>
      <c r="RZ27" s="252"/>
      <c r="SA27" s="252"/>
      <c r="SB27" s="252"/>
      <c r="SC27" s="252"/>
      <c r="SD27" s="252"/>
      <c r="SE27" s="252"/>
      <c r="SF27" s="252"/>
      <c r="SG27" s="252"/>
      <c r="SH27" s="252"/>
      <c r="SI27" s="252"/>
      <c r="SJ27" s="252"/>
      <c r="SK27" s="252"/>
      <c r="SL27" s="252"/>
      <c r="SM27" s="252"/>
      <c r="SN27" s="252"/>
    </row>
    <row r="28" spans="1:508" s="243" customFormat="1" ht="15.6" customHeight="1" x14ac:dyDescent="0.55000000000000004">
      <c r="A28" s="220" t="str" cm="1">
        <f t="array" ref="A28">_xlfn.IFS(LEFT('Monthly Update'!A28, 3) = "*((", "", 'Monthly Update'!A28="", "", TRUE, 'Monthly Update'!A28)</f>
        <v/>
      </c>
      <c r="B28" s="220" t="str" cm="1">
        <f t="array" ref="B28">_xlfn.IFS(LEFT('Monthly Update'!B28, 3) = "*((", "", 'Monthly Update'!B28="", "", TRUE, 'Monthly Update'!B28)</f>
        <v/>
      </c>
      <c r="C28" s="221" t="str" cm="1">
        <f t="array" ref="C28">_xlfn.IFS(LEFT('Monthly Update'!CU28, 3) = "*((", "", 'Monthly Update'!CU28="", "", TRUE, 'Monthly Update'!CU28)</f>
        <v/>
      </c>
      <c r="D28" s="221" t="str" cm="1">
        <f t="array" ref="D28">_xlfn.IFS(LEFT('Monthly Update'!CV28, 3) = "*((", "", 'Monthly Update'!CV28="", "", TRUE, 'Monthly Update'!CV28)</f>
        <v/>
      </c>
      <c r="E28" s="221" t="str" cm="1">
        <f t="array" ref="E28">_xlfn.IFS(LEFT('Monthly Update'!CW28, 3) = "*((", "", 'Monthly Update'!CW28="", "", TRUE, 'Monthly Update'!CW28)</f>
        <v/>
      </c>
      <c r="F28" s="221" t="str" cm="1">
        <f t="array" ref="F28">_xlfn.IFS(LEFT('Monthly Update'!CX28, 3) = "*((", "", 'Monthly Update'!CX28="", "", TRUE, 'Monthly Update'!CX28)</f>
        <v/>
      </c>
      <c r="G28" s="221" t="str" cm="1">
        <f t="array" ref="G28">_xlfn.IFS(LEFT('Monthly Update'!CY28, 3) = "*((", "", 'Monthly Update'!CY28="", "", TRUE, 'Monthly Update'!CY28)</f>
        <v/>
      </c>
      <c r="H28" s="221" t="str" cm="1">
        <f t="array" ref="H28">_xlfn.IFS(LEFT('Monthly Update'!CZ28, 3) = "*((", "", 'Monthly Update'!CZ28="", "", TRUE, 'Monthly Update'!CZ28)</f>
        <v/>
      </c>
      <c r="I28" s="221" t="str" cm="1">
        <f t="array" ref="I28">_xlfn.IFS(LEFT('Monthly Update'!DA28, 3) = "*((", "", 'Monthly Update'!DA28="", "", TRUE, 'Monthly Update'!DA28)</f>
        <v/>
      </c>
      <c r="J28" s="221" t="str" cm="1">
        <f t="array" ref="J28">_xlfn.IFS(LEFT('Monthly Update'!DB28, 3) = "*((", "", 'Monthly Update'!DB28="", "", TRUE, 'Monthly Update'!DB28)</f>
        <v/>
      </c>
      <c r="K28" s="221" t="str" cm="1">
        <f t="array" ref="K28">_xlfn.IFS(LEFT('Monthly Update'!DC28, 3) = "*((", "", 'Monthly Update'!DC28="", "", TRUE, 'Monthly Update'!DC28)</f>
        <v/>
      </c>
      <c r="L28" s="221" t="str" cm="1">
        <f t="array" ref="L28">_xlfn.IFS(LEFT('Monthly Update'!DD28, 3) = "*((", "", 'Monthly Update'!DD28="", "", TRUE, 'Monthly Update'!DD28)</f>
        <v/>
      </c>
      <c r="M28" s="221" t="str" cm="1">
        <f t="array" ref="M28">_xlfn.IFS(LEFT('Monthly Update'!DE28, 3) = "*((", "", 'Monthly Update'!DE28="", "", TRUE, 'Monthly Update'!DE28)</f>
        <v/>
      </c>
      <c r="N28" s="221" t="str" cm="1">
        <f t="array" ref="N28">_xlfn.IFS(LEFT('Monthly Update'!DF28, 3) = "*((", "", 'Monthly Update'!DF28="", "", TRUE, 'Monthly Update'!DF28)</f>
        <v/>
      </c>
      <c r="O28" s="221" t="str" cm="1">
        <f t="array" ref="O28">_xlfn.IFS(LEFT('Monthly Update'!DG28, 3) = "*((", "", 'Monthly Update'!DG28="", "", TRUE, 'Monthly Update'!DG28)</f>
        <v/>
      </c>
      <c r="P28" s="221" t="str" cm="1">
        <f t="array" ref="P28">_xlfn.IFS(LEFT('Monthly Update'!DH28, 3) = "*((", "", 'Monthly Update'!DH28="", "", TRUE, 'Monthly Update'!DH28)</f>
        <v/>
      </c>
      <c r="Q28" s="221" t="str" cm="1">
        <f t="array" ref="Q28">_xlfn.IFS(LEFT('Monthly Update'!DI28, 3) = "*((", "", 'Monthly Update'!DI28="", "", TRUE, 'Monthly Update'!DI28)</f>
        <v/>
      </c>
      <c r="R28" s="221" t="str" cm="1">
        <f t="array" ref="R28">_xlfn.IFS(LEFT('Monthly Update'!DJ28, 3) = "*((", "", 'Monthly Update'!DJ28="", "", TRUE, 'Monthly Update'!DJ28)</f>
        <v/>
      </c>
      <c r="S28" s="221" t="str" cm="1">
        <f t="array" ref="S28">_xlfn.IFS(LEFT('Monthly Update'!DK28, 3) = "*((", "", 'Monthly Update'!DK28="", "", TRUE, 'Monthly Update'!DK28)</f>
        <v/>
      </c>
      <c r="T28" s="221" t="str" cm="1">
        <f t="array" ref="T28">_xlfn.IFS(LEFT('Monthly Update'!DL28, 3) = "*((", "", 'Monthly Update'!DL28="", "", TRUE, 'Monthly Update'!DL28)</f>
        <v/>
      </c>
      <c r="U28" s="221" t="str" cm="1">
        <f t="array" ref="U28">_xlfn.IFS(LEFT('Monthly Update'!DM28, 3) = "*((", "", 'Monthly Update'!DM28="", "", TRUE, 'Monthly Update'!DM28)</f>
        <v/>
      </c>
      <c r="V28" s="221" t="str" cm="1">
        <f t="array" ref="V28">_xlfn.IFS(LEFT('Monthly Update'!DN28, 3) = "*((", "", 'Monthly Update'!DN28="", "", TRUE, 'Monthly Update'!DN28)</f>
        <v/>
      </c>
      <c r="W28" s="221" t="str" cm="1">
        <f t="array" ref="W28">_xlfn.IFS(LEFT('Monthly Update'!DO28, 3) = "*((", "", 'Monthly Update'!DO28="", "", TRUE, 'Monthly Update'!DO28)</f>
        <v/>
      </c>
      <c r="X28" s="221" t="str" cm="1">
        <f t="array" ref="X28">_xlfn.IFS(LEFT('Monthly Update'!DP28, 3) = "*((", "", 'Monthly Update'!DP28="", "", TRUE, 'Monthly Update'!DP28)</f>
        <v/>
      </c>
      <c r="Y28" s="221" t="str" cm="1">
        <f t="array" ref="Y28">_xlfn.IFS(LEFT('Monthly Update'!DQ28, 3) = "*((", "", 'Monthly Update'!DQ28="", "", TRUE, 'Monthly Update'!DQ28)</f>
        <v/>
      </c>
      <c r="Z28" s="221" t="str" cm="1">
        <f t="array" ref="Z28">_xlfn.IFS(LEFT('Monthly Update'!DR28, 3) = "*((", "", 'Monthly Update'!DR28="", "", TRUE, 'Monthly Update'!DR28)</f>
        <v/>
      </c>
      <c r="AA28" s="221" t="str" cm="1">
        <f t="array" ref="AA28">_xlfn.IFS(LEFT('Monthly Update'!DS28, 3) = "*((", "", 'Monthly Update'!DS28="", "", TRUE, 'Monthly Update'!DS28)</f>
        <v/>
      </c>
      <c r="AB28" s="221" t="str" cm="1">
        <f t="array" ref="AB28">_xlfn.IFS(LEFT('Monthly Update'!DT28, 3) = "*((", "", 'Monthly Update'!DT28="", "", TRUE, 'Monthly Update'!DT28)</f>
        <v/>
      </c>
      <c r="AC28" s="221" t="str" cm="1">
        <f t="array" ref="AC28">_xlfn.IFS(LEFT('Monthly Update'!DU28, 3) = "*((", "", 'Monthly Update'!DU28="", "", TRUE, 'Monthly Update'!DU28)</f>
        <v/>
      </c>
      <c r="AD28" s="221" t="str" cm="1">
        <f t="array" ref="AD28">_xlfn.IFS(LEFT('Monthly Update'!DV28, 3) = "*((", "", 'Monthly Update'!DV28="", "", TRUE, 'Monthly Update'!DV28)</f>
        <v/>
      </c>
      <c r="AE28" s="221" t="str" cm="1">
        <f t="array" ref="AE28">_xlfn.IFS(LEFT('Monthly Update'!DW28, 3) = "*((", "", 'Monthly Update'!DW28="", "", TRUE, 'Monthly Update'!DW28)</f>
        <v/>
      </c>
      <c r="AF28" s="221" t="str" cm="1">
        <f t="array" ref="AF28">_xlfn.IFS(LEFT('Monthly Update'!DX28, 3) = "*((", "", 'Monthly Update'!DX28="", "", TRUE, 'Monthly Update'!DX28)</f>
        <v/>
      </c>
      <c r="AG28" s="221" t="str" cm="1">
        <f t="array" ref="AG28">_xlfn.IFS(LEFT('Monthly Update'!DY28, 3) = "*((", "", 'Monthly Update'!DY28="", "", TRUE, 'Monthly Update'!DY28)</f>
        <v/>
      </c>
      <c r="AH28" s="221" t="str" cm="1">
        <f t="array" ref="AH28">_xlfn.IFS(LEFT('Monthly Update'!DZ28, 3) = "*((", "", 'Monthly Update'!DZ28="", "", TRUE, 'Monthly Update'!DZ28)</f>
        <v/>
      </c>
      <c r="AI28" s="221" t="str" cm="1">
        <f t="array" ref="AI28">_xlfn.IFS(LEFT('Monthly Update'!EA28, 3) = "*((", "", 'Monthly Update'!EA28="", "", TRUE, 'Monthly Update'!EA28)</f>
        <v/>
      </c>
      <c r="AJ28" s="221" t="str" cm="1">
        <f t="array" ref="AJ28">_xlfn.IFS(LEFT('Monthly Update'!EB28, 3) = "*((", "", 'Monthly Update'!EB28="", "", TRUE, 'Monthly Update'!EB28)</f>
        <v/>
      </c>
      <c r="AK28" s="221" t="str" cm="1">
        <f t="array" ref="AK28">_xlfn.IFS(LEFT('Monthly Update'!EC28, 3) = "*((", "", 'Monthly Update'!EC28="", "", TRUE, 'Monthly Update'!EC28)</f>
        <v/>
      </c>
      <c r="AL28" s="221" t="str" cm="1">
        <f t="array" ref="AL28">_xlfn.IFS(LEFT('Monthly Update'!ED28, 3) = "*((", "", 'Monthly Update'!ED28="", "", TRUE, 'Monthly Update'!ED28)</f>
        <v/>
      </c>
      <c r="AM28" s="221" t="str" cm="1">
        <f t="array" ref="AM28">_xlfn.IFS(LEFT('Monthly Update'!EE28, 3) = "*((", "", 'Monthly Update'!EE28="", "", TRUE, 'Monthly Update'!EE28)</f>
        <v/>
      </c>
      <c r="AN28" s="221" t="str" cm="1">
        <f t="array" ref="AN28">_xlfn.IFS(LEFT('Monthly Update'!EF28, 3) = "*((", "", 'Monthly Update'!EF28="", "", TRUE, 'Monthly Update'!EF28)</f>
        <v/>
      </c>
      <c r="AO28" s="221" t="str" cm="1">
        <f t="array" ref="AO28">_xlfn.IFS(LEFT('Monthly Update'!EG28, 3) = "*((", "", 'Monthly Update'!EG28="", "", TRUE, 'Monthly Update'!EG28)</f>
        <v/>
      </c>
      <c r="AP28" s="221" t="str" cm="1">
        <f t="array" ref="AP28">_xlfn.IFS(LEFT('Monthly Update'!EH28, 3) = "*((", "", 'Monthly Update'!EH28="", "", TRUE, 'Monthly Update'!EH28)</f>
        <v/>
      </c>
      <c r="AQ28" s="221" t="str" cm="1">
        <f t="array" ref="AQ28">_xlfn.IFS(LEFT('Monthly Update'!EI28, 3) = "*((", "", 'Monthly Update'!EI28="", "", TRUE, 'Monthly Update'!EI28)</f>
        <v/>
      </c>
      <c r="AR28" s="221" t="str" cm="1">
        <f t="array" ref="AR28">_xlfn.IFS(LEFT('Monthly Update'!EJ28, 3) = "*((", "", 'Monthly Update'!EJ28="", "", TRUE, 'Monthly Update'!EJ28)</f>
        <v/>
      </c>
      <c r="AS28" s="221" t="str" cm="1">
        <f t="array" ref="AS28">_xlfn.IFS(LEFT('Monthly Update'!EK28, 3) = "*((", "", 'Monthly Update'!EK28="", "", TRUE, 'Monthly Update'!EK28)</f>
        <v/>
      </c>
      <c r="AT28" s="221" t="str" cm="1">
        <f t="array" ref="AT28">_xlfn.IFS(LEFT('Monthly Update'!EL28, 3) = "*((", "", 'Monthly Update'!EL28="", "", TRUE, 'Monthly Update'!EL28)</f>
        <v/>
      </c>
      <c r="AU28" s="221" t="str" cm="1">
        <f t="array" ref="AU28">_xlfn.IFS(LEFT('Monthly Update'!EM28, 3) = "*((", "", 'Monthly Update'!EM28="", "", TRUE, 'Monthly Update'!EM28)</f>
        <v/>
      </c>
      <c r="AV28" s="221" t="str" cm="1">
        <f t="array" ref="AV28">_xlfn.IFS(LEFT('Monthly Update'!EN28, 3) = "*((", "", 'Monthly Update'!EN28="", "", TRUE, 'Monthly Update'!EN28)</f>
        <v/>
      </c>
      <c r="AW28" s="221" t="str" cm="1">
        <f t="array" ref="AW28">_xlfn.IFS(LEFT('Monthly Update'!EO28, 3) = "*((", "", 'Monthly Update'!EO28="", "", TRUE, 'Monthly Update'!EO28)</f>
        <v/>
      </c>
      <c r="NU28" s="252"/>
      <c r="NV28" s="252"/>
      <c r="NW28" s="252"/>
      <c r="NX28" s="252"/>
      <c r="NY28" s="252"/>
      <c r="NZ28" s="252"/>
      <c r="OA28" s="252"/>
      <c r="OB28" s="252"/>
      <c r="OC28" s="252"/>
      <c r="OD28" s="252"/>
      <c r="OE28" s="252"/>
      <c r="OF28" s="252"/>
      <c r="OG28" s="252"/>
      <c r="OH28" s="252"/>
      <c r="OI28" s="252"/>
      <c r="OJ28" s="252"/>
      <c r="OK28" s="252"/>
      <c r="OL28" s="252"/>
      <c r="OM28" s="252"/>
      <c r="ON28" s="252"/>
      <c r="OO28" s="252"/>
      <c r="OP28" s="252"/>
      <c r="OQ28" s="252"/>
      <c r="OR28" s="252"/>
      <c r="OS28" s="252"/>
      <c r="OT28" s="252"/>
      <c r="OU28" s="252"/>
      <c r="OV28" s="252"/>
      <c r="OW28" s="252"/>
      <c r="OX28" s="252"/>
      <c r="OY28" s="252"/>
      <c r="OZ28" s="252"/>
      <c r="PA28" s="252"/>
      <c r="PB28" s="252"/>
      <c r="PC28" s="252"/>
      <c r="PD28" s="252"/>
      <c r="PE28" s="252"/>
      <c r="PF28" s="252"/>
      <c r="PG28" s="252"/>
      <c r="PH28" s="252"/>
      <c r="PI28" s="252"/>
      <c r="PJ28" s="252"/>
      <c r="PK28" s="252"/>
      <c r="PL28" s="252"/>
      <c r="PM28" s="252"/>
      <c r="PN28" s="252"/>
      <c r="PO28" s="252"/>
      <c r="PP28" s="252"/>
      <c r="PQ28" s="252"/>
      <c r="PR28" s="252"/>
      <c r="PS28" s="252"/>
      <c r="PT28" s="252"/>
      <c r="PU28" s="252"/>
      <c r="PV28" s="252"/>
      <c r="PW28" s="252"/>
      <c r="PX28" s="252"/>
      <c r="PY28" s="252"/>
      <c r="PZ28" s="252"/>
      <c r="QA28" s="252"/>
      <c r="QB28" s="252"/>
      <c r="QC28" s="252"/>
      <c r="QD28" s="252"/>
      <c r="QE28" s="252"/>
      <c r="QF28" s="252"/>
      <c r="QG28" s="252"/>
      <c r="QH28" s="252"/>
      <c r="QI28" s="252"/>
      <c r="QJ28" s="252"/>
      <c r="QK28" s="252"/>
      <c r="QL28" s="252"/>
      <c r="QM28" s="252"/>
      <c r="QN28" s="252"/>
      <c r="QO28" s="252"/>
      <c r="QP28" s="252"/>
      <c r="QQ28" s="252"/>
      <c r="QR28" s="252"/>
      <c r="QS28" s="252"/>
      <c r="QT28" s="252"/>
      <c r="QU28" s="252"/>
      <c r="QV28" s="252"/>
      <c r="QW28" s="252"/>
      <c r="QX28" s="252"/>
      <c r="QY28" s="252"/>
      <c r="QZ28" s="252"/>
      <c r="RA28" s="252"/>
      <c r="RB28" s="252"/>
      <c r="RC28" s="252"/>
      <c r="RD28" s="252"/>
      <c r="RE28" s="252"/>
      <c r="RF28" s="252"/>
      <c r="RG28" s="252"/>
      <c r="RH28" s="252"/>
      <c r="RI28" s="252"/>
      <c r="RJ28" s="252"/>
      <c r="RK28" s="252"/>
      <c r="RL28" s="252"/>
      <c r="RM28" s="252"/>
      <c r="RN28" s="252"/>
      <c r="RO28" s="252"/>
      <c r="RP28" s="252"/>
      <c r="RQ28" s="252"/>
      <c r="RR28" s="252"/>
      <c r="RS28" s="252"/>
      <c r="RT28" s="252"/>
      <c r="RU28" s="252"/>
      <c r="RV28" s="252"/>
      <c r="RW28" s="252"/>
      <c r="RX28" s="252"/>
      <c r="RY28" s="252"/>
      <c r="RZ28" s="252"/>
      <c r="SA28" s="252"/>
      <c r="SB28" s="252"/>
      <c r="SC28" s="252"/>
      <c r="SD28" s="252"/>
      <c r="SE28" s="252"/>
      <c r="SF28" s="252"/>
      <c r="SG28" s="252"/>
      <c r="SH28" s="252"/>
      <c r="SI28" s="252"/>
      <c r="SJ28" s="252"/>
      <c r="SK28" s="252"/>
      <c r="SL28" s="252"/>
      <c r="SM28" s="252"/>
      <c r="SN28" s="252"/>
    </row>
    <row r="29" spans="1:508" s="243" customFormat="1" ht="15.6" customHeight="1" x14ac:dyDescent="0.55000000000000004">
      <c r="A29" s="220" t="str" cm="1">
        <f t="array" ref="A29">_xlfn.IFS(LEFT('Monthly Update'!A29, 3) = "*((", "", 'Monthly Update'!A29="", "", TRUE, 'Monthly Update'!A29)</f>
        <v/>
      </c>
      <c r="B29" s="220" t="str" cm="1">
        <f t="array" ref="B29">_xlfn.IFS(LEFT('Monthly Update'!B29, 3) = "*((", "", 'Monthly Update'!B29="", "", TRUE, 'Monthly Update'!B29)</f>
        <v/>
      </c>
      <c r="C29" s="221" t="str" cm="1">
        <f t="array" ref="C29">_xlfn.IFS(LEFT('Monthly Update'!CU29, 3) = "*((", "", 'Monthly Update'!CU29="", "", TRUE, 'Monthly Update'!CU29)</f>
        <v/>
      </c>
      <c r="D29" s="221" t="str" cm="1">
        <f t="array" ref="D29">_xlfn.IFS(LEFT('Monthly Update'!CV29, 3) = "*((", "", 'Monthly Update'!CV29="", "", TRUE, 'Monthly Update'!CV29)</f>
        <v/>
      </c>
      <c r="E29" s="221" t="str" cm="1">
        <f t="array" ref="E29">_xlfn.IFS(LEFT('Monthly Update'!CW29, 3) = "*((", "", 'Monthly Update'!CW29="", "", TRUE, 'Monthly Update'!CW29)</f>
        <v/>
      </c>
      <c r="F29" s="221" t="str" cm="1">
        <f t="array" ref="F29">_xlfn.IFS(LEFT('Monthly Update'!CX29, 3) = "*((", "", 'Monthly Update'!CX29="", "", TRUE, 'Monthly Update'!CX29)</f>
        <v/>
      </c>
      <c r="G29" s="221" t="str" cm="1">
        <f t="array" ref="G29">_xlfn.IFS(LEFT('Monthly Update'!CY29, 3) = "*((", "", 'Monthly Update'!CY29="", "", TRUE, 'Monthly Update'!CY29)</f>
        <v/>
      </c>
      <c r="H29" s="221" t="str" cm="1">
        <f t="array" ref="H29">_xlfn.IFS(LEFT('Monthly Update'!CZ29, 3) = "*((", "", 'Monthly Update'!CZ29="", "", TRUE, 'Monthly Update'!CZ29)</f>
        <v/>
      </c>
      <c r="I29" s="221" t="str" cm="1">
        <f t="array" ref="I29">_xlfn.IFS(LEFT('Monthly Update'!DA29, 3) = "*((", "", 'Monthly Update'!DA29="", "", TRUE, 'Monthly Update'!DA29)</f>
        <v/>
      </c>
      <c r="J29" s="221" t="str" cm="1">
        <f t="array" ref="J29">_xlfn.IFS(LEFT('Monthly Update'!DB29, 3) = "*((", "", 'Monthly Update'!DB29="", "", TRUE, 'Monthly Update'!DB29)</f>
        <v/>
      </c>
      <c r="K29" s="221" t="str" cm="1">
        <f t="array" ref="K29">_xlfn.IFS(LEFT('Monthly Update'!DC29, 3) = "*((", "", 'Monthly Update'!DC29="", "", TRUE, 'Monthly Update'!DC29)</f>
        <v/>
      </c>
      <c r="L29" s="221" t="str" cm="1">
        <f t="array" ref="L29">_xlfn.IFS(LEFT('Monthly Update'!DD29, 3) = "*((", "", 'Monthly Update'!DD29="", "", TRUE, 'Monthly Update'!DD29)</f>
        <v/>
      </c>
      <c r="M29" s="221" t="str" cm="1">
        <f t="array" ref="M29">_xlfn.IFS(LEFT('Monthly Update'!DE29, 3) = "*((", "", 'Monthly Update'!DE29="", "", TRUE, 'Monthly Update'!DE29)</f>
        <v/>
      </c>
      <c r="N29" s="221" t="str" cm="1">
        <f t="array" ref="N29">_xlfn.IFS(LEFT('Monthly Update'!DF29, 3) = "*((", "", 'Monthly Update'!DF29="", "", TRUE, 'Monthly Update'!DF29)</f>
        <v/>
      </c>
      <c r="O29" s="221" t="str" cm="1">
        <f t="array" ref="O29">_xlfn.IFS(LEFT('Monthly Update'!DG29, 3) = "*((", "", 'Monthly Update'!DG29="", "", TRUE, 'Monthly Update'!DG29)</f>
        <v/>
      </c>
      <c r="P29" s="221" t="str" cm="1">
        <f t="array" ref="P29">_xlfn.IFS(LEFT('Monthly Update'!DH29, 3) = "*((", "", 'Monthly Update'!DH29="", "", TRUE, 'Monthly Update'!DH29)</f>
        <v/>
      </c>
      <c r="Q29" s="221" t="str" cm="1">
        <f t="array" ref="Q29">_xlfn.IFS(LEFT('Monthly Update'!DI29, 3) = "*((", "", 'Monthly Update'!DI29="", "", TRUE, 'Monthly Update'!DI29)</f>
        <v/>
      </c>
      <c r="R29" s="221" t="str" cm="1">
        <f t="array" ref="R29">_xlfn.IFS(LEFT('Monthly Update'!DJ29, 3) = "*((", "", 'Monthly Update'!DJ29="", "", TRUE, 'Monthly Update'!DJ29)</f>
        <v/>
      </c>
      <c r="S29" s="221" t="str" cm="1">
        <f t="array" ref="S29">_xlfn.IFS(LEFT('Monthly Update'!DK29, 3) = "*((", "", 'Monthly Update'!DK29="", "", TRUE, 'Monthly Update'!DK29)</f>
        <v/>
      </c>
      <c r="T29" s="221" t="str" cm="1">
        <f t="array" ref="T29">_xlfn.IFS(LEFT('Monthly Update'!DL29, 3) = "*((", "", 'Monthly Update'!DL29="", "", TRUE, 'Monthly Update'!DL29)</f>
        <v/>
      </c>
      <c r="U29" s="221" t="str" cm="1">
        <f t="array" ref="U29">_xlfn.IFS(LEFT('Monthly Update'!DM29, 3) = "*((", "", 'Monthly Update'!DM29="", "", TRUE, 'Monthly Update'!DM29)</f>
        <v/>
      </c>
      <c r="V29" s="221" t="str" cm="1">
        <f t="array" ref="V29">_xlfn.IFS(LEFT('Monthly Update'!DN29, 3) = "*((", "", 'Monthly Update'!DN29="", "", TRUE, 'Monthly Update'!DN29)</f>
        <v/>
      </c>
      <c r="W29" s="221" t="str" cm="1">
        <f t="array" ref="W29">_xlfn.IFS(LEFT('Monthly Update'!DO29, 3) = "*((", "", 'Monthly Update'!DO29="", "", TRUE, 'Monthly Update'!DO29)</f>
        <v/>
      </c>
      <c r="X29" s="221" t="str" cm="1">
        <f t="array" ref="X29">_xlfn.IFS(LEFT('Monthly Update'!DP29, 3) = "*((", "", 'Monthly Update'!DP29="", "", TRUE, 'Monthly Update'!DP29)</f>
        <v/>
      </c>
      <c r="Y29" s="221" t="str" cm="1">
        <f t="array" ref="Y29">_xlfn.IFS(LEFT('Monthly Update'!DQ29, 3) = "*((", "", 'Monthly Update'!DQ29="", "", TRUE, 'Monthly Update'!DQ29)</f>
        <v/>
      </c>
      <c r="Z29" s="221" t="str" cm="1">
        <f t="array" ref="Z29">_xlfn.IFS(LEFT('Monthly Update'!DR29, 3) = "*((", "", 'Monthly Update'!DR29="", "", TRUE, 'Monthly Update'!DR29)</f>
        <v/>
      </c>
      <c r="AA29" s="221" t="str" cm="1">
        <f t="array" ref="AA29">_xlfn.IFS(LEFT('Monthly Update'!DS29, 3) = "*((", "", 'Monthly Update'!DS29="", "", TRUE, 'Monthly Update'!DS29)</f>
        <v/>
      </c>
      <c r="AB29" s="221" t="str" cm="1">
        <f t="array" ref="AB29">_xlfn.IFS(LEFT('Monthly Update'!DT29, 3) = "*((", "", 'Monthly Update'!DT29="", "", TRUE, 'Monthly Update'!DT29)</f>
        <v/>
      </c>
      <c r="AC29" s="221" t="str" cm="1">
        <f t="array" ref="AC29">_xlfn.IFS(LEFT('Monthly Update'!DU29, 3) = "*((", "", 'Monthly Update'!DU29="", "", TRUE, 'Monthly Update'!DU29)</f>
        <v/>
      </c>
      <c r="AD29" s="221" t="str" cm="1">
        <f t="array" ref="AD29">_xlfn.IFS(LEFT('Monthly Update'!DV29, 3) = "*((", "", 'Monthly Update'!DV29="", "", TRUE, 'Monthly Update'!DV29)</f>
        <v/>
      </c>
      <c r="AE29" s="221" t="str" cm="1">
        <f t="array" ref="AE29">_xlfn.IFS(LEFT('Monthly Update'!DW29, 3) = "*((", "", 'Monthly Update'!DW29="", "", TRUE, 'Monthly Update'!DW29)</f>
        <v/>
      </c>
      <c r="AF29" s="221" t="str" cm="1">
        <f t="array" ref="AF29">_xlfn.IFS(LEFT('Monthly Update'!DX29, 3) = "*((", "", 'Monthly Update'!DX29="", "", TRUE, 'Monthly Update'!DX29)</f>
        <v/>
      </c>
      <c r="AG29" s="221" t="str" cm="1">
        <f t="array" ref="AG29">_xlfn.IFS(LEFT('Monthly Update'!DY29, 3) = "*((", "", 'Monthly Update'!DY29="", "", TRUE, 'Monthly Update'!DY29)</f>
        <v/>
      </c>
      <c r="AH29" s="221" t="str" cm="1">
        <f t="array" ref="AH29">_xlfn.IFS(LEFT('Monthly Update'!DZ29, 3) = "*((", "", 'Monthly Update'!DZ29="", "", TRUE, 'Monthly Update'!DZ29)</f>
        <v/>
      </c>
      <c r="AI29" s="221" t="str" cm="1">
        <f t="array" ref="AI29">_xlfn.IFS(LEFT('Monthly Update'!EA29, 3) = "*((", "", 'Monthly Update'!EA29="", "", TRUE, 'Monthly Update'!EA29)</f>
        <v/>
      </c>
      <c r="AJ29" s="221" t="str" cm="1">
        <f t="array" ref="AJ29">_xlfn.IFS(LEFT('Monthly Update'!EB29, 3) = "*((", "", 'Monthly Update'!EB29="", "", TRUE, 'Monthly Update'!EB29)</f>
        <v/>
      </c>
      <c r="AK29" s="221" t="str" cm="1">
        <f t="array" ref="AK29">_xlfn.IFS(LEFT('Monthly Update'!EC29, 3) = "*((", "", 'Monthly Update'!EC29="", "", TRUE, 'Monthly Update'!EC29)</f>
        <v/>
      </c>
      <c r="AL29" s="221" t="str" cm="1">
        <f t="array" ref="AL29">_xlfn.IFS(LEFT('Monthly Update'!ED29, 3) = "*((", "", 'Monthly Update'!ED29="", "", TRUE, 'Monthly Update'!ED29)</f>
        <v/>
      </c>
      <c r="AM29" s="221" t="str" cm="1">
        <f t="array" ref="AM29">_xlfn.IFS(LEFT('Monthly Update'!EE29, 3) = "*((", "", 'Monthly Update'!EE29="", "", TRUE, 'Monthly Update'!EE29)</f>
        <v/>
      </c>
      <c r="AN29" s="221" t="str" cm="1">
        <f t="array" ref="AN29">_xlfn.IFS(LEFT('Monthly Update'!EF29, 3) = "*((", "", 'Monthly Update'!EF29="", "", TRUE, 'Monthly Update'!EF29)</f>
        <v/>
      </c>
      <c r="AO29" s="221" t="str" cm="1">
        <f t="array" ref="AO29">_xlfn.IFS(LEFT('Monthly Update'!EG29, 3) = "*((", "", 'Monthly Update'!EG29="", "", TRUE, 'Monthly Update'!EG29)</f>
        <v/>
      </c>
      <c r="AP29" s="221" t="str" cm="1">
        <f t="array" ref="AP29">_xlfn.IFS(LEFT('Monthly Update'!EH29, 3) = "*((", "", 'Monthly Update'!EH29="", "", TRUE, 'Monthly Update'!EH29)</f>
        <v/>
      </c>
      <c r="AQ29" s="221" t="str" cm="1">
        <f t="array" ref="AQ29">_xlfn.IFS(LEFT('Monthly Update'!EI29, 3) = "*((", "", 'Monthly Update'!EI29="", "", TRUE, 'Monthly Update'!EI29)</f>
        <v/>
      </c>
      <c r="AR29" s="221" t="str" cm="1">
        <f t="array" ref="AR29">_xlfn.IFS(LEFT('Monthly Update'!EJ29, 3) = "*((", "", 'Monthly Update'!EJ29="", "", TRUE, 'Monthly Update'!EJ29)</f>
        <v/>
      </c>
      <c r="AS29" s="221" t="str" cm="1">
        <f t="array" ref="AS29">_xlfn.IFS(LEFT('Monthly Update'!EK29, 3) = "*((", "", 'Monthly Update'!EK29="", "", TRUE, 'Monthly Update'!EK29)</f>
        <v/>
      </c>
      <c r="AT29" s="221" t="str" cm="1">
        <f t="array" ref="AT29">_xlfn.IFS(LEFT('Monthly Update'!EL29, 3) = "*((", "", 'Monthly Update'!EL29="", "", TRUE, 'Monthly Update'!EL29)</f>
        <v/>
      </c>
      <c r="AU29" s="221" t="str" cm="1">
        <f t="array" ref="AU29">_xlfn.IFS(LEFT('Monthly Update'!EM29, 3) = "*((", "", 'Monthly Update'!EM29="", "", TRUE, 'Monthly Update'!EM29)</f>
        <v/>
      </c>
      <c r="AV29" s="221" t="str" cm="1">
        <f t="array" ref="AV29">_xlfn.IFS(LEFT('Monthly Update'!EN29, 3) = "*((", "", 'Monthly Update'!EN29="", "", TRUE, 'Monthly Update'!EN29)</f>
        <v/>
      </c>
      <c r="AW29" s="221" t="str" cm="1">
        <f t="array" ref="AW29">_xlfn.IFS(LEFT('Monthly Update'!EO29, 3) = "*((", "", 'Monthly Update'!EO29="", "", TRUE, 'Monthly Update'!EO29)</f>
        <v/>
      </c>
      <c r="NU29" s="252"/>
      <c r="NV29" s="252"/>
      <c r="NW29" s="252"/>
      <c r="NX29" s="252"/>
      <c r="NY29" s="252"/>
      <c r="NZ29" s="252"/>
      <c r="OA29" s="252"/>
      <c r="OB29" s="252"/>
      <c r="OC29" s="252"/>
      <c r="OD29" s="252"/>
      <c r="OE29" s="252"/>
      <c r="OF29" s="252"/>
      <c r="OG29" s="252"/>
      <c r="OH29" s="252"/>
      <c r="OI29" s="252"/>
      <c r="OJ29" s="252"/>
      <c r="OK29" s="252"/>
      <c r="OL29" s="252"/>
      <c r="OM29" s="252"/>
      <c r="ON29" s="252"/>
      <c r="OO29" s="252"/>
      <c r="OP29" s="252"/>
      <c r="OQ29" s="252"/>
      <c r="OR29" s="252"/>
      <c r="OS29" s="252"/>
      <c r="OT29" s="252"/>
      <c r="OU29" s="252"/>
      <c r="OV29" s="252"/>
      <c r="OW29" s="252"/>
      <c r="OX29" s="252"/>
      <c r="OY29" s="252"/>
      <c r="OZ29" s="252"/>
      <c r="PA29" s="252"/>
      <c r="PB29" s="252"/>
      <c r="PC29" s="252"/>
      <c r="PD29" s="252"/>
      <c r="PE29" s="252"/>
      <c r="PF29" s="252"/>
      <c r="PG29" s="252"/>
      <c r="PH29" s="252"/>
      <c r="PI29" s="252"/>
      <c r="PJ29" s="252"/>
      <c r="PK29" s="252"/>
      <c r="PL29" s="252"/>
      <c r="PM29" s="252"/>
      <c r="PN29" s="252"/>
      <c r="PO29" s="252"/>
      <c r="PP29" s="252"/>
      <c r="PQ29" s="252"/>
      <c r="PR29" s="252"/>
      <c r="PS29" s="252"/>
      <c r="PT29" s="252"/>
      <c r="PU29" s="252"/>
      <c r="PV29" s="252"/>
      <c r="PW29" s="252"/>
      <c r="PX29" s="252"/>
      <c r="PY29" s="252"/>
      <c r="PZ29" s="252"/>
      <c r="QA29" s="252"/>
      <c r="QB29" s="252"/>
      <c r="QC29" s="252"/>
      <c r="QD29" s="252"/>
      <c r="QE29" s="252"/>
      <c r="QF29" s="252"/>
      <c r="QG29" s="252"/>
      <c r="QH29" s="252"/>
      <c r="QI29" s="252"/>
      <c r="QJ29" s="252"/>
      <c r="QK29" s="252"/>
      <c r="QL29" s="252"/>
      <c r="QM29" s="252"/>
      <c r="QN29" s="252"/>
      <c r="QO29" s="252"/>
      <c r="QP29" s="252"/>
      <c r="QQ29" s="252"/>
      <c r="QR29" s="252"/>
      <c r="QS29" s="252"/>
      <c r="QT29" s="252"/>
      <c r="QU29" s="252"/>
      <c r="QV29" s="252"/>
      <c r="QW29" s="252"/>
      <c r="QX29" s="252"/>
      <c r="QY29" s="252"/>
      <c r="QZ29" s="252"/>
      <c r="RA29" s="252"/>
      <c r="RB29" s="252"/>
      <c r="RC29" s="252"/>
      <c r="RD29" s="252"/>
      <c r="RE29" s="252"/>
      <c r="RF29" s="252"/>
      <c r="RG29" s="252"/>
      <c r="RH29" s="252"/>
      <c r="RI29" s="252"/>
      <c r="RJ29" s="252"/>
      <c r="RK29" s="252"/>
      <c r="RL29" s="252"/>
      <c r="RM29" s="252"/>
      <c r="RN29" s="252"/>
      <c r="RO29" s="252"/>
      <c r="RP29" s="252"/>
      <c r="RQ29" s="252"/>
      <c r="RR29" s="252"/>
      <c r="RS29" s="252"/>
      <c r="RT29" s="252"/>
      <c r="RU29" s="252"/>
      <c r="RV29" s="252"/>
      <c r="RW29" s="252"/>
      <c r="RX29" s="252"/>
      <c r="RY29" s="252"/>
      <c r="RZ29" s="252"/>
      <c r="SA29" s="252"/>
      <c r="SB29" s="252"/>
      <c r="SC29" s="252"/>
      <c r="SD29" s="252"/>
      <c r="SE29" s="252"/>
      <c r="SF29" s="252"/>
      <c r="SG29" s="252"/>
      <c r="SH29" s="252"/>
      <c r="SI29" s="252"/>
      <c r="SJ29" s="252"/>
      <c r="SK29" s="252"/>
      <c r="SL29" s="252"/>
      <c r="SM29" s="252"/>
      <c r="SN29" s="252"/>
    </row>
    <row r="30" spans="1:508" s="243" customFormat="1" ht="15.6" customHeight="1" x14ac:dyDescent="0.55000000000000004">
      <c r="A30" s="220" t="str" cm="1">
        <f t="array" ref="A30">_xlfn.IFS(LEFT('Monthly Update'!A30, 3) = "*((", "", 'Monthly Update'!A30="", "", TRUE, 'Monthly Update'!A30)</f>
        <v/>
      </c>
      <c r="B30" s="220" t="str" cm="1">
        <f t="array" ref="B30">_xlfn.IFS(LEFT('Monthly Update'!B30, 3) = "*((", "", 'Monthly Update'!B30="", "", TRUE, 'Monthly Update'!B30)</f>
        <v/>
      </c>
      <c r="C30" s="221" t="str" cm="1">
        <f t="array" ref="C30">_xlfn.IFS(LEFT('Monthly Update'!CU30, 3) = "*((", "", 'Monthly Update'!CU30="", "", TRUE, 'Monthly Update'!CU30)</f>
        <v/>
      </c>
      <c r="D30" s="221" t="str" cm="1">
        <f t="array" ref="D30">_xlfn.IFS(LEFT('Monthly Update'!CV30, 3) = "*((", "", 'Monthly Update'!CV30="", "", TRUE, 'Monthly Update'!CV30)</f>
        <v/>
      </c>
      <c r="E30" s="221" t="str" cm="1">
        <f t="array" ref="E30">_xlfn.IFS(LEFT('Monthly Update'!CW30, 3) = "*((", "", 'Monthly Update'!CW30="", "", TRUE, 'Monthly Update'!CW30)</f>
        <v/>
      </c>
      <c r="F30" s="221" t="str" cm="1">
        <f t="array" ref="F30">_xlfn.IFS(LEFT('Monthly Update'!CX30, 3) = "*((", "", 'Monthly Update'!CX30="", "", TRUE, 'Monthly Update'!CX30)</f>
        <v/>
      </c>
      <c r="G30" s="221" t="str" cm="1">
        <f t="array" ref="G30">_xlfn.IFS(LEFT('Monthly Update'!CY30, 3) = "*((", "", 'Monthly Update'!CY30="", "", TRUE, 'Monthly Update'!CY30)</f>
        <v/>
      </c>
      <c r="H30" s="221" t="str" cm="1">
        <f t="array" ref="H30">_xlfn.IFS(LEFT('Monthly Update'!CZ30, 3) = "*((", "", 'Monthly Update'!CZ30="", "", TRUE, 'Monthly Update'!CZ30)</f>
        <v/>
      </c>
      <c r="I30" s="221" t="str" cm="1">
        <f t="array" ref="I30">_xlfn.IFS(LEFT('Monthly Update'!DA30, 3) = "*((", "", 'Monthly Update'!DA30="", "", TRUE, 'Monthly Update'!DA30)</f>
        <v/>
      </c>
      <c r="J30" s="221" t="str" cm="1">
        <f t="array" ref="J30">_xlfn.IFS(LEFT('Monthly Update'!DB30, 3) = "*((", "", 'Monthly Update'!DB30="", "", TRUE, 'Monthly Update'!DB30)</f>
        <v/>
      </c>
      <c r="K30" s="221" t="str" cm="1">
        <f t="array" ref="K30">_xlfn.IFS(LEFT('Monthly Update'!DC30, 3) = "*((", "", 'Monthly Update'!DC30="", "", TRUE, 'Monthly Update'!DC30)</f>
        <v/>
      </c>
      <c r="L30" s="221" t="str" cm="1">
        <f t="array" ref="L30">_xlfn.IFS(LEFT('Monthly Update'!DD30, 3) = "*((", "", 'Monthly Update'!DD30="", "", TRUE, 'Monthly Update'!DD30)</f>
        <v/>
      </c>
      <c r="M30" s="221" t="str" cm="1">
        <f t="array" ref="M30">_xlfn.IFS(LEFT('Monthly Update'!DE30, 3) = "*((", "", 'Monthly Update'!DE30="", "", TRUE, 'Monthly Update'!DE30)</f>
        <v/>
      </c>
      <c r="N30" s="221" t="str" cm="1">
        <f t="array" ref="N30">_xlfn.IFS(LEFT('Monthly Update'!DF30, 3) = "*((", "", 'Monthly Update'!DF30="", "", TRUE, 'Monthly Update'!DF30)</f>
        <v/>
      </c>
      <c r="O30" s="221" t="str" cm="1">
        <f t="array" ref="O30">_xlfn.IFS(LEFT('Monthly Update'!DG30, 3) = "*((", "", 'Monthly Update'!DG30="", "", TRUE, 'Monthly Update'!DG30)</f>
        <v/>
      </c>
      <c r="P30" s="221" t="str" cm="1">
        <f t="array" ref="P30">_xlfn.IFS(LEFT('Monthly Update'!DH30, 3) = "*((", "", 'Monthly Update'!DH30="", "", TRUE, 'Monthly Update'!DH30)</f>
        <v/>
      </c>
      <c r="Q30" s="221" t="str" cm="1">
        <f t="array" ref="Q30">_xlfn.IFS(LEFT('Monthly Update'!DI30, 3) = "*((", "", 'Monthly Update'!DI30="", "", TRUE, 'Monthly Update'!DI30)</f>
        <v/>
      </c>
      <c r="R30" s="221" t="str" cm="1">
        <f t="array" ref="R30">_xlfn.IFS(LEFT('Monthly Update'!DJ30, 3) = "*((", "", 'Monthly Update'!DJ30="", "", TRUE, 'Monthly Update'!DJ30)</f>
        <v/>
      </c>
      <c r="S30" s="221" t="str" cm="1">
        <f t="array" ref="S30">_xlfn.IFS(LEFT('Monthly Update'!DK30, 3) = "*((", "", 'Monthly Update'!DK30="", "", TRUE, 'Monthly Update'!DK30)</f>
        <v/>
      </c>
      <c r="T30" s="221" t="str" cm="1">
        <f t="array" ref="T30">_xlfn.IFS(LEFT('Monthly Update'!DL30, 3) = "*((", "", 'Monthly Update'!DL30="", "", TRUE, 'Monthly Update'!DL30)</f>
        <v/>
      </c>
      <c r="U30" s="221" t="str" cm="1">
        <f t="array" ref="U30">_xlfn.IFS(LEFT('Monthly Update'!DM30, 3) = "*((", "", 'Monthly Update'!DM30="", "", TRUE, 'Monthly Update'!DM30)</f>
        <v/>
      </c>
      <c r="V30" s="221" t="str" cm="1">
        <f t="array" ref="V30">_xlfn.IFS(LEFT('Monthly Update'!DN30, 3) = "*((", "", 'Monthly Update'!DN30="", "", TRUE, 'Monthly Update'!DN30)</f>
        <v/>
      </c>
      <c r="W30" s="221" t="str" cm="1">
        <f t="array" ref="W30">_xlfn.IFS(LEFT('Monthly Update'!DO30, 3) = "*((", "", 'Monthly Update'!DO30="", "", TRUE, 'Monthly Update'!DO30)</f>
        <v/>
      </c>
      <c r="X30" s="221" t="str" cm="1">
        <f t="array" ref="X30">_xlfn.IFS(LEFT('Monthly Update'!DP30, 3) = "*((", "", 'Monthly Update'!DP30="", "", TRUE, 'Monthly Update'!DP30)</f>
        <v/>
      </c>
      <c r="Y30" s="221" t="str" cm="1">
        <f t="array" ref="Y30">_xlfn.IFS(LEFT('Monthly Update'!DQ30, 3) = "*((", "", 'Monthly Update'!DQ30="", "", TRUE, 'Monthly Update'!DQ30)</f>
        <v/>
      </c>
      <c r="Z30" s="221" t="str" cm="1">
        <f t="array" ref="Z30">_xlfn.IFS(LEFT('Monthly Update'!DR30, 3) = "*((", "", 'Monthly Update'!DR30="", "", TRUE, 'Monthly Update'!DR30)</f>
        <v/>
      </c>
      <c r="AA30" s="221" t="str" cm="1">
        <f t="array" ref="AA30">_xlfn.IFS(LEFT('Monthly Update'!DS30, 3) = "*((", "", 'Monthly Update'!DS30="", "", TRUE, 'Monthly Update'!DS30)</f>
        <v/>
      </c>
      <c r="AB30" s="221" t="str" cm="1">
        <f t="array" ref="AB30">_xlfn.IFS(LEFT('Monthly Update'!DT30, 3) = "*((", "", 'Monthly Update'!DT30="", "", TRUE, 'Monthly Update'!DT30)</f>
        <v/>
      </c>
      <c r="AC30" s="221" t="str" cm="1">
        <f t="array" ref="AC30">_xlfn.IFS(LEFT('Monthly Update'!DU30, 3) = "*((", "", 'Monthly Update'!DU30="", "", TRUE, 'Monthly Update'!DU30)</f>
        <v/>
      </c>
      <c r="AD30" s="221" t="str" cm="1">
        <f t="array" ref="AD30">_xlfn.IFS(LEFT('Monthly Update'!DV30, 3) = "*((", "", 'Monthly Update'!DV30="", "", TRUE, 'Monthly Update'!DV30)</f>
        <v/>
      </c>
      <c r="AE30" s="221" t="str" cm="1">
        <f t="array" ref="AE30">_xlfn.IFS(LEFT('Monthly Update'!DW30, 3) = "*((", "", 'Monthly Update'!DW30="", "", TRUE, 'Monthly Update'!DW30)</f>
        <v/>
      </c>
      <c r="AF30" s="221" t="str" cm="1">
        <f t="array" ref="AF30">_xlfn.IFS(LEFT('Monthly Update'!DX30, 3) = "*((", "", 'Monthly Update'!DX30="", "", TRUE, 'Monthly Update'!DX30)</f>
        <v/>
      </c>
      <c r="AG30" s="221" t="str" cm="1">
        <f t="array" ref="AG30">_xlfn.IFS(LEFT('Monthly Update'!DY30, 3) = "*((", "", 'Monthly Update'!DY30="", "", TRUE, 'Monthly Update'!DY30)</f>
        <v/>
      </c>
      <c r="AH30" s="221" t="str" cm="1">
        <f t="array" ref="AH30">_xlfn.IFS(LEFT('Monthly Update'!DZ30, 3) = "*((", "", 'Monthly Update'!DZ30="", "", TRUE, 'Monthly Update'!DZ30)</f>
        <v/>
      </c>
      <c r="AI30" s="221" t="str" cm="1">
        <f t="array" ref="AI30">_xlfn.IFS(LEFT('Monthly Update'!EA30, 3) = "*((", "", 'Monthly Update'!EA30="", "", TRUE, 'Monthly Update'!EA30)</f>
        <v/>
      </c>
      <c r="AJ30" s="221" t="str" cm="1">
        <f t="array" ref="AJ30">_xlfn.IFS(LEFT('Monthly Update'!EB30, 3) = "*((", "", 'Monthly Update'!EB30="", "", TRUE, 'Monthly Update'!EB30)</f>
        <v/>
      </c>
      <c r="AK30" s="221" t="str" cm="1">
        <f t="array" ref="AK30">_xlfn.IFS(LEFT('Monthly Update'!EC30, 3) = "*((", "", 'Monthly Update'!EC30="", "", TRUE, 'Monthly Update'!EC30)</f>
        <v/>
      </c>
      <c r="AL30" s="221" t="str" cm="1">
        <f t="array" ref="AL30">_xlfn.IFS(LEFT('Monthly Update'!ED30, 3) = "*((", "", 'Monthly Update'!ED30="", "", TRUE, 'Monthly Update'!ED30)</f>
        <v/>
      </c>
      <c r="AM30" s="221" t="str" cm="1">
        <f t="array" ref="AM30">_xlfn.IFS(LEFT('Monthly Update'!EE30, 3) = "*((", "", 'Monthly Update'!EE30="", "", TRUE, 'Monthly Update'!EE30)</f>
        <v/>
      </c>
      <c r="AN30" s="221" t="str" cm="1">
        <f t="array" ref="AN30">_xlfn.IFS(LEFT('Monthly Update'!EF30, 3) = "*((", "", 'Monthly Update'!EF30="", "", TRUE, 'Monthly Update'!EF30)</f>
        <v/>
      </c>
      <c r="AO30" s="221" t="str" cm="1">
        <f t="array" ref="AO30">_xlfn.IFS(LEFT('Monthly Update'!EG30, 3) = "*((", "", 'Monthly Update'!EG30="", "", TRUE, 'Monthly Update'!EG30)</f>
        <v/>
      </c>
      <c r="AP30" s="221" t="str" cm="1">
        <f t="array" ref="AP30">_xlfn.IFS(LEFT('Monthly Update'!EH30, 3) = "*((", "", 'Monthly Update'!EH30="", "", TRUE, 'Monthly Update'!EH30)</f>
        <v/>
      </c>
      <c r="AQ30" s="221" t="str" cm="1">
        <f t="array" ref="AQ30">_xlfn.IFS(LEFT('Monthly Update'!EI30, 3) = "*((", "", 'Monthly Update'!EI30="", "", TRUE, 'Monthly Update'!EI30)</f>
        <v/>
      </c>
      <c r="AR30" s="221" t="str" cm="1">
        <f t="array" ref="AR30">_xlfn.IFS(LEFT('Monthly Update'!EJ30, 3) = "*((", "", 'Monthly Update'!EJ30="", "", TRUE, 'Monthly Update'!EJ30)</f>
        <v/>
      </c>
      <c r="AS30" s="221" t="str" cm="1">
        <f t="array" ref="AS30">_xlfn.IFS(LEFT('Monthly Update'!EK30, 3) = "*((", "", 'Monthly Update'!EK30="", "", TRUE, 'Monthly Update'!EK30)</f>
        <v/>
      </c>
      <c r="AT30" s="221" t="str" cm="1">
        <f t="array" ref="AT30">_xlfn.IFS(LEFT('Monthly Update'!EL30, 3) = "*((", "", 'Monthly Update'!EL30="", "", TRUE, 'Monthly Update'!EL30)</f>
        <v/>
      </c>
      <c r="AU30" s="221" t="str" cm="1">
        <f t="array" ref="AU30">_xlfn.IFS(LEFT('Monthly Update'!EM30, 3) = "*((", "", 'Monthly Update'!EM30="", "", TRUE, 'Monthly Update'!EM30)</f>
        <v/>
      </c>
      <c r="AV30" s="221" t="str" cm="1">
        <f t="array" ref="AV30">_xlfn.IFS(LEFT('Monthly Update'!EN30, 3) = "*((", "", 'Monthly Update'!EN30="", "", TRUE, 'Monthly Update'!EN30)</f>
        <v/>
      </c>
      <c r="AW30" s="221" t="str" cm="1">
        <f t="array" ref="AW30">_xlfn.IFS(LEFT('Monthly Update'!EO30, 3) = "*((", "", 'Monthly Update'!EO30="", "", TRUE, 'Monthly Update'!EO30)</f>
        <v/>
      </c>
      <c r="NU30" s="252"/>
      <c r="NV30" s="252"/>
      <c r="NW30" s="252"/>
      <c r="NX30" s="252"/>
      <c r="NY30" s="252"/>
      <c r="NZ30" s="252"/>
      <c r="OA30" s="252"/>
      <c r="OB30" s="252"/>
      <c r="OC30" s="252"/>
      <c r="OD30" s="252"/>
      <c r="OE30" s="252"/>
      <c r="OF30" s="252"/>
      <c r="OG30" s="252"/>
      <c r="OH30" s="252"/>
      <c r="OI30" s="252"/>
      <c r="OJ30" s="252"/>
      <c r="OK30" s="252"/>
      <c r="OL30" s="252"/>
      <c r="OM30" s="252"/>
      <c r="ON30" s="252"/>
      <c r="OO30" s="252"/>
      <c r="OP30" s="252"/>
      <c r="OQ30" s="252"/>
      <c r="OR30" s="252"/>
      <c r="OS30" s="252"/>
      <c r="OT30" s="252"/>
      <c r="OU30" s="252"/>
      <c r="OV30" s="252"/>
      <c r="OW30" s="252"/>
      <c r="OX30" s="252"/>
      <c r="OY30" s="252"/>
      <c r="OZ30" s="252"/>
      <c r="PA30" s="252"/>
      <c r="PB30" s="252"/>
      <c r="PC30" s="252"/>
      <c r="PD30" s="252"/>
      <c r="PE30" s="252"/>
      <c r="PF30" s="252"/>
      <c r="PG30" s="252"/>
      <c r="PH30" s="252"/>
      <c r="PI30" s="252"/>
      <c r="PJ30" s="252"/>
      <c r="PK30" s="252"/>
      <c r="PL30" s="252"/>
      <c r="PM30" s="252"/>
      <c r="PN30" s="252"/>
      <c r="PO30" s="252"/>
      <c r="PP30" s="252"/>
      <c r="PQ30" s="252"/>
      <c r="PR30" s="252"/>
      <c r="PS30" s="252"/>
      <c r="PT30" s="252"/>
      <c r="PU30" s="252"/>
      <c r="PV30" s="252"/>
      <c r="PW30" s="252"/>
      <c r="PX30" s="252"/>
      <c r="PY30" s="252"/>
      <c r="PZ30" s="252"/>
      <c r="QA30" s="252"/>
      <c r="QB30" s="252"/>
      <c r="QC30" s="252"/>
      <c r="QD30" s="252"/>
      <c r="QE30" s="252"/>
      <c r="QF30" s="252"/>
      <c r="QG30" s="252"/>
      <c r="QH30" s="252"/>
      <c r="QI30" s="252"/>
      <c r="QJ30" s="252"/>
      <c r="QK30" s="252"/>
      <c r="QL30" s="252"/>
      <c r="QM30" s="252"/>
      <c r="QN30" s="252"/>
      <c r="QO30" s="252"/>
      <c r="QP30" s="252"/>
      <c r="QQ30" s="252"/>
      <c r="QR30" s="252"/>
      <c r="QS30" s="252"/>
      <c r="QT30" s="252"/>
      <c r="QU30" s="252"/>
      <c r="QV30" s="252"/>
      <c r="QW30" s="252"/>
      <c r="QX30" s="252"/>
      <c r="QY30" s="252"/>
      <c r="QZ30" s="252"/>
      <c r="RA30" s="252"/>
      <c r="RB30" s="252"/>
      <c r="RC30" s="252"/>
      <c r="RD30" s="252"/>
      <c r="RE30" s="252"/>
      <c r="RF30" s="252"/>
      <c r="RG30" s="252"/>
      <c r="RH30" s="252"/>
      <c r="RI30" s="252"/>
      <c r="RJ30" s="252"/>
      <c r="RK30" s="252"/>
      <c r="RL30" s="252"/>
      <c r="RM30" s="252"/>
      <c r="RN30" s="252"/>
      <c r="RO30" s="252"/>
      <c r="RP30" s="252"/>
      <c r="RQ30" s="252"/>
      <c r="RR30" s="252"/>
      <c r="RS30" s="252"/>
      <c r="RT30" s="252"/>
      <c r="RU30" s="252"/>
      <c r="RV30" s="252"/>
      <c r="RW30" s="252"/>
      <c r="RX30" s="252"/>
      <c r="RY30" s="252"/>
      <c r="RZ30" s="252"/>
      <c r="SA30" s="252"/>
      <c r="SB30" s="252"/>
      <c r="SC30" s="252"/>
      <c r="SD30" s="252"/>
      <c r="SE30" s="252"/>
      <c r="SF30" s="252"/>
      <c r="SG30" s="252"/>
      <c r="SH30" s="252"/>
      <c r="SI30" s="252"/>
      <c r="SJ30" s="252"/>
      <c r="SK30" s="252"/>
      <c r="SL30" s="252"/>
      <c r="SM30" s="252"/>
      <c r="SN30" s="252"/>
    </row>
    <row r="31" spans="1:508" s="243" customFormat="1" ht="15.6" customHeight="1" x14ac:dyDescent="0.55000000000000004">
      <c r="A31" s="220" t="str" cm="1">
        <f t="array" ref="A31">_xlfn.IFS(LEFT('Monthly Update'!A31, 3) = "*((", "", 'Monthly Update'!A31="", "", TRUE, 'Monthly Update'!A31)</f>
        <v/>
      </c>
      <c r="B31" s="220" t="str" cm="1">
        <f t="array" ref="B31">_xlfn.IFS(LEFT('Monthly Update'!B31, 3) = "*((", "", 'Monthly Update'!B31="", "", TRUE, 'Monthly Update'!B31)</f>
        <v/>
      </c>
      <c r="C31" s="221" t="str" cm="1">
        <f t="array" ref="C31">_xlfn.IFS(LEFT('Monthly Update'!CU31, 3) = "*((", "", 'Monthly Update'!CU31="", "", TRUE, 'Monthly Update'!CU31)</f>
        <v/>
      </c>
      <c r="D31" s="221" t="str" cm="1">
        <f t="array" ref="D31">_xlfn.IFS(LEFT('Monthly Update'!CV31, 3) = "*((", "", 'Monthly Update'!CV31="", "", TRUE, 'Monthly Update'!CV31)</f>
        <v/>
      </c>
      <c r="E31" s="221" t="str" cm="1">
        <f t="array" ref="E31">_xlfn.IFS(LEFT('Monthly Update'!CW31, 3) = "*((", "", 'Monthly Update'!CW31="", "", TRUE, 'Monthly Update'!CW31)</f>
        <v/>
      </c>
      <c r="F31" s="221" t="str" cm="1">
        <f t="array" ref="F31">_xlfn.IFS(LEFT('Monthly Update'!CX31, 3) = "*((", "", 'Monthly Update'!CX31="", "", TRUE, 'Monthly Update'!CX31)</f>
        <v/>
      </c>
      <c r="G31" s="221" t="str" cm="1">
        <f t="array" ref="G31">_xlfn.IFS(LEFT('Monthly Update'!CY31, 3) = "*((", "", 'Monthly Update'!CY31="", "", TRUE, 'Monthly Update'!CY31)</f>
        <v/>
      </c>
      <c r="H31" s="221" t="str" cm="1">
        <f t="array" ref="H31">_xlfn.IFS(LEFT('Monthly Update'!CZ31, 3) = "*((", "", 'Monthly Update'!CZ31="", "", TRUE, 'Monthly Update'!CZ31)</f>
        <v/>
      </c>
      <c r="I31" s="221" t="str" cm="1">
        <f t="array" ref="I31">_xlfn.IFS(LEFT('Monthly Update'!DA31, 3) = "*((", "", 'Monthly Update'!DA31="", "", TRUE, 'Monthly Update'!DA31)</f>
        <v/>
      </c>
      <c r="J31" s="221" t="str" cm="1">
        <f t="array" ref="J31">_xlfn.IFS(LEFT('Monthly Update'!DB31, 3) = "*((", "", 'Monthly Update'!DB31="", "", TRUE, 'Monthly Update'!DB31)</f>
        <v/>
      </c>
      <c r="K31" s="221" t="str" cm="1">
        <f t="array" ref="K31">_xlfn.IFS(LEFT('Monthly Update'!DC31, 3) = "*((", "", 'Monthly Update'!DC31="", "", TRUE, 'Monthly Update'!DC31)</f>
        <v/>
      </c>
      <c r="L31" s="221" t="str" cm="1">
        <f t="array" ref="L31">_xlfn.IFS(LEFT('Monthly Update'!DD31, 3) = "*((", "", 'Monthly Update'!DD31="", "", TRUE, 'Monthly Update'!DD31)</f>
        <v/>
      </c>
      <c r="M31" s="221" t="str" cm="1">
        <f t="array" ref="M31">_xlfn.IFS(LEFT('Monthly Update'!DE31, 3) = "*((", "", 'Monthly Update'!DE31="", "", TRUE, 'Monthly Update'!DE31)</f>
        <v/>
      </c>
      <c r="N31" s="221" t="str" cm="1">
        <f t="array" ref="N31">_xlfn.IFS(LEFT('Monthly Update'!DF31, 3) = "*((", "", 'Monthly Update'!DF31="", "", TRUE, 'Monthly Update'!DF31)</f>
        <v/>
      </c>
      <c r="O31" s="221" t="str" cm="1">
        <f t="array" ref="O31">_xlfn.IFS(LEFT('Monthly Update'!DG31, 3) = "*((", "", 'Monthly Update'!DG31="", "", TRUE, 'Monthly Update'!DG31)</f>
        <v/>
      </c>
      <c r="P31" s="221" t="str" cm="1">
        <f t="array" ref="P31">_xlfn.IFS(LEFT('Monthly Update'!DH31, 3) = "*((", "", 'Monthly Update'!DH31="", "", TRUE, 'Monthly Update'!DH31)</f>
        <v/>
      </c>
      <c r="Q31" s="221" t="str" cm="1">
        <f t="array" ref="Q31">_xlfn.IFS(LEFT('Monthly Update'!DI31, 3) = "*((", "", 'Monthly Update'!DI31="", "", TRUE, 'Monthly Update'!DI31)</f>
        <v/>
      </c>
      <c r="R31" s="221" t="str" cm="1">
        <f t="array" ref="R31">_xlfn.IFS(LEFT('Monthly Update'!DJ31, 3) = "*((", "", 'Monthly Update'!DJ31="", "", TRUE, 'Monthly Update'!DJ31)</f>
        <v/>
      </c>
      <c r="S31" s="221" t="str" cm="1">
        <f t="array" ref="S31">_xlfn.IFS(LEFT('Monthly Update'!DK31, 3) = "*((", "", 'Monthly Update'!DK31="", "", TRUE, 'Monthly Update'!DK31)</f>
        <v/>
      </c>
      <c r="T31" s="221" t="str" cm="1">
        <f t="array" ref="T31">_xlfn.IFS(LEFT('Monthly Update'!DL31, 3) = "*((", "", 'Monthly Update'!DL31="", "", TRUE, 'Monthly Update'!DL31)</f>
        <v/>
      </c>
      <c r="U31" s="221" t="str" cm="1">
        <f t="array" ref="U31">_xlfn.IFS(LEFT('Monthly Update'!DM31, 3) = "*((", "", 'Monthly Update'!DM31="", "", TRUE, 'Monthly Update'!DM31)</f>
        <v/>
      </c>
      <c r="V31" s="221" t="str" cm="1">
        <f t="array" ref="V31">_xlfn.IFS(LEFT('Monthly Update'!DN31, 3) = "*((", "", 'Monthly Update'!DN31="", "", TRUE, 'Monthly Update'!DN31)</f>
        <v/>
      </c>
      <c r="W31" s="221" t="str" cm="1">
        <f t="array" ref="W31">_xlfn.IFS(LEFT('Monthly Update'!DO31, 3) = "*((", "", 'Monthly Update'!DO31="", "", TRUE, 'Monthly Update'!DO31)</f>
        <v/>
      </c>
      <c r="X31" s="221" t="str" cm="1">
        <f t="array" ref="X31">_xlfn.IFS(LEFT('Monthly Update'!DP31, 3) = "*((", "", 'Monthly Update'!DP31="", "", TRUE, 'Monthly Update'!DP31)</f>
        <v/>
      </c>
      <c r="Y31" s="221" t="str" cm="1">
        <f t="array" ref="Y31">_xlfn.IFS(LEFT('Monthly Update'!DQ31, 3) = "*((", "", 'Monthly Update'!DQ31="", "", TRUE, 'Monthly Update'!DQ31)</f>
        <v/>
      </c>
      <c r="Z31" s="221" t="str" cm="1">
        <f t="array" ref="Z31">_xlfn.IFS(LEFT('Monthly Update'!DR31, 3) = "*((", "", 'Monthly Update'!DR31="", "", TRUE, 'Monthly Update'!DR31)</f>
        <v/>
      </c>
      <c r="AA31" s="221" t="str" cm="1">
        <f t="array" ref="AA31">_xlfn.IFS(LEFT('Monthly Update'!DS31, 3) = "*((", "", 'Monthly Update'!DS31="", "", TRUE, 'Monthly Update'!DS31)</f>
        <v/>
      </c>
      <c r="AB31" s="221" t="str" cm="1">
        <f t="array" ref="AB31">_xlfn.IFS(LEFT('Monthly Update'!DT31, 3) = "*((", "", 'Monthly Update'!DT31="", "", TRUE, 'Monthly Update'!DT31)</f>
        <v/>
      </c>
      <c r="AC31" s="221" t="str" cm="1">
        <f t="array" ref="AC31">_xlfn.IFS(LEFT('Monthly Update'!DU31, 3) = "*((", "", 'Monthly Update'!DU31="", "", TRUE, 'Monthly Update'!DU31)</f>
        <v/>
      </c>
      <c r="AD31" s="221" t="str" cm="1">
        <f t="array" ref="AD31">_xlfn.IFS(LEFT('Monthly Update'!DV31, 3) = "*((", "", 'Monthly Update'!DV31="", "", TRUE, 'Monthly Update'!DV31)</f>
        <v/>
      </c>
      <c r="AE31" s="221" t="str" cm="1">
        <f t="array" ref="AE31">_xlfn.IFS(LEFT('Monthly Update'!DW31, 3) = "*((", "", 'Monthly Update'!DW31="", "", TRUE, 'Monthly Update'!DW31)</f>
        <v/>
      </c>
      <c r="AF31" s="221" t="str" cm="1">
        <f t="array" ref="AF31">_xlfn.IFS(LEFT('Monthly Update'!DX31, 3) = "*((", "", 'Monthly Update'!DX31="", "", TRUE, 'Monthly Update'!DX31)</f>
        <v/>
      </c>
      <c r="AG31" s="221" t="str" cm="1">
        <f t="array" ref="AG31">_xlfn.IFS(LEFT('Monthly Update'!DY31, 3) = "*((", "", 'Monthly Update'!DY31="", "", TRUE, 'Monthly Update'!DY31)</f>
        <v/>
      </c>
      <c r="AH31" s="221" t="str" cm="1">
        <f t="array" ref="AH31">_xlfn.IFS(LEFT('Monthly Update'!DZ31, 3) = "*((", "", 'Monthly Update'!DZ31="", "", TRUE, 'Monthly Update'!DZ31)</f>
        <v/>
      </c>
      <c r="AI31" s="221" t="str" cm="1">
        <f t="array" ref="AI31">_xlfn.IFS(LEFT('Monthly Update'!EA31, 3) = "*((", "", 'Monthly Update'!EA31="", "", TRUE, 'Monthly Update'!EA31)</f>
        <v/>
      </c>
      <c r="AJ31" s="221" t="str" cm="1">
        <f t="array" ref="AJ31">_xlfn.IFS(LEFT('Monthly Update'!EB31, 3) = "*((", "", 'Monthly Update'!EB31="", "", TRUE, 'Monthly Update'!EB31)</f>
        <v/>
      </c>
      <c r="AK31" s="221" t="str" cm="1">
        <f t="array" ref="AK31">_xlfn.IFS(LEFT('Monthly Update'!EC31, 3) = "*((", "", 'Monthly Update'!EC31="", "", TRUE, 'Monthly Update'!EC31)</f>
        <v/>
      </c>
      <c r="AL31" s="221" t="str" cm="1">
        <f t="array" ref="AL31">_xlfn.IFS(LEFT('Monthly Update'!ED31, 3) = "*((", "", 'Monthly Update'!ED31="", "", TRUE, 'Monthly Update'!ED31)</f>
        <v/>
      </c>
      <c r="AM31" s="221" t="str" cm="1">
        <f t="array" ref="AM31">_xlfn.IFS(LEFT('Monthly Update'!EE31, 3) = "*((", "", 'Monthly Update'!EE31="", "", TRUE, 'Monthly Update'!EE31)</f>
        <v/>
      </c>
      <c r="AN31" s="221" t="str" cm="1">
        <f t="array" ref="AN31">_xlfn.IFS(LEFT('Monthly Update'!EF31, 3) = "*((", "", 'Monthly Update'!EF31="", "", TRUE, 'Monthly Update'!EF31)</f>
        <v/>
      </c>
      <c r="AO31" s="221" t="str" cm="1">
        <f t="array" ref="AO31">_xlfn.IFS(LEFT('Monthly Update'!EG31, 3) = "*((", "", 'Monthly Update'!EG31="", "", TRUE, 'Monthly Update'!EG31)</f>
        <v/>
      </c>
      <c r="AP31" s="221" t="str" cm="1">
        <f t="array" ref="AP31">_xlfn.IFS(LEFT('Monthly Update'!EH31, 3) = "*((", "", 'Monthly Update'!EH31="", "", TRUE, 'Monthly Update'!EH31)</f>
        <v/>
      </c>
      <c r="AQ31" s="221" t="str" cm="1">
        <f t="array" ref="AQ31">_xlfn.IFS(LEFT('Monthly Update'!EI31, 3) = "*((", "", 'Monthly Update'!EI31="", "", TRUE, 'Monthly Update'!EI31)</f>
        <v/>
      </c>
      <c r="AR31" s="221" t="str" cm="1">
        <f t="array" ref="AR31">_xlfn.IFS(LEFT('Monthly Update'!EJ31, 3) = "*((", "", 'Monthly Update'!EJ31="", "", TRUE, 'Monthly Update'!EJ31)</f>
        <v/>
      </c>
      <c r="AS31" s="221" t="str" cm="1">
        <f t="array" ref="AS31">_xlfn.IFS(LEFT('Monthly Update'!EK31, 3) = "*((", "", 'Monthly Update'!EK31="", "", TRUE, 'Monthly Update'!EK31)</f>
        <v/>
      </c>
      <c r="AT31" s="221" t="str" cm="1">
        <f t="array" ref="AT31">_xlfn.IFS(LEFT('Monthly Update'!EL31, 3) = "*((", "", 'Monthly Update'!EL31="", "", TRUE, 'Monthly Update'!EL31)</f>
        <v/>
      </c>
      <c r="AU31" s="221" t="str" cm="1">
        <f t="array" ref="AU31">_xlfn.IFS(LEFT('Monthly Update'!EM31, 3) = "*((", "", 'Monthly Update'!EM31="", "", TRUE, 'Monthly Update'!EM31)</f>
        <v/>
      </c>
      <c r="AV31" s="221" t="str" cm="1">
        <f t="array" ref="AV31">_xlfn.IFS(LEFT('Monthly Update'!EN31, 3) = "*((", "", 'Monthly Update'!EN31="", "", TRUE, 'Monthly Update'!EN31)</f>
        <v/>
      </c>
      <c r="AW31" s="221" t="str" cm="1">
        <f t="array" ref="AW31">_xlfn.IFS(LEFT('Monthly Update'!EO31, 3) = "*((", "", 'Monthly Update'!EO31="", "", TRUE, 'Monthly Update'!EO31)</f>
        <v/>
      </c>
      <c r="NU31" s="252"/>
      <c r="NV31" s="252"/>
      <c r="NW31" s="252"/>
      <c r="NX31" s="252"/>
      <c r="NY31" s="252"/>
      <c r="NZ31" s="252"/>
      <c r="OA31" s="252"/>
      <c r="OB31" s="252"/>
      <c r="OC31" s="252"/>
      <c r="OD31" s="252"/>
      <c r="OE31" s="252"/>
      <c r="OF31" s="252"/>
      <c r="OG31" s="252"/>
      <c r="OH31" s="252"/>
      <c r="OI31" s="252"/>
      <c r="OJ31" s="252"/>
      <c r="OK31" s="252"/>
      <c r="OL31" s="252"/>
      <c r="OM31" s="252"/>
      <c r="ON31" s="252"/>
      <c r="OO31" s="252"/>
      <c r="OP31" s="252"/>
      <c r="OQ31" s="252"/>
      <c r="OR31" s="252"/>
      <c r="OS31" s="252"/>
      <c r="OT31" s="252"/>
      <c r="OU31" s="252"/>
      <c r="OV31" s="252"/>
      <c r="OW31" s="252"/>
      <c r="OX31" s="252"/>
      <c r="OY31" s="252"/>
      <c r="OZ31" s="252"/>
      <c r="PA31" s="252"/>
      <c r="PB31" s="252"/>
      <c r="PC31" s="252"/>
      <c r="PD31" s="252"/>
      <c r="PE31" s="252"/>
      <c r="PF31" s="252"/>
      <c r="PG31" s="252"/>
      <c r="PH31" s="252"/>
      <c r="PI31" s="252"/>
      <c r="PJ31" s="252"/>
      <c r="PK31" s="252"/>
      <c r="PL31" s="252"/>
      <c r="PM31" s="252"/>
      <c r="PN31" s="252"/>
      <c r="PO31" s="252"/>
      <c r="PP31" s="252"/>
      <c r="PQ31" s="252"/>
      <c r="PR31" s="252"/>
      <c r="PS31" s="252"/>
      <c r="PT31" s="252"/>
      <c r="PU31" s="252"/>
      <c r="PV31" s="252"/>
      <c r="PW31" s="252"/>
      <c r="PX31" s="252"/>
      <c r="PY31" s="252"/>
      <c r="PZ31" s="252"/>
      <c r="QA31" s="252"/>
      <c r="QB31" s="252"/>
      <c r="QC31" s="252"/>
      <c r="QD31" s="252"/>
      <c r="QE31" s="252"/>
      <c r="QF31" s="252"/>
      <c r="QG31" s="252"/>
      <c r="QH31" s="252"/>
      <c r="QI31" s="252"/>
      <c r="QJ31" s="252"/>
      <c r="QK31" s="252"/>
      <c r="QL31" s="252"/>
      <c r="QM31" s="252"/>
      <c r="QN31" s="252"/>
      <c r="QO31" s="252"/>
      <c r="QP31" s="252"/>
      <c r="QQ31" s="252"/>
      <c r="QR31" s="252"/>
      <c r="QS31" s="252"/>
      <c r="QT31" s="252"/>
      <c r="QU31" s="252"/>
      <c r="QV31" s="252"/>
      <c r="QW31" s="252"/>
      <c r="QX31" s="252"/>
      <c r="QY31" s="252"/>
      <c r="QZ31" s="252"/>
      <c r="RA31" s="252"/>
      <c r="RB31" s="252"/>
      <c r="RC31" s="252"/>
      <c r="RD31" s="252"/>
      <c r="RE31" s="252"/>
      <c r="RF31" s="252"/>
      <c r="RG31" s="252"/>
      <c r="RH31" s="252"/>
      <c r="RI31" s="252"/>
      <c r="RJ31" s="252"/>
      <c r="RK31" s="252"/>
      <c r="RL31" s="252"/>
      <c r="RM31" s="252"/>
      <c r="RN31" s="252"/>
      <c r="RO31" s="252"/>
      <c r="RP31" s="252"/>
      <c r="RQ31" s="252"/>
      <c r="RR31" s="252"/>
      <c r="RS31" s="252"/>
      <c r="RT31" s="252"/>
      <c r="RU31" s="252"/>
      <c r="RV31" s="252"/>
      <c r="RW31" s="252"/>
      <c r="RX31" s="252"/>
      <c r="RY31" s="252"/>
      <c r="RZ31" s="252"/>
      <c r="SA31" s="252"/>
      <c r="SB31" s="252"/>
      <c r="SC31" s="252"/>
      <c r="SD31" s="252"/>
      <c r="SE31" s="252"/>
      <c r="SF31" s="252"/>
      <c r="SG31" s="252"/>
      <c r="SH31" s="252"/>
      <c r="SI31" s="252"/>
      <c r="SJ31" s="252"/>
      <c r="SK31" s="252"/>
      <c r="SL31" s="252"/>
      <c r="SM31" s="252"/>
      <c r="SN31" s="252"/>
    </row>
    <row r="32" spans="1:508" s="243" customFormat="1" ht="15.6" customHeight="1" x14ac:dyDescent="0.55000000000000004">
      <c r="A32" s="220" t="str" cm="1">
        <f t="array" ref="A32">_xlfn.IFS(LEFT('Monthly Update'!A32, 3) = "*((", "", 'Monthly Update'!A32="", "", TRUE, 'Monthly Update'!A32)</f>
        <v/>
      </c>
      <c r="B32" s="220" t="str" cm="1">
        <f t="array" ref="B32">_xlfn.IFS(LEFT('Monthly Update'!B32, 3) = "*((", "", 'Monthly Update'!B32="", "", TRUE, 'Monthly Update'!B32)</f>
        <v/>
      </c>
      <c r="C32" s="221" t="str" cm="1">
        <f t="array" ref="C32">_xlfn.IFS(LEFT('Monthly Update'!CU32, 3) = "*((", "", 'Monthly Update'!CU32="", "", TRUE, 'Monthly Update'!CU32)</f>
        <v/>
      </c>
      <c r="D32" s="221" t="str" cm="1">
        <f t="array" ref="D32">_xlfn.IFS(LEFT('Monthly Update'!CV32, 3) = "*((", "", 'Monthly Update'!CV32="", "", TRUE, 'Monthly Update'!CV32)</f>
        <v/>
      </c>
      <c r="E32" s="221" t="str" cm="1">
        <f t="array" ref="E32">_xlfn.IFS(LEFT('Monthly Update'!CW32, 3) = "*((", "", 'Monthly Update'!CW32="", "", TRUE, 'Monthly Update'!CW32)</f>
        <v/>
      </c>
      <c r="F32" s="221" t="str" cm="1">
        <f t="array" ref="F32">_xlfn.IFS(LEFT('Monthly Update'!CX32, 3) = "*((", "", 'Monthly Update'!CX32="", "", TRUE, 'Monthly Update'!CX32)</f>
        <v/>
      </c>
      <c r="G32" s="221" t="str" cm="1">
        <f t="array" ref="G32">_xlfn.IFS(LEFT('Monthly Update'!CY32, 3) = "*((", "", 'Monthly Update'!CY32="", "", TRUE, 'Monthly Update'!CY32)</f>
        <v/>
      </c>
      <c r="H32" s="221" t="str" cm="1">
        <f t="array" ref="H32">_xlfn.IFS(LEFT('Monthly Update'!CZ32, 3) = "*((", "", 'Monthly Update'!CZ32="", "", TRUE, 'Monthly Update'!CZ32)</f>
        <v/>
      </c>
      <c r="I32" s="221" t="str" cm="1">
        <f t="array" ref="I32">_xlfn.IFS(LEFT('Monthly Update'!DA32, 3) = "*((", "", 'Monthly Update'!DA32="", "", TRUE, 'Monthly Update'!DA32)</f>
        <v/>
      </c>
      <c r="J32" s="221" t="str" cm="1">
        <f t="array" ref="J32">_xlfn.IFS(LEFT('Monthly Update'!DB32, 3) = "*((", "", 'Monthly Update'!DB32="", "", TRUE, 'Monthly Update'!DB32)</f>
        <v/>
      </c>
      <c r="K32" s="221" t="str" cm="1">
        <f t="array" ref="K32">_xlfn.IFS(LEFT('Monthly Update'!DC32, 3) = "*((", "", 'Monthly Update'!DC32="", "", TRUE, 'Monthly Update'!DC32)</f>
        <v/>
      </c>
      <c r="L32" s="221" t="str" cm="1">
        <f t="array" ref="L32">_xlfn.IFS(LEFT('Monthly Update'!DD32, 3) = "*((", "", 'Monthly Update'!DD32="", "", TRUE, 'Monthly Update'!DD32)</f>
        <v/>
      </c>
      <c r="M32" s="221" t="str" cm="1">
        <f t="array" ref="M32">_xlfn.IFS(LEFT('Monthly Update'!DE32, 3) = "*((", "", 'Monthly Update'!DE32="", "", TRUE, 'Monthly Update'!DE32)</f>
        <v/>
      </c>
      <c r="N32" s="221" t="str" cm="1">
        <f t="array" ref="N32">_xlfn.IFS(LEFT('Monthly Update'!DF32, 3) = "*((", "", 'Monthly Update'!DF32="", "", TRUE, 'Monthly Update'!DF32)</f>
        <v/>
      </c>
      <c r="O32" s="221" t="str" cm="1">
        <f t="array" ref="O32">_xlfn.IFS(LEFT('Monthly Update'!DG32, 3) = "*((", "", 'Monthly Update'!DG32="", "", TRUE, 'Monthly Update'!DG32)</f>
        <v/>
      </c>
      <c r="P32" s="221" t="str" cm="1">
        <f t="array" ref="P32">_xlfn.IFS(LEFT('Monthly Update'!DH32, 3) = "*((", "", 'Monthly Update'!DH32="", "", TRUE, 'Monthly Update'!DH32)</f>
        <v/>
      </c>
      <c r="Q32" s="221" t="str" cm="1">
        <f t="array" ref="Q32">_xlfn.IFS(LEFT('Monthly Update'!DI32, 3) = "*((", "", 'Monthly Update'!DI32="", "", TRUE, 'Monthly Update'!DI32)</f>
        <v/>
      </c>
      <c r="R32" s="221" t="str" cm="1">
        <f t="array" ref="R32">_xlfn.IFS(LEFT('Monthly Update'!DJ32, 3) = "*((", "", 'Monthly Update'!DJ32="", "", TRUE, 'Monthly Update'!DJ32)</f>
        <v/>
      </c>
      <c r="S32" s="221" t="str" cm="1">
        <f t="array" ref="S32">_xlfn.IFS(LEFT('Monthly Update'!DK32, 3) = "*((", "", 'Monthly Update'!DK32="", "", TRUE, 'Monthly Update'!DK32)</f>
        <v/>
      </c>
      <c r="T32" s="221" t="str" cm="1">
        <f t="array" ref="T32">_xlfn.IFS(LEFT('Monthly Update'!DL32, 3) = "*((", "", 'Monthly Update'!DL32="", "", TRUE, 'Monthly Update'!DL32)</f>
        <v/>
      </c>
      <c r="U32" s="221" t="str" cm="1">
        <f t="array" ref="U32">_xlfn.IFS(LEFT('Monthly Update'!DM32, 3) = "*((", "", 'Monthly Update'!DM32="", "", TRUE, 'Monthly Update'!DM32)</f>
        <v/>
      </c>
      <c r="V32" s="221" t="str" cm="1">
        <f t="array" ref="V32">_xlfn.IFS(LEFT('Monthly Update'!DN32, 3) = "*((", "", 'Monthly Update'!DN32="", "", TRUE, 'Monthly Update'!DN32)</f>
        <v/>
      </c>
      <c r="W32" s="221" t="str" cm="1">
        <f t="array" ref="W32">_xlfn.IFS(LEFT('Monthly Update'!DO32, 3) = "*((", "", 'Monthly Update'!DO32="", "", TRUE, 'Monthly Update'!DO32)</f>
        <v/>
      </c>
      <c r="X32" s="221" t="str" cm="1">
        <f t="array" ref="X32">_xlfn.IFS(LEFT('Monthly Update'!DP32, 3) = "*((", "", 'Monthly Update'!DP32="", "", TRUE, 'Monthly Update'!DP32)</f>
        <v/>
      </c>
      <c r="Y32" s="221" t="str" cm="1">
        <f t="array" ref="Y32">_xlfn.IFS(LEFT('Monthly Update'!DQ32, 3) = "*((", "", 'Monthly Update'!DQ32="", "", TRUE, 'Monthly Update'!DQ32)</f>
        <v/>
      </c>
      <c r="Z32" s="221" t="str" cm="1">
        <f t="array" ref="Z32">_xlfn.IFS(LEFT('Monthly Update'!DR32, 3) = "*((", "", 'Monthly Update'!DR32="", "", TRUE, 'Monthly Update'!DR32)</f>
        <v/>
      </c>
      <c r="AA32" s="221" t="str" cm="1">
        <f t="array" ref="AA32">_xlfn.IFS(LEFT('Monthly Update'!DS32, 3) = "*((", "", 'Monthly Update'!DS32="", "", TRUE, 'Monthly Update'!DS32)</f>
        <v/>
      </c>
      <c r="AB32" s="221" t="str" cm="1">
        <f t="array" ref="AB32">_xlfn.IFS(LEFT('Monthly Update'!DT32, 3) = "*((", "", 'Monthly Update'!DT32="", "", TRUE, 'Monthly Update'!DT32)</f>
        <v/>
      </c>
      <c r="AC32" s="221" t="str" cm="1">
        <f t="array" ref="AC32">_xlfn.IFS(LEFT('Monthly Update'!DU32, 3) = "*((", "", 'Monthly Update'!DU32="", "", TRUE, 'Monthly Update'!DU32)</f>
        <v/>
      </c>
      <c r="AD32" s="221" t="str" cm="1">
        <f t="array" ref="AD32">_xlfn.IFS(LEFT('Monthly Update'!DV32, 3) = "*((", "", 'Monthly Update'!DV32="", "", TRUE, 'Monthly Update'!DV32)</f>
        <v/>
      </c>
      <c r="AE32" s="221" t="str" cm="1">
        <f t="array" ref="AE32">_xlfn.IFS(LEFT('Monthly Update'!DW32, 3) = "*((", "", 'Monthly Update'!DW32="", "", TRUE, 'Monthly Update'!DW32)</f>
        <v/>
      </c>
      <c r="AF32" s="221" t="str" cm="1">
        <f t="array" ref="AF32">_xlfn.IFS(LEFT('Monthly Update'!DX32, 3) = "*((", "", 'Monthly Update'!DX32="", "", TRUE, 'Monthly Update'!DX32)</f>
        <v/>
      </c>
      <c r="AG32" s="221" t="str" cm="1">
        <f t="array" ref="AG32">_xlfn.IFS(LEFT('Monthly Update'!DY32, 3) = "*((", "", 'Monthly Update'!DY32="", "", TRUE, 'Monthly Update'!DY32)</f>
        <v/>
      </c>
      <c r="AH32" s="221" t="str" cm="1">
        <f t="array" ref="AH32">_xlfn.IFS(LEFT('Monthly Update'!DZ32, 3) = "*((", "", 'Monthly Update'!DZ32="", "", TRUE, 'Monthly Update'!DZ32)</f>
        <v/>
      </c>
      <c r="AI32" s="221" t="str" cm="1">
        <f t="array" ref="AI32">_xlfn.IFS(LEFT('Monthly Update'!EA32, 3) = "*((", "", 'Monthly Update'!EA32="", "", TRUE, 'Monthly Update'!EA32)</f>
        <v/>
      </c>
      <c r="AJ32" s="221" t="str" cm="1">
        <f t="array" ref="AJ32">_xlfn.IFS(LEFT('Monthly Update'!EB32, 3) = "*((", "", 'Monthly Update'!EB32="", "", TRUE, 'Monthly Update'!EB32)</f>
        <v/>
      </c>
      <c r="AK32" s="221" t="str" cm="1">
        <f t="array" ref="AK32">_xlfn.IFS(LEFT('Monthly Update'!EC32, 3) = "*((", "", 'Monthly Update'!EC32="", "", TRUE, 'Monthly Update'!EC32)</f>
        <v/>
      </c>
      <c r="AL32" s="221" t="str" cm="1">
        <f t="array" ref="AL32">_xlfn.IFS(LEFT('Monthly Update'!ED32, 3) = "*((", "", 'Monthly Update'!ED32="", "", TRUE, 'Monthly Update'!ED32)</f>
        <v/>
      </c>
      <c r="AM32" s="221" t="str" cm="1">
        <f t="array" ref="AM32">_xlfn.IFS(LEFT('Monthly Update'!EE32, 3) = "*((", "", 'Monthly Update'!EE32="", "", TRUE, 'Monthly Update'!EE32)</f>
        <v/>
      </c>
      <c r="AN32" s="221" t="str" cm="1">
        <f t="array" ref="AN32">_xlfn.IFS(LEFT('Monthly Update'!EF32, 3) = "*((", "", 'Monthly Update'!EF32="", "", TRUE, 'Monthly Update'!EF32)</f>
        <v/>
      </c>
      <c r="AO32" s="221" t="str" cm="1">
        <f t="array" ref="AO32">_xlfn.IFS(LEFT('Monthly Update'!EG32, 3) = "*((", "", 'Monthly Update'!EG32="", "", TRUE, 'Monthly Update'!EG32)</f>
        <v/>
      </c>
      <c r="AP32" s="221" t="str" cm="1">
        <f t="array" ref="AP32">_xlfn.IFS(LEFT('Monthly Update'!EH32, 3) = "*((", "", 'Monthly Update'!EH32="", "", TRUE, 'Monthly Update'!EH32)</f>
        <v/>
      </c>
      <c r="AQ32" s="221" t="str" cm="1">
        <f t="array" ref="AQ32">_xlfn.IFS(LEFT('Monthly Update'!EI32, 3) = "*((", "", 'Monthly Update'!EI32="", "", TRUE, 'Monthly Update'!EI32)</f>
        <v/>
      </c>
      <c r="AR32" s="221" t="str" cm="1">
        <f t="array" ref="AR32">_xlfn.IFS(LEFT('Monthly Update'!EJ32, 3) = "*((", "", 'Monthly Update'!EJ32="", "", TRUE, 'Monthly Update'!EJ32)</f>
        <v/>
      </c>
      <c r="AS32" s="221" t="str" cm="1">
        <f t="array" ref="AS32">_xlfn.IFS(LEFT('Monthly Update'!EK32, 3) = "*((", "", 'Monthly Update'!EK32="", "", TRUE, 'Monthly Update'!EK32)</f>
        <v/>
      </c>
      <c r="AT32" s="221" t="str" cm="1">
        <f t="array" ref="AT32">_xlfn.IFS(LEFT('Monthly Update'!EL32, 3) = "*((", "", 'Monthly Update'!EL32="", "", TRUE, 'Monthly Update'!EL32)</f>
        <v/>
      </c>
      <c r="AU32" s="221" t="str" cm="1">
        <f t="array" ref="AU32">_xlfn.IFS(LEFT('Monthly Update'!EM32, 3) = "*((", "", 'Monthly Update'!EM32="", "", TRUE, 'Monthly Update'!EM32)</f>
        <v/>
      </c>
      <c r="AV32" s="221" t="str" cm="1">
        <f t="array" ref="AV32">_xlfn.IFS(LEFT('Monthly Update'!EN32, 3) = "*((", "", 'Monthly Update'!EN32="", "", TRUE, 'Monthly Update'!EN32)</f>
        <v/>
      </c>
      <c r="AW32" s="221" t="str" cm="1">
        <f t="array" ref="AW32">_xlfn.IFS(LEFT('Monthly Update'!EO32, 3) = "*((", "", 'Monthly Update'!EO32="", "", TRUE, 'Monthly Update'!EO32)</f>
        <v/>
      </c>
      <c r="NU32" s="252"/>
      <c r="NV32" s="252"/>
      <c r="NW32" s="252"/>
      <c r="NX32" s="252"/>
      <c r="NY32" s="252"/>
      <c r="NZ32" s="252"/>
      <c r="OA32" s="252"/>
      <c r="OB32" s="252"/>
      <c r="OC32" s="252"/>
      <c r="OD32" s="252"/>
      <c r="OE32" s="252"/>
      <c r="OF32" s="252"/>
      <c r="OG32" s="252"/>
      <c r="OH32" s="252"/>
      <c r="OI32" s="252"/>
      <c r="OJ32" s="252"/>
      <c r="OK32" s="252"/>
      <c r="OL32" s="252"/>
      <c r="OM32" s="252"/>
      <c r="ON32" s="252"/>
      <c r="OO32" s="252"/>
      <c r="OP32" s="252"/>
      <c r="OQ32" s="252"/>
      <c r="OR32" s="252"/>
      <c r="OS32" s="252"/>
      <c r="OT32" s="252"/>
      <c r="OU32" s="252"/>
      <c r="OV32" s="252"/>
      <c r="OW32" s="252"/>
      <c r="OX32" s="252"/>
      <c r="OY32" s="252"/>
      <c r="OZ32" s="252"/>
      <c r="PA32" s="252"/>
      <c r="PB32" s="252"/>
      <c r="PC32" s="252"/>
      <c r="PD32" s="252"/>
      <c r="PE32" s="252"/>
      <c r="PF32" s="252"/>
      <c r="PG32" s="252"/>
      <c r="PH32" s="252"/>
      <c r="PI32" s="252"/>
      <c r="PJ32" s="252"/>
      <c r="PK32" s="252"/>
      <c r="PL32" s="252"/>
      <c r="PM32" s="252"/>
      <c r="PN32" s="252"/>
      <c r="PO32" s="252"/>
      <c r="PP32" s="252"/>
      <c r="PQ32" s="252"/>
      <c r="PR32" s="252"/>
      <c r="PS32" s="252"/>
      <c r="PT32" s="252"/>
      <c r="PU32" s="252"/>
      <c r="PV32" s="252"/>
      <c r="PW32" s="252"/>
      <c r="PX32" s="252"/>
      <c r="PY32" s="252"/>
      <c r="PZ32" s="252"/>
      <c r="QA32" s="252"/>
      <c r="QB32" s="252"/>
      <c r="QC32" s="252"/>
      <c r="QD32" s="252"/>
      <c r="QE32" s="252"/>
      <c r="QF32" s="252"/>
      <c r="QG32" s="252"/>
      <c r="QH32" s="252"/>
      <c r="QI32" s="252"/>
      <c r="QJ32" s="252"/>
      <c r="QK32" s="252"/>
      <c r="QL32" s="252"/>
      <c r="QM32" s="252"/>
      <c r="QN32" s="252"/>
      <c r="QO32" s="252"/>
      <c r="QP32" s="252"/>
      <c r="QQ32" s="252"/>
      <c r="QR32" s="252"/>
      <c r="QS32" s="252"/>
      <c r="QT32" s="252"/>
      <c r="QU32" s="252"/>
      <c r="QV32" s="252"/>
      <c r="QW32" s="252"/>
      <c r="QX32" s="252"/>
      <c r="QY32" s="252"/>
      <c r="QZ32" s="252"/>
      <c r="RA32" s="252"/>
      <c r="RB32" s="252"/>
      <c r="RC32" s="252"/>
      <c r="RD32" s="252"/>
      <c r="RE32" s="252"/>
      <c r="RF32" s="252"/>
      <c r="RG32" s="252"/>
      <c r="RH32" s="252"/>
      <c r="RI32" s="252"/>
      <c r="RJ32" s="252"/>
      <c r="RK32" s="252"/>
      <c r="RL32" s="252"/>
      <c r="RM32" s="252"/>
      <c r="RN32" s="252"/>
      <c r="RO32" s="252"/>
      <c r="RP32" s="252"/>
      <c r="RQ32" s="252"/>
      <c r="RR32" s="252"/>
      <c r="RS32" s="252"/>
      <c r="RT32" s="252"/>
      <c r="RU32" s="252"/>
      <c r="RV32" s="252"/>
      <c r="RW32" s="252"/>
      <c r="RX32" s="252"/>
      <c r="RY32" s="252"/>
      <c r="RZ32" s="252"/>
      <c r="SA32" s="252"/>
      <c r="SB32" s="252"/>
      <c r="SC32" s="252"/>
      <c r="SD32" s="252"/>
      <c r="SE32" s="252"/>
      <c r="SF32" s="252"/>
      <c r="SG32" s="252"/>
      <c r="SH32" s="252"/>
      <c r="SI32" s="252"/>
      <c r="SJ32" s="252"/>
      <c r="SK32" s="252"/>
      <c r="SL32" s="252"/>
      <c r="SM32" s="252"/>
      <c r="SN32" s="252"/>
    </row>
    <row r="33" spans="1:508" s="243" customFormat="1" ht="15.6" customHeight="1" x14ac:dyDescent="0.55000000000000004">
      <c r="A33" s="220" t="str" cm="1">
        <f t="array" ref="A33">_xlfn.IFS(LEFT('Monthly Update'!A33, 3) = "*((", "", 'Monthly Update'!A33="", "", TRUE, 'Monthly Update'!A33)</f>
        <v/>
      </c>
      <c r="B33" s="220" t="str" cm="1">
        <f t="array" ref="B33">_xlfn.IFS(LEFT('Monthly Update'!B33, 3) = "*((", "", 'Monthly Update'!B33="", "", TRUE, 'Monthly Update'!B33)</f>
        <v/>
      </c>
      <c r="C33" s="221" t="str" cm="1">
        <f t="array" ref="C33">_xlfn.IFS(LEFT('Monthly Update'!CU33, 3) = "*((", "", 'Monthly Update'!CU33="", "", TRUE, 'Monthly Update'!CU33)</f>
        <v/>
      </c>
      <c r="D33" s="221" t="str" cm="1">
        <f t="array" ref="D33">_xlfn.IFS(LEFT('Monthly Update'!CV33, 3) = "*((", "", 'Monthly Update'!CV33="", "", TRUE, 'Monthly Update'!CV33)</f>
        <v/>
      </c>
      <c r="E33" s="221" t="str" cm="1">
        <f t="array" ref="E33">_xlfn.IFS(LEFT('Monthly Update'!CW33, 3) = "*((", "", 'Monthly Update'!CW33="", "", TRUE, 'Monthly Update'!CW33)</f>
        <v/>
      </c>
      <c r="F33" s="221" t="str" cm="1">
        <f t="array" ref="F33">_xlfn.IFS(LEFT('Monthly Update'!CX33, 3) = "*((", "", 'Monthly Update'!CX33="", "", TRUE, 'Monthly Update'!CX33)</f>
        <v/>
      </c>
      <c r="G33" s="221" t="str" cm="1">
        <f t="array" ref="G33">_xlfn.IFS(LEFT('Monthly Update'!CY33, 3) = "*((", "", 'Monthly Update'!CY33="", "", TRUE, 'Monthly Update'!CY33)</f>
        <v/>
      </c>
      <c r="H33" s="221" t="str" cm="1">
        <f t="array" ref="H33">_xlfn.IFS(LEFT('Monthly Update'!CZ33, 3) = "*((", "", 'Monthly Update'!CZ33="", "", TRUE, 'Monthly Update'!CZ33)</f>
        <v/>
      </c>
      <c r="I33" s="221" t="str" cm="1">
        <f t="array" ref="I33">_xlfn.IFS(LEFT('Monthly Update'!DA33, 3) = "*((", "", 'Monthly Update'!DA33="", "", TRUE, 'Monthly Update'!DA33)</f>
        <v/>
      </c>
      <c r="J33" s="221" t="str" cm="1">
        <f t="array" ref="J33">_xlfn.IFS(LEFT('Monthly Update'!DB33, 3) = "*((", "", 'Monthly Update'!DB33="", "", TRUE, 'Monthly Update'!DB33)</f>
        <v/>
      </c>
      <c r="K33" s="221" t="str" cm="1">
        <f t="array" ref="K33">_xlfn.IFS(LEFT('Monthly Update'!DC33, 3) = "*((", "", 'Monthly Update'!DC33="", "", TRUE, 'Monthly Update'!DC33)</f>
        <v/>
      </c>
      <c r="L33" s="221" t="str" cm="1">
        <f t="array" ref="L33">_xlfn.IFS(LEFT('Monthly Update'!DD33, 3) = "*((", "", 'Monthly Update'!DD33="", "", TRUE, 'Monthly Update'!DD33)</f>
        <v/>
      </c>
      <c r="M33" s="221" t="str" cm="1">
        <f t="array" ref="M33">_xlfn.IFS(LEFT('Monthly Update'!DE33, 3) = "*((", "", 'Monthly Update'!DE33="", "", TRUE, 'Monthly Update'!DE33)</f>
        <v/>
      </c>
      <c r="N33" s="221" t="str" cm="1">
        <f t="array" ref="N33">_xlfn.IFS(LEFT('Monthly Update'!DF33, 3) = "*((", "", 'Monthly Update'!DF33="", "", TRUE, 'Monthly Update'!DF33)</f>
        <v/>
      </c>
      <c r="O33" s="221" t="str" cm="1">
        <f t="array" ref="O33">_xlfn.IFS(LEFT('Monthly Update'!DG33, 3) = "*((", "", 'Monthly Update'!DG33="", "", TRUE, 'Monthly Update'!DG33)</f>
        <v/>
      </c>
      <c r="P33" s="221" t="str" cm="1">
        <f t="array" ref="P33">_xlfn.IFS(LEFT('Monthly Update'!DH33, 3) = "*((", "", 'Monthly Update'!DH33="", "", TRUE, 'Monthly Update'!DH33)</f>
        <v/>
      </c>
      <c r="Q33" s="221" t="str" cm="1">
        <f t="array" ref="Q33">_xlfn.IFS(LEFT('Monthly Update'!DI33, 3) = "*((", "", 'Monthly Update'!DI33="", "", TRUE, 'Monthly Update'!DI33)</f>
        <v/>
      </c>
      <c r="R33" s="221" t="str" cm="1">
        <f t="array" ref="R33">_xlfn.IFS(LEFT('Monthly Update'!DJ33, 3) = "*((", "", 'Monthly Update'!DJ33="", "", TRUE, 'Monthly Update'!DJ33)</f>
        <v/>
      </c>
      <c r="S33" s="221" t="str" cm="1">
        <f t="array" ref="S33">_xlfn.IFS(LEFT('Monthly Update'!DK33, 3) = "*((", "", 'Monthly Update'!DK33="", "", TRUE, 'Monthly Update'!DK33)</f>
        <v/>
      </c>
      <c r="T33" s="221" t="str" cm="1">
        <f t="array" ref="T33">_xlfn.IFS(LEFT('Monthly Update'!DL33, 3) = "*((", "", 'Monthly Update'!DL33="", "", TRUE, 'Monthly Update'!DL33)</f>
        <v/>
      </c>
      <c r="U33" s="221" t="str" cm="1">
        <f t="array" ref="U33">_xlfn.IFS(LEFT('Monthly Update'!DM33, 3) = "*((", "", 'Monthly Update'!DM33="", "", TRUE, 'Monthly Update'!DM33)</f>
        <v/>
      </c>
      <c r="V33" s="221" t="str" cm="1">
        <f t="array" ref="V33">_xlfn.IFS(LEFT('Monthly Update'!DN33, 3) = "*((", "", 'Monthly Update'!DN33="", "", TRUE, 'Monthly Update'!DN33)</f>
        <v/>
      </c>
      <c r="W33" s="221" t="str" cm="1">
        <f t="array" ref="W33">_xlfn.IFS(LEFT('Monthly Update'!DO33, 3) = "*((", "", 'Monthly Update'!DO33="", "", TRUE, 'Monthly Update'!DO33)</f>
        <v/>
      </c>
      <c r="X33" s="221" t="str" cm="1">
        <f t="array" ref="X33">_xlfn.IFS(LEFT('Monthly Update'!DP33, 3) = "*((", "", 'Monthly Update'!DP33="", "", TRUE, 'Monthly Update'!DP33)</f>
        <v/>
      </c>
      <c r="Y33" s="221" t="str" cm="1">
        <f t="array" ref="Y33">_xlfn.IFS(LEFT('Monthly Update'!DQ33, 3) = "*((", "", 'Monthly Update'!DQ33="", "", TRUE, 'Monthly Update'!DQ33)</f>
        <v/>
      </c>
      <c r="Z33" s="221" t="str" cm="1">
        <f t="array" ref="Z33">_xlfn.IFS(LEFT('Monthly Update'!DR33, 3) = "*((", "", 'Monthly Update'!DR33="", "", TRUE, 'Monthly Update'!DR33)</f>
        <v/>
      </c>
      <c r="AA33" s="221" t="str" cm="1">
        <f t="array" ref="AA33">_xlfn.IFS(LEFT('Monthly Update'!DS33, 3) = "*((", "", 'Monthly Update'!DS33="", "", TRUE, 'Monthly Update'!DS33)</f>
        <v/>
      </c>
      <c r="AB33" s="221" t="str" cm="1">
        <f t="array" ref="AB33">_xlfn.IFS(LEFT('Monthly Update'!DT33, 3) = "*((", "", 'Monthly Update'!DT33="", "", TRUE, 'Monthly Update'!DT33)</f>
        <v/>
      </c>
      <c r="AC33" s="221" t="str" cm="1">
        <f t="array" ref="AC33">_xlfn.IFS(LEFT('Monthly Update'!DU33, 3) = "*((", "", 'Monthly Update'!DU33="", "", TRUE, 'Monthly Update'!DU33)</f>
        <v/>
      </c>
      <c r="AD33" s="221" t="str" cm="1">
        <f t="array" ref="AD33">_xlfn.IFS(LEFT('Monthly Update'!DV33, 3) = "*((", "", 'Monthly Update'!DV33="", "", TRUE, 'Monthly Update'!DV33)</f>
        <v/>
      </c>
      <c r="AE33" s="221" t="str" cm="1">
        <f t="array" ref="AE33">_xlfn.IFS(LEFT('Monthly Update'!DW33, 3) = "*((", "", 'Monthly Update'!DW33="", "", TRUE, 'Monthly Update'!DW33)</f>
        <v/>
      </c>
      <c r="AF33" s="221" t="str" cm="1">
        <f t="array" ref="AF33">_xlfn.IFS(LEFT('Monthly Update'!DX33, 3) = "*((", "", 'Monthly Update'!DX33="", "", TRUE, 'Monthly Update'!DX33)</f>
        <v/>
      </c>
      <c r="AG33" s="221" t="str" cm="1">
        <f t="array" ref="AG33">_xlfn.IFS(LEFT('Monthly Update'!DY33, 3) = "*((", "", 'Monthly Update'!DY33="", "", TRUE, 'Monthly Update'!DY33)</f>
        <v/>
      </c>
      <c r="AH33" s="221" t="str" cm="1">
        <f t="array" ref="AH33">_xlfn.IFS(LEFT('Monthly Update'!DZ33, 3) = "*((", "", 'Monthly Update'!DZ33="", "", TRUE, 'Monthly Update'!DZ33)</f>
        <v/>
      </c>
      <c r="AI33" s="221" t="str" cm="1">
        <f t="array" ref="AI33">_xlfn.IFS(LEFT('Monthly Update'!EA33, 3) = "*((", "", 'Monthly Update'!EA33="", "", TRUE, 'Monthly Update'!EA33)</f>
        <v/>
      </c>
      <c r="AJ33" s="221" t="str" cm="1">
        <f t="array" ref="AJ33">_xlfn.IFS(LEFT('Monthly Update'!EB33, 3) = "*((", "", 'Monthly Update'!EB33="", "", TRUE, 'Monthly Update'!EB33)</f>
        <v/>
      </c>
      <c r="AK33" s="221" t="str" cm="1">
        <f t="array" ref="AK33">_xlfn.IFS(LEFT('Monthly Update'!EC33, 3) = "*((", "", 'Monthly Update'!EC33="", "", TRUE, 'Monthly Update'!EC33)</f>
        <v/>
      </c>
      <c r="AL33" s="221" t="str" cm="1">
        <f t="array" ref="AL33">_xlfn.IFS(LEFT('Monthly Update'!ED33, 3) = "*((", "", 'Monthly Update'!ED33="", "", TRUE, 'Monthly Update'!ED33)</f>
        <v/>
      </c>
      <c r="AM33" s="221" t="str" cm="1">
        <f t="array" ref="AM33">_xlfn.IFS(LEFT('Monthly Update'!EE33, 3) = "*((", "", 'Monthly Update'!EE33="", "", TRUE, 'Monthly Update'!EE33)</f>
        <v/>
      </c>
      <c r="AN33" s="221" t="str" cm="1">
        <f t="array" ref="AN33">_xlfn.IFS(LEFT('Monthly Update'!EF33, 3) = "*((", "", 'Monthly Update'!EF33="", "", TRUE, 'Monthly Update'!EF33)</f>
        <v/>
      </c>
      <c r="AO33" s="221" t="str" cm="1">
        <f t="array" ref="AO33">_xlfn.IFS(LEFT('Monthly Update'!EG33, 3) = "*((", "", 'Monthly Update'!EG33="", "", TRUE, 'Monthly Update'!EG33)</f>
        <v/>
      </c>
      <c r="AP33" s="221" t="str" cm="1">
        <f t="array" ref="AP33">_xlfn.IFS(LEFT('Monthly Update'!EH33, 3) = "*((", "", 'Monthly Update'!EH33="", "", TRUE, 'Monthly Update'!EH33)</f>
        <v/>
      </c>
      <c r="AQ33" s="221" t="str" cm="1">
        <f t="array" ref="AQ33">_xlfn.IFS(LEFT('Monthly Update'!EI33, 3) = "*((", "", 'Monthly Update'!EI33="", "", TRUE, 'Monthly Update'!EI33)</f>
        <v/>
      </c>
      <c r="AR33" s="221" t="str" cm="1">
        <f t="array" ref="AR33">_xlfn.IFS(LEFT('Monthly Update'!EJ33, 3) = "*((", "", 'Monthly Update'!EJ33="", "", TRUE, 'Monthly Update'!EJ33)</f>
        <v/>
      </c>
      <c r="AS33" s="221" t="str" cm="1">
        <f t="array" ref="AS33">_xlfn.IFS(LEFT('Monthly Update'!EK33, 3) = "*((", "", 'Monthly Update'!EK33="", "", TRUE, 'Monthly Update'!EK33)</f>
        <v/>
      </c>
      <c r="AT33" s="221" t="str" cm="1">
        <f t="array" ref="AT33">_xlfn.IFS(LEFT('Monthly Update'!EL33, 3) = "*((", "", 'Monthly Update'!EL33="", "", TRUE, 'Monthly Update'!EL33)</f>
        <v/>
      </c>
      <c r="AU33" s="221" t="str" cm="1">
        <f t="array" ref="AU33">_xlfn.IFS(LEFT('Monthly Update'!EM33, 3) = "*((", "", 'Monthly Update'!EM33="", "", TRUE, 'Monthly Update'!EM33)</f>
        <v/>
      </c>
      <c r="AV33" s="221" t="str" cm="1">
        <f t="array" ref="AV33">_xlfn.IFS(LEFT('Monthly Update'!EN33, 3) = "*((", "", 'Monthly Update'!EN33="", "", TRUE, 'Monthly Update'!EN33)</f>
        <v/>
      </c>
      <c r="AW33" s="221" t="str" cm="1">
        <f t="array" ref="AW33">_xlfn.IFS(LEFT('Monthly Update'!EO33, 3) = "*((", "", 'Monthly Update'!EO33="", "", TRUE, 'Monthly Update'!EO33)</f>
        <v/>
      </c>
      <c r="NU33" s="252"/>
      <c r="NV33" s="252"/>
      <c r="NW33" s="252"/>
      <c r="NX33" s="252"/>
      <c r="NY33" s="252"/>
      <c r="NZ33" s="252"/>
      <c r="OA33" s="252"/>
      <c r="OB33" s="252"/>
      <c r="OC33" s="252"/>
      <c r="OD33" s="252"/>
      <c r="OE33" s="252"/>
      <c r="OF33" s="252"/>
      <c r="OG33" s="252"/>
      <c r="OH33" s="252"/>
      <c r="OI33" s="252"/>
      <c r="OJ33" s="252"/>
      <c r="OK33" s="252"/>
      <c r="OL33" s="252"/>
      <c r="OM33" s="252"/>
      <c r="ON33" s="252"/>
      <c r="OO33" s="252"/>
      <c r="OP33" s="252"/>
      <c r="OQ33" s="252"/>
      <c r="OR33" s="252"/>
      <c r="OS33" s="252"/>
      <c r="OT33" s="252"/>
      <c r="OU33" s="252"/>
      <c r="OV33" s="252"/>
      <c r="OW33" s="252"/>
      <c r="OX33" s="252"/>
      <c r="OY33" s="252"/>
      <c r="OZ33" s="252"/>
      <c r="PA33" s="252"/>
      <c r="PB33" s="252"/>
      <c r="PC33" s="252"/>
      <c r="PD33" s="252"/>
      <c r="PE33" s="252"/>
      <c r="PF33" s="252"/>
      <c r="PG33" s="252"/>
      <c r="PH33" s="252"/>
      <c r="PI33" s="252"/>
      <c r="PJ33" s="252"/>
      <c r="PK33" s="252"/>
      <c r="PL33" s="252"/>
      <c r="PM33" s="252"/>
      <c r="PN33" s="252"/>
      <c r="PO33" s="252"/>
      <c r="PP33" s="252"/>
      <c r="PQ33" s="252"/>
      <c r="PR33" s="252"/>
      <c r="PS33" s="252"/>
      <c r="PT33" s="252"/>
      <c r="PU33" s="252"/>
      <c r="PV33" s="252"/>
      <c r="PW33" s="252"/>
      <c r="PX33" s="252"/>
      <c r="PY33" s="252"/>
      <c r="PZ33" s="252"/>
      <c r="QA33" s="252"/>
      <c r="QB33" s="252"/>
      <c r="QC33" s="252"/>
      <c r="QD33" s="252"/>
      <c r="QE33" s="252"/>
      <c r="QF33" s="252"/>
      <c r="QG33" s="252"/>
      <c r="QH33" s="252"/>
      <c r="QI33" s="252"/>
      <c r="QJ33" s="252"/>
      <c r="QK33" s="252"/>
      <c r="QL33" s="252"/>
      <c r="QM33" s="252"/>
      <c r="QN33" s="252"/>
      <c r="QO33" s="252"/>
      <c r="QP33" s="252"/>
      <c r="QQ33" s="252"/>
      <c r="QR33" s="252"/>
      <c r="QS33" s="252"/>
      <c r="QT33" s="252"/>
      <c r="QU33" s="252"/>
      <c r="QV33" s="252"/>
      <c r="QW33" s="252"/>
      <c r="QX33" s="252"/>
      <c r="QY33" s="252"/>
      <c r="QZ33" s="252"/>
      <c r="RA33" s="252"/>
      <c r="RB33" s="252"/>
      <c r="RC33" s="252"/>
      <c r="RD33" s="252"/>
      <c r="RE33" s="252"/>
      <c r="RF33" s="252"/>
      <c r="RG33" s="252"/>
      <c r="RH33" s="252"/>
      <c r="RI33" s="252"/>
      <c r="RJ33" s="252"/>
      <c r="RK33" s="252"/>
      <c r="RL33" s="252"/>
      <c r="RM33" s="252"/>
      <c r="RN33" s="252"/>
      <c r="RO33" s="252"/>
      <c r="RP33" s="252"/>
      <c r="RQ33" s="252"/>
      <c r="RR33" s="252"/>
      <c r="RS33" s="252"/>
      <c r="RT33" s="252"/>
      <c r="RU33" s="252"/>
      <c r="RV33" s="252"/>
      <c r="RW33" s="252"/>
      <c r="RX33" s="252"/>
      <c r="RY33" s="252"/>
      <c r="RZ33" s="252"/>
      <c r="SA33" s="252"/>
      <c r="SB33" s="252"/>
      <c r="SC33" s="252"/>
      <c r="SD33" s="252"/>
      <c r="SE33" s="252"/>
      <c r="SF33" s="252"/>
      <c r="SG33" s="252"/>
      <c r="SH33" s="252"/>
      <c r="SI33" s="252"/>
      <c r="SJ33" s="252"/>
      <c r="SK33" s="252"/>
      <c r="SL33" s="252"/>
      <c r="SM33" s="252"/>
      <c r="SN33" s="252"/>
    </row>
    <row r="34" spans="1:508" s="243" customFormat="1" ht="15.6" customHeight="1" x14ac:dyDescent="0.55000000000000004">
      <c r="A34" s="220" t="str" cm="1">
        <f t="array" ref="A34">_xlfn.IFS(LEFT('Monthly Update'!A34, 3) = "*((", "", 'Monthly Update'!A34="", "", TRUE, 'Monthly Update'!A34)</f>
        <v/>
      </c>
      <c r="B34" s="220" t="str" cm="1">
        <f t="array" ref="B34">_xlfn.IFS(LEFT('Monthly Update'!B34, 3) = "*((", "", 'Monthly Update'!B34="", "", TRUE, 'Monthly Update'!B34)</f>
        <v/>
      </c>
      <c r="C34" s="221" t="str" cm="1">
        <f t="array" ref="C34">_xlfn.IFS(LEFT('Monthly Update'!CU34, 3) = "*((", "", 'Monthly Update'!CU34="", "", TRUE, 'Monthly Update'!CU34)</f>
        <v/>
      </c>
      <c r="D34" s="221" t="str" cm="1">
        <f t="array" ref="D34">_xlfn.IFS(LEFT('Monthly Update'!CV34, 3) = "*((", "", 'Monthly Update'!CV34="", "", TRUE, 'Monthly Update'!CV34)</f>
        <v/>
      </c>
      <c r="E34" s="221" t="str" cm="1">
        <f t="array" ref="E34">_xlfn.IFS(LEFT('Monthly Update'!CW34, 3) = "*((", "", 'Monthly Update'!CW34="", "", TRUE, 'Monthly Update'!CW34)</f>
        <v/>
      </c>
      <c r="F34" s="221" t="str" cm="1">
        <f t="array" ref="F34">_xlfn.IFS(LEFT('Monthly Update'!CX34, 3) = "*((", "", 'Monthly Update'!CX34="", "", TRUE, 'Monthly Update'!CX34)</f>
        <v/>
      </c>
      <c r="G34" s="221" t="str" cm="1">
        <f t="array" ref="G34">_xlfn.IFS(LEFT('Monthly Update'!CY34, 3) = "*((", "", 'Monthly Update'!CY34="", "", TRUE, 'Monthly Update'!CY34)</f>
        <v/>
      </c>
      <c r="H34" s="221" t="str" cm="1">
        <f t="array" ref="H34">_xlfn.IFS(LEFT('Monthly Update'!CZ34, 3) = "*((", "", 'Monthly Update'!CZ34="", "", TRUE, 'Monthly Update'!CZ34)</f>
        <v/>
      </c>
      <c r="I34" s="221" t="str" cm="1">
        <f t="array" ref="I34">_xlfn.IFS(LEFT('Monthly Update'!DA34, 3) = "*((", "", 'Monthly Update'!DA34="", "", TRUE, 'Monthly Update'!DA34)</f>
        <v/>
      </c>
      <c r="J34" s="221" t="str" cm="1">
        <f t="array" ref="J34">_xlfn.IFS(LEFT('Monthly Update'!DB34, 3) = "*((", "", 'Monthly Update'!DB34="", "", TRUE, 'Monthly Update'!DB34)</f>
        <v/>
      </c>
      <c r="K34" s="221" t="str" cm="1">
        <f t="array" ref="K34">_xlfn.IFS(LEFT('Monthly Update'!DC34, 3) = "*((", "", 'Monthly Update'!DC34="", "", TRUE, 'Monthly Update'!DC34)</f>
        <v/>
      </c>
      <c r="L34" s="221" t="str" cm="1">
        <f t="array" ref="L34">_xlfn.IFS(LEFT('Monthly Update'!DD34, 3) = "*((", "", 'Monthly Update'!DD34="", "", TRUE, 'Monthly Update'!DD34)</f>
        <v/>
      </c>
      <c r="M34" s="221" t="str" cm="1">
        <f t="array" ref="M34">_xlfn.IFS(LEFT('Monthly Update'!DE34, 3) = "*((", "", 'Monthly Update'!DE34="", "", TRUE, 'Monthly Update'!DE34)</f>
        <v/>
      </c>
      <c r="N34" s="221" t="str" cm="1">
        <f t="array" ref="N34">_xlfn.IFS(LEFT('Monthly Update'!DF34, 3) = "*((", "", 'Monthly Update'!DF34="", "", TRUE, 'Monthly Update'!DF34)</f>
        <v/>
      </c>
      <c r="O34" s="221" t="str" cm="1">
        <f t="array" ref="O34">_xlfn.IFS(LEFT('Monthly Update'!DG34, 3) = "*((", "", 'Monthly Update'!DG34="", "", TRUE, 'Monthly Update'!DG34)</f>
        <v/>
      </c>
      <c r="P34" s="221" t="str" cm="1">
        <f t="array" ref="P34">_xlfn.IFS(LEFT('Monthly Update'!DH34, 3) = "*((", "", 'Monthly Update'!DH34="", "", TRUE, 'Monthly Update'!DH34)</f>
        <v/>
      </c>
      <c r="Q34" s="221" t="str" cm="1">
        <f t="array" ref="Q34">_xlfn.IFS(LEFT('Monthly Update'!DI34, 3) = "*((", "", 'Monthly Update'!DI34="", "", TRUE, 'Monthly Update'!DI34)</f>
        <v/>
      </c>
      <c r="R34" s="221" t="str" cm="1">
        <f t="array" ref="R34">_xlfn.IFS(LEFT('Monthly Update'!DJ34, 3) = "*((", "", 'Monthly Update'!DJ34="", "", TRUE, 'Monthly Update'!DJ34)</f>
        <v/>
      </c>
      <c r="S34" s="221" t="str" cm="1">
        <f t="array" ref="S34">_xlfn.IFS(LEFT('Monthly Update'!DK34, 3) = "*((", "", 'Monthly Update'!DK34="", "", TRUE, 'Monthly Update'!DK34)</f>
        <v/>
      </c>
      <c r="T34" s="221" t="str" cm="1">
        <f t="array" ref="T34">_xlfn.IFS(LEFT('Monthly Update'!DL34, 3) = "*((", "", 'Monthly Update'!DL34="", "", TRUE, 'Monthly Update'!DL34)</f>
        <v/>
      </c>
      <c r="U34" s="221" t="str" cm="1">
        <f t="array" ref="U34">_xlfn.IFS(LEFT('Monthly Update'!DM34, 3) = "*((", "", 'Monthly Update'!DM34="", "", TRUE, 'Monthly Update'!DM34)</f>
        <v/>
      </c>
      <c r="V34" s="221" t="str" cm="1">
        <f t="array" ref="V34">_xlfn.IFS(LEFT('Monthly Update'!DN34, 3) = "*((", "", 'Monthly Update'!DN34="", "", TRUE, 'Monthly Update'!DN34)</f>
        <v/>
      </c>
      <c r="W34" s="221" t="str" cm="1">
        <f t="array" ref="W34">_xlfn.IFS(LEFT('Monthly Update'!DO34, 3) = "*((", "", 'Monthly Update'!DO34="", "", TRUE, 'Monthly Update'!DO34)</f>
        <v/>
      </c>
      <c r="X34" s="221" t="str" cm="1">
        <f t="array" ref="X34">_xlfn.IFS(LEFT('Monthly Update'!DP34, 3) = "*((", "", 'Monthly Update'!DP34="", "", TRUE, 'Monthly Update'!DP34)</f>
        <v/>
      </c>
      <c r="Y34" s="221" t="str" cm="1">
        <f t="array" ref="Y34">_xlfn.IFS(LEFT('Monthly Update'!DQ34, 3) = "*((", "", 'Monthly Update'!DQ34="", "", TRUE, 'Monthly Update'!DQ34)</f>
        <v/>
      </c>
      <c r="Z34" s="221" t="str" cm="1">
        <f t="array" ref="Z34">_xlfn.IFS(LEFT('Monthly Update'!DR34, 3) = "*((", "", 'Monthly Update'!DR34="", "", TRUE, 'Monthly Update'!DR34)</f>
        <v/>
      </c>
      <c r="AA34" s="221" t="str" cm="1">
        <f t="array" ref="AA34">_xlfn.IFS(LEFT('Monthly Update'!DS34, 3) = "*((", "", 'Monthly Update'!DS34="", "", TRUE, 'Monthly Update'!DS34)</f>
        <v/>
      </c>
      <c r="AB34" s="221" t="str" cm="1">
        <f t="array" ref="AB34">_xlfn.IFS(LEFT('Monthly Update'!DT34, 3) = "*((", "", 'Monthly Update'!DT34="", "", TRUE, 'Monthly Update'!DT34)</f>
        <v/>
      </c>
      <c r="AC34" s="221" t="str" cm="1">
        <f t="array" ref="AC34">_xlfn.IFS(LEFT('Monthly Update'!DU34, 3) = "*((", "", 'Monthly Update'!DU34="", "", TRUE, 'Monthly Update'!DU34)</f>
        <v/>
      </c>
      <c r="AD34" s="221" t="str" cm="1">
        <f t="array" ref="AD34">_xlfn.IFS(LEFT('Monthly Update'!DV34, 3) = "*((", "", 'Monthly Update'!DV34="", "", TRUE, 'Monthly Update'!DV34)</f>
        <v/>
      </c>
      <c r="AE34" s="221" t="str" cm="1">
        <f t="array" ref="AE34">_xlfn.IFS(LEFT('Monthly Update'!DW34, 3) = "*((", "", 'Monthly Update'!DW34="", "", TRUE, 'Monthly Update'!DW34)</f>
        <v/>
      </c>
      <c r="AF34" s="221" t="str" cm="1">
        <f t="array" ref="AF34">_xlfn.IFS(LEFT('Monthly Update'!DX34, 3) = "*((", "", 'Monthly Update'!DX34="", "", TRUE, 'Monthly Update'!DX34)</f>
        <v/>
      </c>
      <c r="AG34" s="221" t="str" cm="1">
        <f t="array" ref="AG34">_xlfn.IFS(LEFT('Monthly Update'!DY34, 3) = "*((", "", 'Monthly Update'!DY34="", "", TRUE, 'Monthly Update'!DY34)</f>
        <v/>
      </c>
      <c r="AH34" s="221" t="str" cm="1">
        <f t="array" ref="AH34">_xlfn.IFS(LEFT('Monthly Update'!DZ34, 3) = "*((", "", 'Monthly Update'!DZ34="", "", TRUE, 'Monthly Update'!DZ34)</f>
        <v/>
      </c>
      <c r="AI34" s="221" t="str" cm="1">
        <f t="array" ref="AI34">_xlfn.IFS(LEFT('Monthly Update'!EA34, 3) = "*((", "", 'Monthly Update'!EA34="", "", TRUE, 'Monthly Update'!EA34)</f>
        <v/>
      </c>
      <c r="AJ34" s="221" t="str" cm="1">
        <f t="array" ref="AJ34">_xlfn.IFS(LEFT('Monthly Update'!EB34, 3) = "*((", "", 'Monthly Update'!EB34="", "", TRUE, 'Monthly Update'!EB34)</f>
        <v/>
      </c>
      <c r="AK34" s="221" t="str" cm="1">
        <f t="array" ref="AK34">_xlfn.IFS(LEFT('Monthly Update'!EC34, 3) = "*((", "", 'Monthly Update'!EC34="", "", TRUE, 'Monthly Update'!EC34)</f>
        <v/>
      </c>
      <c r="AL34" s="221" t="str" cm="1">
        <f t="array" ref="AL34">_xlfn.IFS(LEFT('Monthly Update'!ED34, 3) = "*((", "", 'Monthly Update'!ED34="", "", TRUE, 'Monthly Update'!ED34)</f>
        <v/>
      </c>
      <c r="AM34" s="221" t="str" cm="1">
        <f t="array" ref="AM34">_xlfn.IFS(LEFT('Monthly Update'!EE34, 3) = "*((", "", 'Monthly Update'!EE34="", "", TRUE, 'Monthly Update'!EE34)</f>
        <v/>
      </c>
      <c r="AN34" s="221" t="str" cm="1">
        <f t="array" ref="AN34">_xlfn.IFS(LEFT('Monthly Update'!EF34, 3) = "*((", "", 'Monthly Update'!EF34="", "", TRUE, 'Monthly Update'!EF34)</f>
        <v/>
      </c>
      <c r="AO34" s="221" t="str" cm="1">
        <f t="array" ref="AO34">_xlfn.IFS(LEFT('Monthly Update'!EG34, 3) = "*((", "", 'Monthly Update'!EG34="", "", TRUE, 'Monthly Update'!EG34)</f>
        <v/>
      </c>
      <c r="AP34" s="221" t="str" cm="1">
        <f t="array" ref="AP34">_xlfn.IFS(LEFT('Monthly Update'!EH34, 3) = "*((", "", 'Monthly Update'!EH34="", "", TRUE, 'Monthly Update'!EH34)</f>
        <v/>
      </c>
      <c r="AQ34" s="221" t="str" cm="1">
        <f t="array" ref="AQ34">_xlfn.IFS(LEFT('Monthly Update'!EI34, 3) = "*((", "", 'Monthly Update'!EI34="", "", TRUE, 'Monthly Update'!EI34)</f>
        <v/>
      </c>
      <c r="AR34" s="221" t="str" cm="1">
        <f t="array" ref="AR34">_xlfn.IFS(LEFT('Monthly Update'!EJ34, 3) = "*((", "", 'Monthly Update'!EJ34="", "", TRUE, 'Monthly Update'!EJ34)</f>
        <v/>
      </c>
      <c r="AS34" s="221" t="str" cm="1">
        <f t="array" ref="AS34">_xlfn.IFS(LEFT('Monthly Update'!EK34, 3) = "*((", "", 'Monthly Update'!EK34="", "", TRUE, 'Monthly Update'!EK34)</f>
        <v/>
      </c>
      <c r="AT34" s="221" t="str" cm="1">
        <f t="array" ref="AT34">_xlfn.IFS(LEFT('Monthly Update'!EL34, 3) = "*((", "", 'Monthly Update'!EL34="", "", TRUE, 'Monthly Update'!EL34)</f>
        <v/>
      </c>
      <c r="AU34" s="221" t="str" cm="1">
        <f t="array" ref="AU34">_xlfn.IFS(LEFT('Monthly Update'!EM34, 3) = "*((", "", 'Monthly Update'!EM34="", "", TRUE, 'Monthly Update'!EM34)</f>
        <v/>
      </c>
      <c r="AV34" s="221" t="str" cm="1">
        <f t="array" ref="AV34">_xlfn.IFS(LEFT('Monthly Update'!EN34, 3) = "*((", "", 'Monthly Update'!EN34="", "", TRUE, 'Monthly Update'!EN34)</f>
        <v/>
      </c>
      <c r="AW34" s="221" t="str" cm="1">
        <f t="array" ref="AW34">_xlfn.IFS(LEFT('Monthly Update'!EO34, 3) = "*((", "", 'Monthly Update'!EO34="", "", TRUE, 'Monthly Update'!EO34)</f>
        <v/>
      </c>
      <c r="NU34" s="252"/>
      <c r="NV34" s="252"/>
      <c r="NW34" s="252"/>
      <c r="NX34" s="252"/>
      <c r="NY34" s="252"/>
      <c r="NZ34" s="252"/>
      <c r="OA34" s="252"/>
      <c r="OB34" s="252"/>
      <c r="OC34" s="252"/>
      <c r="OD34" s="252"/>
      <c r="OE34" s="252"/>
      <c r="OF34" s="252"/>
      <c r="OG34" s="252"/>
      <c r="OH34" s="252"/>
      <c r="OI34" s="252"/>
      <c r="OJ34" s="252"/>
      <c r="OK34" s="252"/>
      <c r="OL34" s="252"/>
      <c r="OM34" s="252"/>
      <c r="ON34" s="252"/>
      <c r="OO34" s="252"/>
      <c r="OP34" s="252"/>
      <c r="OQ34" s="252"/>
      <c r="OR34" s="252"/>
      <c r="OS34" s="252"/>
      <c r="OT34" s="252"/>
      <c r="OU34" s="252"/>
      <c r="OV34" s="252"/>
      <c r="OW34" s="252"/>
      <c r="OX34" s="252"/>
      <c r="OY34" s="252"/>
      <c r="OZ34" s="252"/>
      <c r="PA34" s="252"/>
      <c r="PB34" s="252"/>
      <c r="PC34" s="252"/>
      <c r="PD34" s="252"/>
      <c r="PE34" s="252"/>
      <c r="PF34" s="252"/>
      <c r="PG34" s="252"/>
      <c r="PH34" s="252"/>
      <c r="PI34" s="252"/>
      <c r="PJ34" s="252"/>
      <c r="PK34" s="252"/>
      <c r="PL34" s="252"/>
      <c r="PM34" s="252"/>
      <c r="PN34" s="252"/>
      <c r="PO34" s="252"/>
      <c r="PP34" s="252"/>
      <c r="PQ34" s="252"/>
      <c r="PR34" s="252"/>
      <c r="PS34" s="252"/>
      <c r="PT34" s="252"/>
      <c r="PU34" s="252"/>
      <c r="PV34" s="252"/>
      <c r="PW34" s="252"/>
      <c r="PX34" s="252"/>
      <c r="PY34" s="252"/>
      <c r="PZ34" s="252"/>
      <c r="QA34" s="252"/>
      <c r="QB34" s="252"/>
      <c r="QC34" s="252"/>
      <c r="QD34" s="252"/>
      <c r="QE34" s="252"/>
      <c r="QF34" s="252"/>
      <c r="QG34" s="252"/>
      <c r="QH34" s="252"/>
      <c r="QI34" s="252"/>
      <c r="QJ34" s="252"/>
      <c r="QK34" s="252"/>
      <c r="QL34" s="252"/>
      <c r="QM34" s="252"/>
      <c r="QN34" s="252"/>
      <c r="QO34" s="252"/>
      <c r="QP34" s="252"/>
      <c r="QQ34" s="252"/>
      <c r="QR34" s="252"/>
      <c r="QS34" s="252"/>
      <c r="QT34" s="252"/>
      <c r="QU34" s="252"/>
      <c r="QV34" s="252"/>
      <c r="QW34" s="252"/>
      <c r="QX34" s="252"/>
      <c r="QY34" s="252"/>
      <c r="QZ34" s="252"/>
      <c r="RA34" s="252"/>
      <c r="RB34" s="252"/>
      <c r="RC34" s="252"/>
      <c r="RD34" s="252"/>
      <c r="RE34" s="252"/>
      <c r="RF34" s="252"/>
      <c r="RG34" s="252"/>
      <c r="RH34" s="252"/>
      <c r="RI34" s="252"/>
      <c r="RJ34" s="252"/>
      <c r="RK34" s="252"/>
      <c r="RL34" s="252"/>
      <c r="RM34" s="252"/>
      <c r="RN34" s="252"/>
      <c r="RO34" s="252"/>
      <c r="RP34" s="252"/>
      <c r="RQ34" s="252"/>
      <c r="RR34" s="252"/>
      <c r="RS34" s="252"/>
      <c r="RT34" s="252"/>
      <c r="RU34" s="252"/>
      <c r="RV34" s="252"/>
      <c r="RW34" s="252"/>
      <c r="RX34" s="252"/>
      <c r="RY34" s="252"/>
      <c r="RZ34" s="252"/>
      <c r="SA34" s="252"/>
      <c r="SB34" s="252"/>
      <c r="SC34" s="252"/>
      <c r="SD34" s="252"/>
      <c r="SE34" s="252"/>
      <c r="SF34" s="252"/>
      <c r="SG34" s="252"/>
      <c r="SH34" s="252"/>
      <c r="SI34" s="252"/>
      <c r="SJ34" s="252"/>
      <c r="SK34" s="252"/>
      <c r="SL34" s="252"/>
      <c r="SM34" s="252"/>
      <c r="SN34" s="252"/>
    </row>
    <row r="35" spans="1:508" s="243" customFormat="1" ht="15.6" customHeight="1" x14ac:dyDescent="0.55000000000000004">
      <c r="A35" s="220" t="str" cm="1">
        <f t="array" ref="A35">_xlfn.IFS(LEFT('Monthly Update'!A35, 3) = "*((", "", 'Monthly Update'!A35="", "", TRUE, 'Monthly Update'!A35)</f>
        <v/>
      </c>
      <c r="B35" s="220" t="str" cm="1">
        <f t="array" ref="B35">_xlfn.IFS(LEFT('Monthly Update'!B35, 3) = "*((", "", 'Monthly Update'!B35="", "", TRUE, 'Monthly Update'!B35)</f>
        <v/>
      </c>
      <c r="C35" s="221" t="str" cm="1">
        <f t="array" ref="C35">_xlfn.IFS(LEFT('Monthly Update'!CU35, 3) = "*((", "", 'Monthly Update'!CU35="", "", TRUE, 'Monthly Update'!CU35)</f>
        <v/>
      </c>
      <c r="D35" s="221" t="str" cm="1">
        <f t="array" ref="D35">_xlfn.IFS(LEFT('Monthly Update'!CV35, 3) = "*((", "", 'Monthly Update'!CV35="", "", TRUE, 'Monthly Update'!CV35)</f>
        <v/>
      </c>
      <c r="E35" s="221" t="str" cm="1">
        <f t="array" ref="E35">_xlfn.IFS(LEFT('Monthly Update'!CW35, 3) = "*((", "", 'Monthly Update'!CW35="", "", TRUE, 'Monthly Update'!CW35)</f>
        <v/>
      </c>
      <c r="F35" s="221" t="str" cm="1">
        <f t="array" ref="F35">_xlfn.IFS(LEFT('Monthly Update'!CX35, 3) = "*((", "", 'Monthly Update'!CX35="", "", TRUE, 'Monthly Update'!CX35)</f>
        <v/>
      </c>
      <c r="G35" s="221" t="str" cm="1">
        <f t="array" ref="G35">_xlfn.IFS(LEFT('Monthly Update'!CY35, 3) = "*((", "", 'Monthly Update'!CY35="", "", TRUE, 'Monthly Update'!CY35)</f>
        <v/>
      </c>
      <c r="H35" s="221" t="str" cm="1">
        <f t="array" ref="H35">_xlfn.IFS(LEFT('Monthly Update'!CZ35, 3) = "*((", "", 'Monthly Update'!CZ35="", "", TRUE, 'Monthly Update'!CZ35)</f>
        <v/>
      </c>
      <c r="I35" s="221" t="str" cm="1">
        <f t="array" ref="I35">_xlfn.IFS(LEFT('Monthly Update'!DA35, 3) = "*((", "", 'Monthly Update'!DA35="", "", TRUE, 'Monthly Update'!DA35)</f>
        <v/>
      </c>
      <c r="J35" s="221" t="str" cm="1">
        <f t="array" ref="J35">_xlfn.IFS(LEFT('Monthly Update'!DB35, 3) = "*((", "", 'Monthly Update'!DB35="", "", TRUE, 'Monthly Update'!DB35)</f>
        <v/>
      </c>
      <c r="K35" s="221" t="str" cm="1">
        <f t="array" ref="K35">_xlfn.IFS(LEFT('Monthly Update'!DC35, 3) = "*((", "", 'Monthly Update'!DC35="", "", TRUE, 'Monthly Update'!DC35)</f>
        <v/>
      </c>
      <c r="L35" s="221" t="str" cm="1">
        <f t="array" ref="L35">_xlfn.IFS(LEFT('Monthly Update'!DD35, 3) = "*((", "", 'Monthly Update'!DD35="", "", TRUE, 'Monthly Update'!DD35)</f>
        <v/>
      </c>
      <c r="M35" s="221" t="str" cm="1">
        <f t="array" ref="M35">_xlfn.IFS(LEFT('Monthly Update'!DE35, 3) = "*((", "", 'Monthly Update'!DE35="", "", TRUE, 'Monthly Update'!DE35)</f>
        <v/>
      </c>
      <c r="N35" s="221" t="str" cm="1">
        <f t="array" ref="N35">_xlfn.IFS(LEFT('Monthly Update'!DF35, 3) = "*((", "", 'Monthly Update'!DF35="", "", TRUE, 'Monthly Update'!DF35)</f>
        <v/>
      </c>
      <c r="O35" s="221" t="str" cm="1">
        <f t="array" ref="O35">_xlfn.IFS(LEFT('Monthly Update'!DG35, 3) = "*((", "", 'Monthly Update'!DG35="", "", TRUE, 'Monthly Update'!DG35)</f>
        <v/>
      </c>
      <c r="P35" s="221" t="str" cm="1">
        <f t="array" ref="P35">_xlfn.IFS(LEFT('Monthly Update'!DH35, 3) = "*((", "", 'Monthly Update'!DH35="", "", TRUE, 'Monthly Update'!DH35)</f>
        <v/>
      </c>
      <c r="Q35" s="221" t="str" cm="1">
        <f t="array" ref="Q35">_xlfn.IFS(LEFT('Monthly Update'!DI35, 3) = "*((", "", 'Monthly Update'!DI35="", "", TRUE, 'Monthly Update'!DI35)</f>
        <v/>
      </c>
      <c r="R35" s="221" t="str" cm="1">
        <f t="array" ref="R35">_xlfn.IFS(LEFT('Monthly Update'!DJ35, 3) = "*((", "", 'Monthly Update'!DJ35="", "", TRUE, 'Monthly Update'!DJ35)</f>
        <v/>
      </c>
      <c r="S35" s="221" t="str" cm="1">
        <f t="array" ref="S35">_xlfn.IFS(LEFT('Monthly Update'!DK35, 3) = "*((", "", 'Monthly Update'!DK35="", "", TRUE, 'Monthly Update'!DK35)</f>
        <v/>
      </c>
      <c r="T35" s="221" t="str" cm="1">
        <f t="array" ref="T35">_xlfn.IFS(LEFT('Monthly Update'!DL35, 3) = "*((", "", 'Monthly Update'!DL35="", "", TRUE, 'Monthly Update'!DL35)</f>
        <v/>
      </c>
      <c r="U35" s="221" t="str" cm="1">
        <f t="array" ref="U35">_xlfn.IFS(LEFT('Monthly Update'!DM35, 3) = "*((", "", 'Monthly Update'!DM35="", "", TRUE, 'Monthly Update'!DM35)</f>
        <v/>
      </c>
      <c r="V35" s="221" t="str" cm="1">
        <f t="array" ref="V35">_xlfn.IFS(LEFT('Monthly Update'!DN35, 3) = "*((", "", 'Monthly Update'!DN35="", "", TRUE, 'Monthly Update'!DN35)</f>
        <v/>
      </c>
      <c r="W35" s="221" t="str" cm="1">
        <f t="array" ref="W35">_xlfn.IFS(LEFT('Monthly Update'!DO35, 3) = "*((", "", 'Monthly Update'!DO35="", "", TRUE, 'Monthly Update'!DO35)</f>
        <v/>
      </c>
      <c r="X35" s="221" t="str" cm="1">
        <f t="array" ref="X35">_xlfn.IFS(LEFT('Monthly Update'!DP35, 3) = "*((", "", 'Monthly Update'!DP35="", "", TRUE, 'Monthly Update'!DP35)</f>
        <v/>
      </c>
      <c r="Y35" s="221" t="str" cm="1">
        <f t="array" ref="Y35">_xlfn.IFS(LEFT('Monthly Update'!DQ35, 3) = "*((", "", 'Monthly Update'!DQ35="", "", TRUE, 'Monthly Update'!DQ35)</f>
        <v/>
      </c>
      <c r="Z35" s="221" t="str" cm="1">
        <f t="array" ref="Z35">_xlfn.IFS(LEFT('Monthly Update'!DR35, 3) = "*((", "", 'Monthly Update'!DR35="", "", TRUE, 'Monthly Update'!DR35)</f>
        <v/>
      </c>
      <c r="AA35" s="221" t="str" cm="1">
        <f t="array" ref="AA35">_xlfn.IFS(LEFT('Monthly Update'!DS35, 3) = "*((", "", 'Monthly Update'!DS35="", "", TRUE, 'Monthly Update'!DS35)</f>
        <v/>
      </c>
      <c r="AB35" s="221" t="str" cm="1">
        <f t="array" ref="AB35">_xlfn.IFS(LEFT('Monthly Update'!DT35, 3) = "*((", "", 'Monthly Update'!DT35="", "", TRUE, 'Monthly Update'!DT35)</f>
        <v/>
      </c>
      <c r="AC35" s="221" t="str" cm="1">
        <f t="array" ref="AC35">_xlfn.IFS(LEFT('Monthly Update'!DU35, 3) = "*((", "", 'Monthly Update'!DU35="", "", TRUE, 'Monthly Update'!DU35)</f>
        <v/>
      </c>
      <c r="AD35" s="221" t="str" cm="1">
        <f t="array" ref="AD35">_xlfn.IFS(LEFT('Monthly Update'!DV35, 3) = "*((", "", 'Monthly Update'!DV35="", "", TRUE, 'Monthly Update'!DV35)</f>
        <v/>
      </c>
      <c r="AE35" s="221" t="str" cm="1">
        <f t="array" ref="AE35">_xlfn.IFS(LEFT('Monthly Update'!DW35, 3) = "*((", "", 'Monthly Update'!DW35="", "", TRUE, 'Monthly Update'!DW35)</f>
        <v/>
      </c>
      <c r="AF35" s="221" t="str" cm="1">
        <f t="array" ref="AF35">_xlfn.IFS(LEFT('Monthly Update'!DX35, 3) = "*((", "", 'Monthly Update'!DX35="", "", TRUE, 'Monthly Update'!DX35)</f>
        <v/>
      </c>
      <c r="AG35" s="221" t="str" cm="1">
        <f t="array" ref="AG35">_xlfn.IFS(LEFT('Monthly Update'!DY35, 3) = "*((", "", 'Monthly Update'!DY35="", "", TRUE, 'Monthly Update'!DY35)</f>
        <v/>
      </c>
      <c r="AH35" s="221" t="str" cm="1">
        <f t="array" ref="AH35">_xlfn.IFS(LEFT('Monthly Update'!DZ35, 3) = "*((", "", 'Monthly Update'!DZ35="", "", TRUE, 'Monthly Update'!DZ35)</f>
        <v/>
      </c>
      <c r="AI35" s="221" t="str" cm="1">
        <f t="array" ref="AI35">_xlfn.IFS(LEFT('Monthly Update'!EA35, 3) = "*((", "", 'Monthly Update'!EA35="", "", TRUE, 'Monthly Update'!EA35)</f>
        <v/>
      </c>
      <c r="AJ35" s="221" t="str" cm="1">
        <f t="array" ref="AJ35">_xlfn.IFS(LEFT('Monthly Update'!EB35, 3) = "*((", "", 'Monthly Update'!EB35="", "", TRUE, 'Monthly Update'!EB35)</f>
        <v/>
      </c>
      <c r="AK35" s="221" t="str" cm="1">
        <f t="array" ref="AK35">_xlfn.IFS(LEFT('Monthly Update'!EC35, 3) = "*((", "", 'Monthly Update'!EC35="", "", TRUE, 'Monthly Update'!EC35)</f>
        <v/>
      </c>
      <c r="AL35" s="221" t="str" cm="1">
        <f t="array" ref="AL35">_xlfn.IFS(LEFT('Monthly Update'!ED35, 3) = "*((", "", 'Monthly Update'!ED35="", "", TRUE, 'Monthly Update'!ED35)</f>
        <v/>
      </c>
      <c r="AM35" s="221" t="str" cm="1">
        <f t="array" ref="AM35">_xlfn.IFS(LEFT('Monthly Update'!EE35, 3) = "*((", "", 'Monthly Update'!EE35="", "", TRUE, 'Monthly Update'!EE35)</f>
        <v/>
      </c>
      <c r="AN35" s="221" t="str" cm="1">
        <f t="array" ref="AN35">_xlfn.IFS(LEFT('Monthly Update'!EF35, 3) = "*((", "", 'Monthly Update'!EF35="", "", TRUE, 'Monthly Update'!EF35)</f>
        <v/>
      </c>
      <c r="AO35" s="221" t="str" cm="1">
        <f t="array" ref="AO35">_xlfn.IFS(LEFT('Monthly Update'!EG35, 3) = "*((", "", 'Monthly Update'!EG35="", "", TRUE, 'Monthly Update'!EG35)</f>
        <v/>
      </c>
      <c r="AP35" s="221" t="str" cm="1">
        <f t="array" ref="AP35">_xlfn.IFS(LEFT('Monthly Update'!EH35, 3) = "*((", "", 'Monthly Update'!EH35="", "", TRUE, 'Monthly Update'!EH35)</f>
        <v/>
      </c>
      <c r="AQ35" s="221" t="str" cm="1">
        <f t="array" ref="AQ35">_xlfn.IFS(LEFT('Monthly Update'!EI35, 3) = "*((", "", 'Monthly Update'!EI35="", "", TRUE, 'Monthly Update'!EI35)</f>
        <v/>
      </c>
      <c r="AR35" s="221" t="str" cm="1">
        <f t="array" ref="AR35">_xlfn.IFS(LEFT('Monthly Update'!EJ35, 3) = "*((", "", 'Monthly Update'!EJ35="", "", TRUE, 'Monthly Update'!EJ35)</f>
        <v/>
      </c>
      <c r="AS35" s="221" t="str" cm="1">
        <f t="array" ref="AS35">_xlfn.IFS(LEFT('Monthly Update'!EK35, 3) = "*((", "", 'Monthly Update'!EK35="", "", TRUE, 'Monthly Update'!EK35)</f>
        <v/>
      </c>
      <c r="AT35" s="221" t="str" cm="1">
        <f t="array" ref="AT35">_xlfn.IFS(LEFT('Monthly Update'!EL35, 3) = "*((", "", 'Monthly Update'!EL35="", "", TRUE, 'Monthly Update'!EL35)</f>
        <v/>
      </c>
      <c r="AU35" s="221" t="str" cm="1">
        <f t="array" ref="AU35">_xlfn.IFS(LEFT('Monthly Update'!EM35, 3) = "*((", "", 'Monthly Update'!EM35="", "", TRUE, 'Monthly Update'!EM35)</f>
        <v/>
      </c>
      <c r="AV35" s="221" t="str" cm="1">
        <f t="array" ref="AV35">_xlfn.IFS(LEFT('Monthly Update'!EN35, 3) = "*((", "", 'Monthly Update'!EN35="", "", TRUE, 'Monthly Update'!EN35)</f>
        <v/>
      </c>
      <c r="AW35" s="221" t="str" cm="1">
        <f t="array" ref="AW35">_xlfn.IFS(LEFT('Monthly Update'!EO35, 3) = "*((", "", 'Monthly Update'!EO35="", "", TRUE, 'Monthly Update'!EO35)</f>
        <v/>
      </c>
      <c r="NU35" s="252"/>
      <c r="NV35" s="252"/>
      <c r="NW35" s="252"/>
      <c r="NX35" s="252"/>
      <c r="NY35" s="252"/>
      <c r="NZ35" s="252"/>
      <c r="OA35" s="252"/>
      <c r="OB35" s="252"/>
      <c r="OC35" s="252"/>
      <c r="OD35" s="252"/>
      <c r="OE35" s="252"/>
      <c r="OF35" s="252"/>
      <c r="OG35" s="252"/>
      <c r="OH35" s="252"/>
      <c r="OI35" s="252"/>
      <c r="OJ35" s="252"/>
      <c r="OK35" s="252"/>
      <c r="OL35" s="252"/>
      <c r="OM35" s="252"/>
      <c r="ON35" s="252"/>
      <c r="OO35" s="252"/>
      <c r="OP35" s="252"/>
      <c r="OQ35" s="252"/>
      <c r="OR35" s="252"/>
      <c r="OS35" s="252"/>
      <c r="OT35" s="252"/>
      <c r="OU35" s="252"/>
      <c r="OV35" s="252"/>
      <c r="OW35" s="252"/>
      <c r="OX35" s="252"/>
      <c r="OY35" s="252"/>
      <c r="OZ35" s="252"/>
      <c r="PA35" s="252"/>
      <c r="PB35" s="252"/>
      <c r="PC35" s="252"/>
      <c r="PD35" s="252"/>
      <c r="PE35" s="252"/>
      <c r="PF35" s="252"/>
      <c r="PG35" s="252"/>
      <c r="PH35" s="252"/>
      <c r="PI35" s="252"/>
      <c r="PJ35" s="252"/>
      <c r="PK35" s="252"/>
      <c r="PL35" s="252"/>
      <c r="PM35" s="252"/>
      <c r="PN35" s="252"/>
      <c r="PO35" s="252"/>
      <c r="PP35" s="252"/>
      <c r="PQ35" s="252"/>
      <c r="PR35" s="252"/>
      <c r="PS35" s="252"/>
      <c r="PT35" s="252"/>
      <c r="PU35" s="252"/>
      <c r="PV35" s="252"/>
      <c r="PW35" s="252"/>
      <c r="PX35" s="252"/>
      <c r="PY35" s="252"/>
      <c r="PZ35" s="252"/>
      <c r="QA35" s="252"/>
      <c r="QB35" s="252"/>
      <c r="QC35" s="252"/>
      <c r="QD35" s="252"/>
      <c r="QE35" s="252"/>
      <c r="QF35" s="252"/>
      <c r="QG35" s="252"/>
      <c r="QH35" s="252"/>
      <c r="QI35" s="252"/>
      <c r="QJ35" s="252"/>
      <c r="QK35" s="252"/>
      <c r="QL35" s="252"/>
      <c r="QM35" s="252"/>
      <c r="QN35" s="252"/>
      <c r="QO35" s="252"/>
      <c r="QP35" s="252"/>
      <c r="QQ35" s="252"/>
      <c r="QR35" s="252"/>
      <c r="QS35" s="252"/>
      <c r="QT35" s="252"/>
      <c r="QU35" s="252"/>
      <c r="QV35" s="252"/>
      <c r="QW35" s="252"/>
      <c r="QX35" s="252"/>
      <c r="QY35" s="252"/>
      <c r="QZ35" s="252"/>
      <c r="RA35" s="252"/>
      <c r="RB35" s="252"/>
      <c r="RC35" s="252"/>
      <c r="RD35" s="252"/>
      <c r="RE35" s="252"/>
      <c r="RF35" s="252"/>
      <c r="RG35" s="252"/>
      <c r="RH35" s="252"/>
      <c r="RI35" s="252"/>
      <c r="RJ35" s="252"/>
      <c r="RK35" s="252"/>
      <c r="RL35" s="252"/>
      <c r="RM35" s="252"/>
      <c r="RN35" s="252"/>
      <c r="RO35" s="252"/>
      <c r="RP35" s="252"/>
      <c r="RQ35" s="252"/>
      <c r="RR35" s="252"/>
      <c r="RS35" s="252"/>
      <c r="RT35" s="252"/>
      <c r="RU35" s="252"/>
      <c r="RV35" s="252"/>
      <c r="RW35" s="252"/>
      <c r="RX35" s="252"/>
      <c r="RY35" s="252"/>
      <c r="RZ35" s="252"/>
      <c r="SA35" s="252"/>
      <c r="SB35" s="252"/>
      <c r="SC35" s="252"/>
      <c r="SD35" s="252"/>
      <c r="SE35" s="252"/>
      <c r="SF35" s="252"/>
      <c r="SG35" s="252"/>
      <c r="SH35" s="252"/>
      <c r="SI35" s="252"/>
      <c r="SJ35" s="252"/>
      <c r="SK35" s="252"/>
      <c r="SL35" s="252"/>
      <c r="SM35" s="252"/>
      <c r="SN35" s="252"/>
    </row>
    <row r="36" spans="1:508" s="243" customFormat="1" ht="15.6" customHeight="1" x14ac:dyDescent="0.55000000000000004">
      <c r="A36" s="220" t="str" cm="1">
        <f t="array" ref="A36">_xlfn.IFS(LEFT('Monthly Update'!A36, 3) = "*((", "", 'Monthly Update'!A36="", "", TRUE, 'Monthly Update'!A36)</f>
        <v/>
      </c>
      <c r="B36" s="220" t="str" cm="1">
        <f t="array" ref="B36">_xlfn.IFS(LEFT('Monthly Update'!B36, 3) = "*((", "", 'Monthly Update'!B36="", "", TRUE, 'Monthly Update'!B36)</f>
        <v/>
      </c>
      <c r="C36" s="221" t="str" cm="1">
        <f t="array" ref="C36">_xlfn.IFS(LEFT('Monthly Update'!CU36, 3) = "*((", "", 'Monthly Update'!CU36="", "", TRUE, 'Monthly Update'!CU36)</f>
        <v/>
      </c>
      <c r="D36" s="221" t="str" cm="1">
        <f t="array" ref="D36">_xlfn.IFS(LEFT('Monthly Update'!CV36, 3) = "*((", "", 'Monthly Update'!CV36="", "", TRUE, 'Monthly Update'!CV36)</f>
        <v/>
      </c>
      <c r="E36" s="221" t="str" cm="1">
        <f t="array" ref="E36">_xlfn.IFS(LEFT('Monthly Update'!CW36, 3) = "*((", "", 'Monthly Update'!CW36="", "", TRUE, 'Monthly Update'!CW36)</f>
        <v/>
      </c>
      <c r="F36" s="221" t="str" cm="1">
        <f t="array" ref="F36">_xlfn.IFS(LEFT('Monthly Update'!CX36, 3) = "*((", "", 'Monthly Update'!CX36="", "", TRUE, 'Monthly Update'!CX36)</f>
        <v/>
      </c>
      <c r="G36" s="221" t="str" cm="1">
        <f t="array" ref="G36">_xlfn.IFS(LEFT('Monthly Update'!CY36, 3) = "*((", "", 'Monthly Update'!CY36="", "", TRUE, 'Monthly Update'!CY36)</f>
        <v/>
      </c>
      <c r="H36" s="221" t="str" cm="1">
        <f t="array" ref="H36">_xlfn.IFS(LEFT('Monthly Update'!CZ36, 3) = "*((", "", 'Monthly Update'!CZ36="", "", TRUE, 'Monthly Update'!CZ36)</f>
        <v/>
      </c>
      <c r="I36" s="221" t="str" cm="1">
        <f t="array" ref="I36">_xlfn.IFS(LEFT('Monthly Update'!DA36, 3) = "*((", "", 'Monthly Update'!DA36="", "", TRUE, 'Monthly Update'!DA36)</f>
        <v/>
      </c>
      <c r="J36" s="221" t="str" cm="1">
        <f t="array" ref="J36">_xlfn.IFS(LEFT('Monthly Update'!DB36, 3) = "*((", "", 'Monthly Update'!DB36="", "", TRUE, 'Monthly Update'!DB36)</f>
        <v/>
      </c>
      <c r="K36" s="221" t="str" cm="1">
        <f t="array" ref="K36">_xlfn.IFS(LEFT('Monthly Update'!DC36, 3) = "*((", "", 'Monthly Update'!DC36="", "", TRUE, 'Monthly Update'!DC36)</f>
        <v/>
      </c>
      <c r="L36" s="221" t="str" cm="1">
        <f t="array" ref="L36">_xlfn.IFS(LEFT('Monthly Update'!DD36, 3) = "*((", "", 'Monthly Update'!DD36="", "", TRUE, 'Monthly Update'!DD36)</f>
        <v/>
      </c>
      <c r="M36" s="221" t="str" cm="1">
        <f t="array" ref="M36">_xlfn.IFS(LEFT('Monthly Update'!DE36, 3) = "*((", "", 'Monthly Update'!DE36="", "", TRUE, 'Monthly Update'!DE36)</f>
        <v/>
      </c>
      <c r="N36" s="221" t="str" cm="1">
        <f t="array" ref="N36">_xlfn.IFS(LEFT('Monthly Update'!DF36, 3) = "*((", "", 'Monthly Update'!DF36="", "", TRUE, 'Monthly Update'!DF36)</f>
        <v/>
      </c>
      <c r="O36" s="221" t="str" cm="1">
        <f t="array" ref="O36">_xlfn.IFS(LEFT('Monthly Update'!DG36, 3) = "*((", "", 'Monthly Update'!DG36="", "", TRUE, 'Monthly Update'!DG36)</f>
        <v/>
      </c>
      <c r="P36" s="221" t="str" cm="1">
        <f t="array" ref="P36">_xlfn.IFS(LEFT('Monthly Update'!DH36, 3) = "*((", "", 'Monthly Update'!DH36="", "", TRUE, 'Monthly Update'!DH36)</f>
        <v/>
      </c>
      <c r="Q36" s="221" t="str" cm="1">
        <f t="array" ref="Q36">_xlfn.IFS(LEFT('Monthly Update'!DI36, 3) = "*((", "", 'Monthly Update'!DI36="", "", TRUE, 'Monthly Update'!DI36)</f>
        <v/>
      </c>
      <c r="R36" s="221" t="str" cm="1">
        <f t="array" ref="R36">_xlfn.IFS(LEFT('Monthly Update'!DJ36, 3) = "*((", "", 'Monthly Update'!DJ36="", "", TRUE, 'Monthly Update'!DJ36)</f>
        <v/>
      </c>
      <c r="S36" s="221" t="str" cm="1">
        <f t="array" ref="S36">_xlfn.IFS(LEFT('Monthly Update'!DK36, 3) = "*((", "", 'Monthly Update'!DK36="", "", TRUE, 'Monthly Update'!DK36)</f>
        <v/>
      </c>
      <c r="T36" s="221" t="str" cm="1">
        <f t="array" ref="T36">_xlfn.IFS(LEFT('Monthly Update'!DL36, 3) = "*((", "", 'Monthly Update'!DL36="", "", TRUE, 'Monthly Update'!DL36)</f>
        <v/>
      </c>
      <c r="U36" s="221" t="str" cm="1">
        <f t="array" ref="U36">_xlfn.IFS(LEFT('Monthly Update'!DM36, 3) = "*((", "", 'Monthly Update'!DM36="", "", TRUE, 'Monthly Update'!DM36)</f>
        <v/>
      </c>
      <c r="V36" s="221" t="str" cm="1">
        <f t="array" ref="V36">_xlfn.IFS(LEFT('Monthly Update'!DN36, 3) = "*((", "", 'Monthly Update'!DN36="", "", TRUE, 'Monthly Update'!DN36)</f>
        <v/>
      </c>
      <c r="W36" s="221" t="str" cm="1">
        <f t="array" ref="W36">_xlfn.IFS(LEFT('Monthly Update'!DO36, 3) = "*((", "", 'Monthly Update'!DO36="", "", TRUE, 'Monthly Update'!DO36)</f>
        <v/>
      </c>
      <c r="X36" s="221" t="str" cm="1">
        <f t="array" ref="X36">_xlfn.IFS(LEFT('Monthly Update'!DP36, 3) = "*((", "", 'Monthly Update'!DP36="", "", TRUE, 'Monthly Update'!DP36)</f>
        <v/>
      </c>
      <c r="Y36" s="221" t="str" cm="1">
        <f t="array" ref="Y36">_xlfn.IFS(LEFT('Monthly Update'!DQ36, 3) = "*((", "", 'Monthly Update'!DQ36="", "", TRUE, 'Monthly Update'!DQ36)</f>
        <v/>
      </c>
      <c r="Z36" s="221" t="str" cm="1">
        <f t="array" ref="Z36">_xlfn.IFS(LEFT('Monthly Update'!DR36, 3) = "*((", "", 'Monthly Update'!DR36="", "", TRUE, 'Monthly Update'!DR36)</f>
        <v/>
      </c>
      <c r="AA36" s="221" t="str" cm="1">
        <f t="array" ref="AA36">_xlfn.IFS(LEFT('Monthly Update'!DS36, 3) = "*((", "", 'Monthly Update'!DS36="", "", TRUE, 'Monthly Update'!DS36)</f>
        <v/>
      </c>
      <c r="AB36" s="221" t="str" cm="1">
        <f t="array" ref="AB36">_xlfn.IFS(LEFT('Monthly Update'!DT36, 3) = "*((", "", 'Monthly Update'!DT36="", "", TRUE, 'Monthly Update'!DT36)</f>
        <v/>
      </c>
      <c r="AC36" s="221" t="str" cm="1">
        <f t="array" ref="AC36">_xlfn.IFS(LEFT('Monthly Update'!DU36, 3) = "*((", "", 'Monthly Update'!DU36="", "", TRUE, 'Monthly Update'!DU36)</f>
        <v/>
      </c>
      <c r="AD36" s="221" t="str" cm="1">
        <f t="array" ref="AD36">_xlfn.IFS(LEFT('Monthly Update'!DV36, 3) = "*((", "", 'Monthly Update'!DV36="", "", TRUE, 'Monthly Update'!DV36)</f>
        <v/>
      </c>
      <c r="AE36" s="221" t="str" cm="1">
        <f t="array" ref="AE36">_xlfn.IFS(LEFT('Monthly Update'!DW36, 3) = "*((", "", 'Monthly Update'!DW36="", "", TRUE, 'Monthly Update'!DW36)</f>
        <v/>
      </c>
      <c r="AF36" s="221" t="str" cm="1">
        <f t="array" ref="AF36">_xlfn.IFS(LEFT('Monthly Update'!DX36, 3) = "*((", "", 'Monthly Update'!DX36="", "", TRUE, 'Monthly Update'!DX36)</f>
        <v/>
      </c>
      <c r="AG36" s="221" t="str" cm="1">
        <f t="array" ref="AG36">_xlfn.IFS(LEFT('Monthly Update'!DY36, 3) = "*((", "", 'Monthly Update'!DY36="", "", TRUE, 'Monthly Update'!DY36)</f>
        <v/>
      </c>
      <c r="AH36" s="221" t="str" cm="1">
        <f t="array" ref="AH36">_xlfn.IFS(LEFT('Monthly Update'!DZ36, 3) = "*((", "", 'Monthly Update'!DZ36="", "", TRUE, 'Monthly Update'!DZ36)</f>
        <v/>
      </c>
      <c r="AI36" s="221" t="str" cm="1">
        <f t="array" ref="AI36">_xlfn.IFS(LEFT('Monthly Update'!EA36, 3) = "*((", "", 'Monthly Update'!EA36="", "", TRUE, 'Monthly Update'!EA36)</f>
        <v/>
      </c>
      <c r="AJ36" s="221" t="str" cm="1">
        <f t="array" ref="AJ36">_xlfn.IFS(LEFT('Monthly Update'!EB36, 3) = "*((", "", 'Monthly Update'!EB36="", "", TRUE, 'Monthly Update'!EB36)</f>
        <v/>
      </c>
      <c r="AK36" s="221" t="str" cm="1">
        <f t="array" ref="AK36">_xlfn.IFS(LEFT('Monthly Update'!EC36, 3) = "*((", "", 'Monthly Update'!EC36="", "", TRUE, 'Monthly Update'!EC36)</f>
        <v/>
      </c>
      <c r="AL36" s="221" t="str" cm="1">
        <f t="array" ref="AL36">_xlfn.IFS(LEFT('Monthly Update'!ED36, 3) = "*((", "", 'Monthly Update'!ED36="", "", TRUE, 'Monthly Update'!ED36)</f>
        <v/>
      </c>
      <c r="AM36" s="221" t="str" cm="1">
        <f t="array" ref="AM36">_xlfn.IFS(LEFT('Monthly Update'!EE36, 3) = "*((", "", 'Monthly Update'!EE36="", "", TRUE, 'Monthly Update'!EE36)</f>
        <v/>
      </c>
      <c r="AN36" s="221" t="str" cm="1">
        <f t="array" ref="AN36">_xlfn.IFS(LEFT('Monthly Update'!EF36, 3) = "*((", "", 'Monthly Update'!EF36="", "", TRUE, 'Monthly Update'!EF36)</f>
        <v/>
      </c>
      <c r="AO36" s="221" t="str" cm="1">
        <f t="array" ref="AO36">_xlfn.IFS(LEFT('Monthly Update'!EG36, 3) = "*((", "", 'Monthly Update'!EG36="", "", TRUE, 'Monthly Update'!EG36)</f>
        <v/>
      </c>
      <c r="AP36" s="221" t="str" cm="1">
        <f t="array" ref="AP36">_xlfn.IFS(LEFT('Monthly Update'!EH36, 3) = "*((", "", 'Monthly Update'!EH36="", "", TRUE, 'Monthly Update'!EH36)</f>
        <v/>
      </c>
      <c r="AQ36" s="221" t="str" cm="1">
        <f t="array" ref="AQ36">_xlfn.IFS(LEFT('Monthly Update'!EI36, 3) = "*((", "", 'Monthly Update'!EI36="", "", TRUE, 'Monthly Update'!EI36)</f>
        <v/>
      </c>
      <c r="AR36" s="221" t="str" cm="1">
        <f t="array" ref="AR36">_xlfn.IFS(LEFT('Monthly Update'!EJ36, 3) = "*((", "", 'Monthly Update'!EJ36="", "", TRUE, 'Monthly Update'!EJ36)</f>
        <v/>
      </c>
      <c r="AS36" s="221" t="str" cm="1">
        <f t="array" ref="AS36">_xlfn.IFS(LEFT('Monthly Update'!EK36, 3) = "*((", "", 'Monthly Update'!EK36="", "", TRUE, 'Monthly Update'!EK36)</f>
        <v/>
      </c>
      <c r="AT36" s="221" t="str" cm="1">
        <f t="array" ref="AT36">_xlfn.IFS(LEFT('Monthly Update'!EL36, 3) = "*((", "", 'Monthly Update'!EL36="", "", TRUE, 'Monthly Update'!EL36)</f>
        <v/>
      </c>
      <c r="AU36" s="221" t="str" cm="1">
        <f t="array" ref="AU36">_xlfn.IFS(LEFT('Monthly Update'!EM36, 3) = "*((", "", 'Monthly Update'!EM36="", "", TRUE, 'Monthly Update'!EM36)</f>
        <v/>
      </c>
      <c r="AV36" s="221" t="str" cm="1">
        <f t="array" ref="AV36">_xlfn.IFS(LEFT('Monthly Update'!EN36, 3) = "*((", "", 'Monthly Update'!EN36="", "", TRUE, 'Monthly Update'!EN36)</f>
        <v/>
      </c>
      <c r="AW36" s="221" t="str" cm="1">
        <f t="array" ref="AW36">_xlfn.IFS(LEFT('Monthly Update'!EO36, 3) = "*((", "", 'Monthly Update'!EO36="", "", TRUE, 'Monthly Update'!EO36)</f>
        <v/>
      </c>
      <c r="NU36" s="252"/>
      <c r="NV36" s="252"/>
      <c r="NW36" s="252"/>
      <c r="NX36" s="252"/>
      <c r="NY36" s="252"/>
      <c r="NZ36" s="252"/>
      <c r="OA36" s="252"/>
      <c r="OB36" s="252"/>
      <c r="OC36" s="252"/>
      <c r="OD36" s="252"/>
      <c r="OE36" s="252"/>
      <c r="OF36" s="252"/>
      <c r="OG36" s="252"/>
      <c r="OH36" s="252"/>
      <c r="OI36" s="252"/>
      <c r="OJ36" s="252"/>
      <c r="OK36" s="252"/>
      <c r="OL36" s="252"/>
      <c r="OM36" s="252"/>
      <c r="ON36" s="252"/>
      <c r="OO36" s="252"/>
      <c r="OP36" s="252"/>
      <c r="OQ36" s="252"/>
      <c r="OR36" s="252"/>
      <c r="OS36" s="252"/>
      <c r="OT36" s="252"/>
      <c r="OU36" s="252"/>
      <c r="OV36" s="252"/>
      <c r="OW36" s="252"/>
      <c r="OX36" s="252"/>
      <c r="OY36" s="252"/>
      <c r="OZ36" s="252"/>
      <c r="PA36" s="252"/>
      <c r="PB36" s="252"/>
      <c r="PC36" s="252"/>
      <c r="PD36" s="252"/>
      <c r="PE36" s="252"/>
      <c r="PF36" s="252"/>
      <c r="PG36" s="252"/>
      <c r="PH36" s="252"/>
      <c r="PI36" s="252"/>
      <c r="PJ36" s="252"/>
      <c r="PK36" s="252"/>
      <c r="PL36" s="252"/>
      <c r="PM36" s="252"/>
      <c r="PN36" s="252"/>
      <c r="PO36" s="252"/>
      <c r="PP36" s="252"/>
      <c r="PQ36" s="252"/>
      <c r="PR36" s="252"/>
      <c r="PS36" s="252"/>
      <c r="PT36" s="252"/>
      <c r="PU36" s="252"/>
      <c r="PV36" s="252"/>
      <c r="PW36" s="252"/>
      <c r="PX36" s="252"/>
      <c r="PY36" s="252"/>
      <c r="PZ36" s="252"/>
      <c r="QA36" s="252"/>
      <c r="QB36" s="252"/>
      <c r="QC36" s="252"/>
      <c r="QD36" s="252"/>
      <c r="QE36" s="252"/>
      <c r="QF36" s="252"/>
      <c r="QG36" s="252"/>
      <c r="QH36" s="252"/>
      <c r="QI36" s="252"/>
      <c r="QJ36" s="252"/>
      <c r="QK36" s="252"/>
      <c r="QL36" s="252"/>
      <c r="QM36" s="252"/>
      <c r="QN36" s="252"/>
      <c r="QO36" s="252"/>
      <c r="QP36" s="252"/>
      <c r="QQ36" s="252"/>
      <c r="QR36" s="252"/>
      <c r="QS36" s="252"/>
      <c r="QT36" s="252"/>
      <c r="QU36" s="252"/>
      <c r="QV36" s="252"/>
      <c r="QW36" s="252"/>
      <c r="QX36" s="252"/>
      <c r="QY36" s="252"/>
      <c r="QZ36" s="252"/>
      <c r="RA36" s="252"/>
      <c r="RB36" s="252"/>
      <c r="RC36" s="252"/>
      <c r="RD36" s="252"/>
      <c r="RE36" s="252"/>
      <c r="RF36" s="252"/>
      <c r="RG36" s="252"/>
      <c r="RH36" s="252"/>
      <c r="RI36" s="252"/>
      <c r="RJ36" s="252"/>
      <c r="RK36" s="252"/>
      <c r="RL36" s="252"/>
      <c r="RM36" s="252"/>
      <c r="RN36" s="252"/>
      <c r="RO36" s="252"/>
      <c r="RP36" s="252"/>
      <c r="RQ36" s="252"/>
      <c r="RR36" s="252"/>
      <c r="RS36" s="252"/>
      <c r="RT36" s="252"/>
      <c r="RU36" s="252"/>
      <c r="RV36" s="252"/>
      <c r="RW36" s="252"/>
      <c r="RX36" s="252"/>
      <c r="RY36" s="252"/>
      <c r="RZ36" s="252"/>
      <c r="SA36" s="252"/>
      <c r="SB36" s="252"/>
      <c r="SC36" s="252"/>
      <c r="SD36" s="252"/>
      <c r="SE36" s="252"/>
      <c r="SF36" s="252"/>
      <c r="SG36" s="252"/>
      <c r="SH36" s="252"/>
      <c r="SI36" s="252"/>
      <c r="SJ36" s="252"/>
      <c r="SK36" s="252"/>
      <c r="SL36" s="252"/>
      <c r="SM36" s="252"/>
      <c r="SN36" s="252"/>
    </row>
    <row r="37" spans="1:508" s="243" customFormat="1" ht="15.6" customHeight="1" x14ac:dyDescent="0.55000000000000004">
      <c r="A37" s="220" t="str" cm="1">
        <f t="array" ref="A37">_xlfn.IFS(LEFT('Monthly Update'!A37, 3) = "*((", "", 'Monthly Update'!A37="", "", TRUE, 'Monthly Update'!A37)</f>
        <v/>
      </c>
      <c r="B37" s="220" t="str" cm="1">
        <f t="array" ref="B37">_xlfn.IFS(LEFT('Monthly Update'!B37, 3) = "*((", "", 'Monthly Update'!B37="", "", TRUE, 'Monthly Update'!B37)</f>
        <v/>
      </c>
      <c r="C37" s="221" t="str" cm="1">
        <f t="array" ref="C37">_xlfn.IFS(LEFT('Monthly Update'!CU37, 3) = "*((", "", 'Monthly Update'!CU37="", "", TRUE, 'Monthly Update'!CU37)</f>
        <v/>
      </c>
      <c r="D37" s="221" t="str" cm="1">
        <f t="array" ref="D37">_xlfn.IFS(LEFT('Monthly Update'!CV37, 3) = "*((", "", 'Monthly Update'!CV37="", "", TRUE, 'Monthly Update'!CV37)</f>
        <v/>
      </c>
      <c r="E37" s="221" t="str" cm="1">
        <f t="array" ref="E37">_xlfn.IFS(LEFT('Monthly Update'!CW37, 3) = "*((", "", 'Monthly Update'!CW37="", "", TRUE, 'Monthly Update'!CW37)</f>
        <v/>
      </c>
      <c r="F37" s="221" t="str" cm="1">
        <f t="array" ref="F37">_xlfn.IFS(LEFT('Monthly Update'!CX37, 3) = "*((", "", 'Monthly Update'!CX37="", "", TRUE, 'Monthly Update'!CX37)</f>
        <v/>
      </c>
      <c r="G37" s="221" t="str" cm="1">
        <f t="array" ref="G37">_xlfn.IFS(LEFT('Monthly Update'!CY37, 3) = "*((", "", 'Monthly Update'!CY37="", "", TRUE, 'Monthly Update'!CY37)</f>
        <v/>
      </c>
      <c r="H37" s="221" t="str" cm="1">
        <f t="array" ref="H37">_xlfn.IFS(LEFT('Monthly Update'!CZ37, 3) = "*((", "", 'Monthly Update'!CZ37="", "", TRUE, 'Monthly Update'!CZ37)</f>
        <v/>
      </c>
      <c r="I37" s="221" t="str" cm="1">
        <f t="array" ref="I37">_xlfn.IFS(LEFT('Monthly Update'!DA37, 3) = "*((", "", 'Monthly Update'!DA37="", "", TRUE, 'Monthly Update'!DA37)</f>
        <v/>
      </c>
      <c r="J37" s="221" t="str" cm="1">
        <f t="array" ref="J37">_xlfn.IFS(LEFT('Monthly Update'!DB37, 3) = "*((", "", 'Monthly Update'!DB37="", "", TRUE, 'Monthly Update'!DB37)</f>
        <v/>
      </c>
      <c r="K37" s="221" t="str" cm="1">
        <f t="array" ref="K37">_xlfn.IFS(LEFT('Monthly Update'!DC37, 3) = "*((", "", 'Monthly Update'!DC37="", "", TRUE, 'Monthly Update'!DC37)</f>
        <v/>
      </c>
      <c r="L37" s="221" t="str" cm="1">
        <f t="array" ref="L37">_xlfn.IFS(LEFT('Monthly Update'!DD37, 3) = "*((", "", 'Monthly Update'!DD37="", "", TRUE, 'Monthly Update'!DD37)</f>
        <v/>
      </c>
      <c r="M37" s="221" t="str" cm="1">
        <f t="array" ref="M37">_xlfn.IFS(LEFT('Monthly Update'!DE37, 3) = "*((", "", 'Monthly Update'!DE37="", "", TRUE, 'Monthly Update'!DE37)</f>
        <v/>
      </c>
      <c r="N37" s="221" t="str" cm="1">
        <f t="array" ref="N37">_xlfn.IFS(LEFT('Monthly Update'!DF37, 3) = "*((", "", 'Monthly Update'!DF37="", "", TRUE, 'Monthly Update'!DF37)</f>
        <v/>
      </c>
      <c r="O37" s="221" t="str" cm="1">
        <f t="array" ref="O37">_xlfn.IFS(LEFT('Monthly Update'!DG37, 3) = "*((", "", 'Monthly Update'!DG37="", "", TRUE, 'Monthly Update'!DG37)</f>
        <v/>
      </c>
      <c r="P37" s="221" t="str" cm="1">
        <f t="array" ref="P37">_xlfn.IFS(LEFT('Monthly Update'!DH37, 3) = "*((", "", 'Monthly Update'!DH37="", "", TRUE, 'Monthly Update'!DH37)</f>
        <v/>
      </c>
      <c r="Q37" s="221" t="str" cm="1">
        <f t="array" ref="Q37">_xlfn.IFS(LEFT('Monthly Update'!DI37, 3) = "*((", "", 'Monthly Update'!DI37="", "", TRUE, 'Monthly Update'!DI37)</f>
        <v/>
      </c>
      <c r="R37" s="221" t="str" cm="1">
        <f t="array" ref="R37">_xlfn.IFS(LEFT('Monthly Update'!DJ37, 3) = "*((", "", 'Monthly Update'!DJ37="", "", TRUE, 'Monthly Update'!DJ37)</f>
        <v/>
      </c>
      <c r="S37" s="221" t="str" cm="1">
        <f t="array" ref="S37">_xlfn.IFS(LEFT('Monthly Update'!DK37, 3) = "*((", "", 'Monthly Update'!DK37="", "", TRUE, 'Monthly Update'!DK37)</f>
        <v/>
      </c>
      <c r="T37" s="221" t="str" cm="1">
        <f t="array" ref="T37">_xlfn.IFS(LEFT('Monthly Update'!DL37, 3) = "*((", "", 'Monthly Update'!DL37="", "", TRUE, 'Monthly Update'!DL37)</f>
        <v/>
      </c>
      <c r="U37" s="221" t="str" cm="1">
        <f t="array" ref="U37">_xlfn.IFS(LEFT('Monthly Update'!DM37, 3) = "*((", "", 'Monthly Update'!DM37="", "", TRUE, 'Monthly Update'!DM37)</f>
        <v/>
      </c>
      <c r="V37" s="221" t="str" cm="1">
        <f t="array" ref="V37">_xlfn.IFS(LEFT('Monthly Update'!DN37, 3) = "*((", "", 'Monthly Update'!DN37="", "", TRUE, 'Monthly Update'!DN37)</f>
        <v/>
      </c>
      <c r="W37" s="221" t="str" cm="1">
        <f t="array" ref="W37">_xlfn.IFS(LEFT('Monthly Update'!DO37, 3) = "*((", "", 'Monthly Update'!DO37="", "", TRUE, 'Monthly Update'!DO37)</f>
        <v/>
      </c>
      <c r="X37" s="221" t="str" cm="1">
        <f t="array" ref="X37">_xlfn.IFS(LEFT('Monthly Update'!DP37, 3) = "*((", "", 'Monthly Update'!DP37="", "", TRUE, 'Monthly Update'!DP37)</f>
        <v/>
      </c>
      <c r="Y37" s="221" t="str" cm="1">
        <f t="array" ref="Y37">_xlfn.IFS(LEFT('Monthly Update'!DQ37, 3) = "*((", "", 'Monthly Update'!DQ37="", "", TRUE, 'Monthly Update'!DQ37)</f>
        <v/>
      </c>
      <c r="Z37" s="221" t="str" cm="1">
        <f t="array" ref="Z37">_xlfn.IFS(LEFT('Monthly Update'!DR37, 3) = "*((", "", 'Monthly Update'!DR37="", "", TRUE, 'Monthly Update'!DR37)</f>
        <v/>
      </c>
      <c r="AA37" s="221" t="str" cm="1">
        <f t="array" ref="AA37">_xlfn.IFS(LEFT('Monthly Update'!DS37, 3) = "*((", "", 'Monthly Update'!DS37="", "", TRUE, 'Monthly Update'!DS37)</f>
        <v/>
      </c>
      <c r="AB37" s="221" t="str" cm="1">
        <f t="array" ref="AB37">_xlfn.IFS(LEFT('Monthly Update'!DT37, 3) = "*((", "", 'Monthly Update'!DT37="", "", TRUE, 'Monthly Update'!DT37)</f>
        <v/>
      </c>
      <c r="AC37" s="221" t="str" cm="1">
        <f t="array" ref="AC37">_xlfn.IFS(LEFT('Monthly Update'!DU37, 3) = "*((", "", 'Monthly Update'!DU37="", "", TRUE, 'Monthly Update'!DU37)</f>
        <v/>
      </c>
      <c r="AD37" s="221" t="str" cm="1">
        <f t="array" ref="AD37">_xlfn.IFS(LEFT('Monthly Update'!DV37, 3) = "*((", "", 'Monthly Update'!DV37="", "", TRUE, 'Monthly Update'!DV37)</f>
        <v/>
      </c>
      <c r="AE37" s="221" t="str" cm="1">
        <f t="array" ref="AE37">_xlfn.IFS(LEFT('Monthly Update'!DW37, 3) = "*((", "", 'Monthly Update'!DW37="", "", TRUE, 'Monthly Update'!DW37)</f>
        <v/>
      </c>
      <c r="AF37" s="221" t="str" cm="1">
        <f t="array" ref="AF37">_xlfn.IFS(LEFT('Monthly Update'!DX37, 3) = "*((", "", 'Monthly Update'!DX37="", "", TRUE, 'Monthly Update'!DX37)</f>
        <v/>
      </c>
      <c r="AG37" s="221" t="str" cm="1">
        <f t="array" ref="AG37">_xlfn.IFS(LEFT('Monthly Update'!DY37, 3) = "*((", "", 'Monthly Update'!DY37="", "", TRUE, 'Monthly Update'!DY37)</f>
        <v/>
      </c>
      <c r="AH37" s="221" t="str" cm="1">
        <f t="array" ref="AH37">_xlfn.IFS(LEFT('Monthly Update'!DZ37, 3) = "*((", "", 'Monthly Update'!DZ37="", "", TRUE, 'Monthly Update'!DZ37)</f>
        <v/>
      </c>
      <c r="AI37" s="221" t="str" cm="1">
        <f t="array" ref="AI37">_xlfn.IFS(LEFT('Monthly Update'!EA37, 3) = "*((", "", 'Monthly Update'!EA37="", "", TRUE, 'Monthly Update'!EA37)</f>
        <v/>
      </c>
      <c r="AJ37" s="221" t="str" cm="1">
        <f t="array" ref="AJ37">_xlfn.IFS(LEFT('Monthly Update'!EB37, 3) = "*((", "", 'Monthly Update'!EB37="", "", TRUE, 'Monthly Update'!EB37)</f>
        <v/>
      </c>
      <c r="AK37" s="221" t="str" cm="1">
        <f t="array" ref="AK37">_xlfn.IFS(LEFT('Monthly Update'!EC37, 3) = "*((", "", 'Monthly Update'!EC37="", "", TRUE, 'Monthly Update'!EC37)</f>
        <v/>
      </c>
      <c r="AL37" s="221" t="str" cm="1">
        <f t="array" ref="AL37">_xlfn.IFS(LEFT('Monthly Update'!ED37, 3) = "*((", "", 'Monthly Update'!ED37="", "", TRUE, 'Monthly Update'!ED37)</f>
        <v/>
      </c>
      <c r="AM37" s="221" t="str" cm="1">
        <f t="array" ref="AM37">_xlfn.IFS(LEFT('Monthly Update'!EE37, 3) = "*((", "", 'Monthly Update'!EE37="", "", TRUE, 'Monthly Update'!EE37)</f>
        <v/>
      </c>
      <c r="AN37" s="221" t="str" cm="1">
        <f t="array" ref="AN37">_xlfn.IFS(LEFT('Monthly Update'!EF37, 3) = "*((", "", 'Monthly Update'!EF37="", "", TRUE, 'Monthly Update'!EF37)</f>
        <v/>
      </c>
      <c r="AO37" s="221" t="str" cm="1">
        <f t="array" ref="AO37">_xlfn.IFS(LEFT('Monthly Update'!EG37, 3) = "*((", "", 'Monthly Update'!EG37="", "", TRUE, 'Monthly Update'!EG37)</f>
        <v/>
      </c>
      <c r="AP37" s="221" t="str" cm="1">
        <f t="array" ref="AP37">_xlfn.IFS(LEFT('Monthly Update'!EH37, 3) = "*((", "", 'Monthly Update'!EH37="", "", TRUE, 'Monthly Update'!EH37)</f>
        <v/>
      </c>
      <c r="AQ37" s="221" t="str" cm="1">
        <f t="array" ref="AQ37">_xlfn.IFS(LEFT('Monthly Update'!EI37, 3) = "*((", "", 'Monthly Update'!EI37="", "", TRUE, 'Monthly Update'!EI37)</f>
        <v/>
      </c>
      <c r="AR37" s="221" t="str" cm="1">
        <f t="array" ref="AR37">_xlfn.IFS(LEFT('Monthly Update'!EJ37, 3) = "*((", "", 'Monthly Update'!EJ37="", "", TRUE, 'Monthly Update'!EJ37)</f>
        <v/>
      </c>
      <c r="AS37" s="221" t="str" cm="1">
        <f t="array" ref="AS37">_xlfn.IFS(LEFT('Monthly Update'!EK37, 3) = "*((", "", 'Monthly Update'!EK37="", "", TRUE, 'Monthly Update'!EK37)</f>
        <v/>
      </c>
      <c r="AT37" s="221" t="str" cm="1">
        <f t="array" ref="AT37">_xlfn.IFS(LEFT('Monthly Update'!EL37, 3) = "*((", "", 'Monthly Update'!EL37="", "", TRUE, 'Monthly Update'!EL37)</f>
        <v/>
      </c>
      <c r="AU37" s="221" t="str" cm="1">
        <f t="array" ref="AU37">_xlfn.IFS(LEFT('Monthly Update'!EM37, 3) = "*((", "", 'Monthly Update'!EM37="", "", TRUE, 'Monthly Update'!EM37)</f>
        <v/>
      </c>
      <c r="AV37" s="221" t="str" cm="1">
        <f t="array" ref="AV37">_xlfn.IFS(LEFT('Monthly Update'!EN37, 3) = "*((", "", 'Monthly Update'!EN37="", "", TRUE, 'Monthly Update'!EN37)</f>
        <v/>
      </c>
      <c r="AW37" s="221" t="str" cm="1">
        <f t="array" ref="AW37">_xlfn.IFS(LEFT('Monthly Update'!EO37, 3) = "*((", "", 'Monthly Update'!EO37="", "", TRUE, 'Monthly Update'!EO37)</f>
        <v/>
      </c>
      <c r="NU37" s="252"/>
      <c r="NV37" s="252"/>
      <c r="NW37" s="252"/>
      <c r="NX37" s="252"/>
      <c r="NY37" s="252"/>
      <c r="NZ37" s="252"/>
      <c r="OA37" s="252"/>
      <c r="OB37" s="252"/>
      <c r="OC37" s="252"/>
      <c r="OD37" s="252"/>
      <c r="OE37" s="252"/>
      <c r="OF37" s="252"/>
      <c r="OG37" s="252"/>
      <c r="OH37" s="252"/>
      <c r="OI37" s="252"/>
      <c r="OJ37" s="252"/>
      <c r="OK37" s="252"/>
      <c r="OL37" s="252"/>
      <c r="OM37" s="252"/>
      <c r="ON37" s="252"/>
      <c r="OO37" s="252"/>
      <c r="OP37" s="252"/>
      <c r="OQ37" s="252"/>
      <c r="OR37" s="252"/>
      <c r="OS37" s="252"/>
      <c r="OT37" s="252"/>
      <c r="OU37" s="252"/>
      <c r="OV37" s="252"/>
      <c r="OW37" s="252"/>
      <c r="OX37" s="252"/>
      <c r="OY37" s="252"/>
      <c r="OZ37" s="252"/>
      <c r="PA37" s="252"/>
      <c r="PB37" s="252"/>
      <c r="PC37" s="252"/>
      <c r="PD37" s="252"/>
      <c r="PE37" s="252"/>
      <c r="PF37" s="252"/>
      <c r="PG37" s="252"/>
      <c r="PH37" s="252"/>
      <c r="PI37" s="252"/>
      <c r="PJ37" s="252"/>
      <c r="PK37" s="252"/>
      <c r="PL37" s="252"/>
      <c r="PM37" s="252"/>
      <c r="PN37" s="252"/>
      <c r="PO37" s="252"/>
      <c r="PP37" s="252"/>
      <c r="PQ37" s="252"/>
      <c r="PR37" s="252"/>
      <c r="PS37" s="252"/>
      <c r="PT37" s="252"/>
      <c r="PU37" s="252"/>
      <c r="PV37" s="252"/>
      <c r="PW37" s="252"/>
      <c r="PX37" s="252"/>
      <c r="PY37" s="252"/>
      <c r="PZ37" s="252"/>
      <c r="QA37" s="252"/>
      <c r="QB37" s="252"/>
      <c r="QC37" s="252"/>
      <c r="QD37" s="252"/>
      <c r="QE37" s="252"/>
      <c r="QF37" s="252"/>
      <c r="QG37" s="252"/>
      <c r="QH37" s="252"/>
      <c r="QI37" s="252"/>
      <c r="QJ37" s="252"/>
      <c r="QK37" s="252"/>
      <c r="QL37" s="252"/>
      <c r="QM37" s="252"/>
      <c r="QN37" s="252"/>
      <c r="QO37" s="252"/>
      <c r="QP37" s="252"/>
      <c r="QQ37" s="252"/>
      <c r="QR37" s="252"/>
      <c r="QS37" s="252"/>
      <c r="QT37" s="252"/>
      <c r="QU37" s="252"/>
      <c r="QV37" s="252"/>
      <c r="QW37" s="252"/>
      <c r="QX37" s="252"/>
      <c r="QY37" s="252"/>
      <c r="QZ37" s="252"/>
      <c r="RA37" s="252"/>
      <c r="RB37" s="252"/>
      <c r="RC37" s="252"/>
      <c r="RD37" s="252"/>
      <c r="RE37" s="252"/>
      <c r="RF37" s="252"/>
      <c r="RG37" s="252"/>
      <c r="RH37" s="252"/>
      <c r="RI37" s="252"/>
      <c r="RJ37" s="252"/>
      <c r="RK37" s="252"/>
      <c r="RL37" s="252"/>
      <c r="RM37" s="252"/>
      <c r="RN37" s="252"/>
      <c r="RO37" s="252"/>
      <c r="RP37" s="252"/>
      <c r="RQ37" s="252"/>
      <c r="RR37" s="252"/>
      <c r="RS37" s="252"/>
      <c r="RT37" s="252"/>
      <c r="RU37" s="252"/>
      <c r="RV37" s="252"/>
      <c r="RW37" s="252"/>
      <c r="RX37" s="252"/>
      <c r="RY37" s="252"/>
      <c r="RZ37" s="252"/>
      <c r="SA37" s="252"/>
      <c r="SB37" s="252"/>
      <c r="SC37" s="252"/>
      <c r="SD37" s="252"/>
      <c r="SE37" s="252"/>
      <c r="SF37" s="252"/>
      <c r="SG37" s="252"/>
      <c r="SH37" s="252"/>
      <c r="SI37" s="252"/>
      <c r="SJ37" s="252"/>
      <c r="SK37" s="252"/>
      <c r="SL37" s="252"/>
      <c r="SM37" s="252"/>
      <c r="SN37" s="252"/>
    </row>
    <row r="38" spans="1:508" s="243" customFormat="1" ht="15.6" customHeight="1" x14ac:dyDescent="0.55000000000000004">
      <c r="A38" s="220" t="str" cm="1">
        <f t="array" ref="A38">_xlfn.IFS(LEFT('Monthly Update'!A38, 3) = "*((", "", 'Monthly Update'!A38="", "", TRUE, 'Monthly Update'!A38)</f>
        <v/>
      </c>
      <c r="B38" s="220" t="str" cm="1">
        <f t="array" ref="B38">_xlfn.IFS(LEFT('Monthly Update'!B38, 3) = "*((", "", 'Monthly Update'!B38="", "", TRUE, 'Monthly Update'!B38)</f>
        <v/>
      </c>
      <c r="C38" s="221" t="str" cm="1">
        <f t="array" ref="C38">_xlfn.IFS(LEFT('Monthly Update'!CU38, 3) = "*((", "", 'Monthly Update'!CU38="", "", TRUE, 'Monthly Update'!CU38)</f>
        <v/>
      </c>
      <c r="D38" s="221" t="str" cm="1">
        <f t="array" ref="D38">_xlfn.IFS(LEFT('Monthly Update'!CV38, 3) = "*((", "", 'Monthly Update'!CV38="", "", TRUE, 'Monthly Update'!CV38)</f>
        <v/>
      </c>
      <c r="E38" s="221" t="str" cm="1">
        <f t="array" ref="E38">_xlfn.IFS(LEFT('Monthly Update'!CW38, 3) = "*((", "", 'Monthly Update'!CW38="", "", TRUE, 'Monthly Update'!CW38)</f>
        <v/>
      </c>
      <c r="F38" s="221" t="str" cm="1">
        <f t="array" ref="F38">_xlfn.IFS(LEFT('Monthly Update'!CX38, 3) = "*((", "", 'Monthly Update'!CX38="", "", TRUE, 'Monthly Update'!CX38)</f>
        <v/>
      </c>
      <c r="G38" s="221" t="str" cm="1">
        <f t="array" ref="G38">_xlfn.IFS(LEFT('Monthly Update'!CY38, 3) = "*((", "", 'Monthly Update'!CY38="", "", TRUE, 'Monthly Update'!CY38)</f>
        <v/>
      </c>
      <c r="H38" s="221" t="str" cm="1">
        <f t="array" ref="H38">_xlfn.IFS(LEFT('Monthly Update'!CZ38, 3) = "*((", "", 'Monthly Update'!CZ38="", "", TRUE, 'Monthly Update'!CZ38)</f>
        <v/>
      </c>
      <c r="I38" s="221" t="str" cm="1">
        <f t="array" ref="I38">_xlfn.IFS(LEFT('Monthly Update'!DA38, 3) = "*((", "", 'Monthly Update'!DA38="", "", TRUE, 'Monthly Update'!DA38)</f>
        <v/>
      </c>
      <c r="J38" s="221" t="str" cm="1">
        <f t="array" ref="J38">_xlfn.IFS(LEFT('Monthly Update'!DB38, 3) = "*((", "", 'Monthly Update'!DB38="", "", TRUE, 'Monthly Update'!DB38)</f>
        <v/>
      </c>
      <c r="K38" s="221" t="str" cm="1">
        <f t="array" ref="K38">_xlfn.IFS(LEFT('Monthly Update'!DC38, 3) = "*((", "", 'Monthly Update'!DC38="", "", TRUE, 'Monthly Update'!DC38)</f>
        <v/>
      </c>
      <c r="L38" s="221" t="str" cm="1">
        <f t="array" ref="L38">_xlfn.IFS(LEFT('Monthly Update'!DD38, 3) = "*((", "", 'Monthly Update'!DD38="", "", TRUE, 'Monthly Update'!DD38)</f>
        <v/>
      </c>
      <c r="M38" s="221" t="str" cm="1">
        <f t="array" ref="M38">_xlfn.IFS(LEFT('Monthly Update'!DE38, 3) = "*((", "", 'Monthly Update'!DE38="", "", TRUE, 'Monthly Update'!DE38)</f>
        <v/>
      </c>
      <c r="N38" s="221" t="str" cm="1">
        <f t="array" ref="N38">_xlfn.IFS(LEFT('Monthly Update'!DF38, 3) = "*((", "", 'Monthly Update'!DF38="", "", TRUE, 'Monthly Update'!DF38)</f>
        <v/>
      </c>
      <c r="O38" s="221" t="str" cm="1">
        <f t="array" ref="O38">_xlfn.IFS(LEFT('Monthly Update'!DG38, 3) = "*((", "", 'Monthly Update'!DG38="", "", TRUE, 'Monthly Update'!DG38)</f>
        <v/>
      </c>
      <c r="P38" s="221" t="str" cm="1">
        <f t="array" ref="P38">_xlfn.IFS(LEFT('Monthly Update'!DH38, 3) = "*((", "", 'Monthly Update'!DH38="", "", TRUE, 'Monthly Update'!DH38)</f>
        <v/>
      </c>
      <c r="Q38" s="221" t="str" cm="1">
        <f t="array" ref="Q38">_xlfn.IFS(LEFT('Monthly Update'!DI38, 3) = "*((", "", 'Monthly Update'!DI38="", "", TRUE, 'Monthly Update'!DI38)</f>
        <v/>
      </c>
      <c r="R38" s="221" t="str" cm="1">
        <f t="array" ref="R38">_xlfn.IFS(LEFT('Monthly Update'!DJ38, 3) = "*((", "", 'Monthly Update'!DJ38="", "", TRUE, 'Monthly Update'!DJ38)</f>
        <v/>
      </c>
      <c r="S38" s="221" t="str" cm="1">
        <f t="array" ref="S38">_xlfn.IFS(LEFT('Monthly Update'!DK38, 3) = "*((", "", 'Monthly Update'!DK38="", "", TRUE, 'Monthly Update'!DK38)</f>
        <v/>
      </c>
      <c r="T38" s="221" t="str" cm="1">
        <f t="array" ref="T38">_xlfn.IFS(LEFT('Monthly Update'!DL38, 3) = "*((", "", 'Monthly Update'!DL38="", "", TRUE, 'Monthly Update'!DL38)</f>
        <v/>
      </c>
      <c r="U38" s="221" t="str" cm="1">
        <f t="array" ref="U38">_xlfn.IFS(LEFT('Monthly Update'!DM38, 3) = "*((", "", 'Monthly Update'!DM38="", "", TRUE, 'Monthly Update'!DM38)</f>
        <v/>
      </c>
      <c r="V38" s="221" t="str" cm="1">
        <f t="array" ref="V38">_xlfn.IFS(LEFT('Monthly Update'!DN38, 3) = "*((", "", 'Monthly Update'!DN38="", "", TRUE, 'Monthly Update'!DN38)</f>
        <v/>
      </c>
      <c r="W38" s="221" t="str" cm="1">
        <f t="array" ref="W38">_xlfn.IFS(LEFT('Monthly Update'!DO38, 3) = "*((", "", 'Monthly Update'!DO38="", "", TRUE, 'Monthly Update'!DO38)</f>
        <v/>
      </c>
      <c r="X38" s="221" t="str" cm="1">
        <f t="array" ref="X38">_xlfn.IFS(LEFT('Monthly Update'!DP38, 3) = "*((", "", 'Monthly Update'!DP38="", "", TRUE, 'Monthly Update'!DP38)</f>
        <v/>
      </c>
      <c r="Y38" s="221" t="str" cm="1">
        <f t="array" ref="Y38">_xlfn.IFS(LEFT('Monthly Update'!DQ38, 3) = "*((", "", 'Monthly Update'!DQ38="", "", TRUE, 'Monthly Update'!DQ38)</f>
        <v/>
      </c>
      <c r="Z38" s="221" t="str" cm="1">
        <f t="array" ref="Z38">_xlfn.IFS(LEFT('Monthly Update'!DR38, 3) = "*((", "", 'Monthly Update'!DR38="", "", TRUE, 'Monthly Update'!DR38)</f>
        <v/>
      </c>
      <c r="AA38" s="221" t="str" cm="1">
        <f t="array" ref="AA38">_xlfn.IFS(LEFT('Monthly Update'!DS38, 3) = "*((", "", 'Monthly Update'!DS38="", "", TRUE, 'Monthly Update'!DS38)</f>
        <v/>
      </c>
      <c r="AB38" s="221" t="str" cm="1">
        <f t="array" ref="AB38">_xlfn.IFS(LEFT('Monthly Update'!DT38, 3) = "*((", "", 'Monthly Update'!DT38="", "", TRUE, 'Monthly Update'!DT38)</f>
        <v/>
      </c>
      <c r="AC38" s="221" t="str" cm="1">
        <f t="array" ref="AC38">_xlfn.IFS(LEFT('Monthly Update'!DU38, 3) = "*((", "", 'Monthly Update'!DU38="", "", TRUE, 'Monthly Update'!DU38)</f>
        <v/>
      </c>
      <c r="AD38" s="221" t="str" cm="1">
        <f t="array" ref="AD38">_xlfn.IFS(LEFT('Monthly Update'!DV38, 3) = "*((", "", 'Monthly Update'!DV38="", "", TRUE, 'Monthly Update'!DV38)</f>
        <v/>
      </c>
      <c r="AE38" s="221" t="str" cm="1">
        <f t="array" ref="AE38">_xlfn.IFS(LEFT('Monthly Update'!DW38, 3) = "*((", "", 'Monthly Update'!DW38="", "", TRUE, 'Monthly Update'!DW38)</f>
        <v/>
      </c>
      <c r="AF38" s="221" t="str" cm="1">
        <f t="array" ref="AF38">_xlfn.IFS(LEFT('Monthly Update'!DX38, 3) = "*((", "", 'Monthly Update'!DX38="", "", TRUE, 'Monthly Update'!DX38)</f>
        <v/>
      </c>
      <c r="AG38" s="221" t="str" cm="1">
        <f t="array" ref="AG38">_xlfn.IFS(LEFT('Monthly Update'!DY38, 3) = "*((", "", 'Monthly Update'!DY38="", "", TRUE, 'Monthly Update'!DY38)</f>
        <v/>
      </c>
      <c r="AH38" s="221" t="str" cm="1">
        <f t="array" ref="AH38">_xlfn.IFS(LEFT('Monthly Update'!DZ38, 3) = "*((", "", 'Monthly Update'!DZ38="", "", TRUE, 'Monthly Update'!DZ38)</f>
        <v/>
      </c>
      <c r="AI38" s="221" t="str" cm="1">
        <f t="array" ref="AI38">_xlfn.IFS(LEFT('Monthly Update'!EA38, 3) = "*((", "", 'Monthly Update'!EA38="", "", TRUE, 'Monthly Update'!EA38)</f>
        <v/>
      </c>
      <c r="AJ38" s="221" t="str" cm="1">
        <f t="array" ref="AJ38">_xlfn.IFS(LEFT('Monthly Update'!EB38, 3) = "*((", "", 'Monthly Update'!EB38="", "", TRUE, 'Monthly Update'!EB38)</f>
        <v/>
      </c>
      <c r="AK38" s="221" t="str" cm="1">
        <f t="array" ref="AK38">_xlfn.IFS(LEFT('Monthly Update'!EC38, 3) = "*((", "", 'Monthly Update'!EC38="", "", TRUE, 'Monthly Update'!EC38)</f>
        <v/>
      </c>
      <c r="AL38" s="221" t="str" cm="1">
        <f t="array" ref="AL38">_xlfn.IFS(LEFT('Monthly Update'!ED38, 3) = "*((", "", 'Monthly Update'!ED38="", "", TRUE, 'Monthly Update'!ED38)</f>
        <v/>
      </c>
      <c r="AM38" s="221" t="str" cm="1">
        <f t="array" ref="AM38">_xlfn.IFS(LEFT('Monthly Update'!EE38, 3) = "*((", "", 'Monthly Update'!EE38="", "", TRUE, 'Monthly Update'!EE38)</f>
        <v/>
      </c>
      <c r="AN38" s="221" t="str" cm="1">
        <f t="array" ref="AN38">_xlfn.IFS(LEFT('Monthly Update'!EF38, 3) = "*((", "", 'Monthly Update'!EF38="", "", TRUE, 'Monthly Update'!EF38)</f>
        <v/>
      </c>
      <c r="AO38" s="221" t="str" cm="1">
        <f t="array" ref="AO38">_xlfn.IFS(LEFT('Monthly Update'!EG38, 3) = "*((", "", 'Monthly Update'!EG38="", "", TRUE, 'Monthly Update'!EG38)</f>
        <v/>
      </c>
      <c r="AP38" s="221" t="str" cm="1">
        <f t="array" ref="AP38">_xlfn.IFS(LEFT('Monthly Update'!EH38, 3) = "*((", "", 'Monthly Update'!EH38="", "", TRUE, 'Monthly Update'!EH38)</f>
        <v/>
      </c>
      <c r="AQ38" s="221" t="str" cm="1">
        <f t="array" ref="AQ38">_xlfn.IFS(LEFT('Monthly Update'!EI38, 3) = "*((", "", 'Monthly Update'!EI38="", "", TRUE, 'Monthly Update'!EI38)</f>
        <v/>
      </c>
      <c r="AR38" s="221" t="str" cm="1">
        <f t="array" ref="AR38">_xlfn.IFS(LEFT('Monthly Update'!EJ38, 3) = "*((", "", 'Monthly Update'!EJ38="", "", TRUE, 'Monthly Update'!EJ38)</f>
        <v/>
      </c>
      <c r="AS38" s="221" t="str" cm="1">
        <f t="array" ref="AS38">_xlfn.IFS(LEFT('Monthly Update'!EK38, 3) = "*((", "", 'Monthly Update'!EK38="", "", TRUE, 'Monthly Update'!EK38)</f>
        <v/>
      </c>
      <c r="AT38" s="221" t="str" cm="1">
        <f t="array" ref="AT38">_xlfn.IFS(LEFT('Monthly Update'!EL38, 3) = "*((", "", 'Monthly Update'!EL38="", "", TRUE, 'Monthly Update'!EL38)</f>
        <v/>
      </c>
      <c r="AU38" s="221" t="str" cm="1">
        <f t="array" ref="AU38">_xlfn.IFS(LEFT('Monthly Update'!EM38, 3) = "*((", "", 'Monthly Update'!EM38="", "", TRUE, 'Monthly Update'!EM38)</f>
        <v/>
      </c>
      <c r="AV38" s="221" t="str" cm="1">
        <f t="array" ref="AV38">_xlfn.IFS(LEFT('Monthly Update'!EN38, 3) = "*((", "", 'Monthly Update'!EN38="", "", TRUE, 'Monthly Update'!EN38)</f>
        <v/>
      </c>
      <c r="AW38" s="221" t="str" cm="1">
        <f t="array" ref="AW38">_xlfn.IFS(LEFT('Monthly Update'!EO38, 3) = "*((", "", 'Monthly Update'!EO38="", "", TRUE, 'Monthly Update'!EO38)</f>
        <v/>
      </c>
      <c r="NU38" s="252"/>
      <c r="NV38" s="252"/>
      <c r="NW38" s="252"/>
      <c r="NX38" s="252"/>
      <c r="NY38" s="252"/>
      <c r="NZ38" s="252"/>
      <c r="OA38" s="252"/>
      <c r="OB38" s="252"/>
      <c r="OC38" s="252"/>
      <c r="OD38" s="252"/>
      <c r="OE38" s="252"/>
      <c r="OF38" s="252"/>
      <c r="OG38" s="252"/>
      <c r="OH38" s="252"/>
      <c r="OI38" s="252"/>
      <c r="OJ38" s="252"/>
      <c r="OK38" s="252"/>
      <c r="OL38" s="252"/>
      <c r="OM38" s="252"/>
      <c r="ON38" s="252"/>
      <c r="OO38" s="252"/>
      <c r="OP38" s="252"/>
      <c r="OQ38" s="252"/>
      <c r="OR38" s="252"/>
      <c r="OS38" s="252"/>
      <c r="OT38" s="252"/>
      <c r="OU38" s="252"/>
      <c r="OV38" s="252"/>
      <c r="OW38" s="252"/>
      <c r="OX38" s="252"/>
      <c r="OY38" s="252"/>
      <c r="OZ38" s="252"/>
      <c r="PA38" s="252"/>
      <c r="PB38" s="252"/>
      <c r="PC38" s="252"/>
      <c r="PD38" s="252"/>
      <c r="PE38" s="252"/>
      <c r="PF38" s="252"/>
      <c r="PG38" s="252"/>
      <c r="PH38" s="252"/>
      <c r="PI38" s="252"/>
      <c r="PJ38" s="252"/>
      <c r="PK38" s="252"/>
      <c r="PL38" s="252"/>
      <c r="PM38" s="252"/>
      <c r="PN38" s="252"/>
      <c r="PO38" s="252"/>
      <c r="PP38" s="252"/>
      <c r="PQ38" s="252"/>
      <c r="PR38" s="252"/>
      <c r="PS38" s="252"/>
      <c r="PT38" s="252"/>
      <c r="PU38" s="252"/>
      <c r="PV38" s="252"/>
      <c r="PW38" s="252"/>
      <c r="PX38" s="252"/>
      <c r="PY38" s="252"/>
      <c r="PZ38" s="252"/>
      <c r="QA38" s="252"/>
      <c r="QB38" s="252"/>
      <c r="QC38" s="252"/>
      <c r="QD38" s="252"/>
      <c r="QE38" s="252"/>
      <c r="QF38" s="252"/>
      <c r="QG38" s="252"/>
      <c r="QH38" s="252"/>
      <c r="QI38" s="252"/>
      <c r="QJ38" s="252"/>
      <c r="QK38" s="252"/>
      <c r="QL38" s="252"/>
      <c r="QM38" s="252"/>
      <c r="QN38" s="252"/>
      <c r="QO38" s="252"/>
      <c r="QP38" s="252"/>
      <c r="QQ38" s="252"/>
      <c r="QR38" s="252"/>
      <c r="QS38" s="252"/>
      <c r="QT38" s="252"/>
      <c r="QU38" s="252"/>
      <c r="QV38" s="252"/>
      <c r="QW38" s="252"/>
      <c r="QX38" s="252"/>
      <c r="QY38" s="252"/>
      <c r="QZ38" s="252"/>
      <c r="RA38" s="252"/>
      <c r="RB38" s="252"/>
      <c r="RC38" s="252"/>
      <c r="RD38" s="252"/>
      <c r="RE38" s="252"/>
      <c r="RF38" s="252"/>
      <c r="RG38" s="252"/>
      <c r="RH38" s="252"/>
      <c r="RI38" s="252"/>
      <c r="RJ38" s="252"/>
      <c r="RK38" s="252"/>
      <c r="RL38" s="252"/>
      <c r="RM38" s="252"/>
      <c r="RN38" s="252"/>
      <c r="RO38" s="252"/>
      <c r="RP38" s="252"/>
      <c r="RQ38" s="252"/>
      <c r="RR38" s="252"/>
      <c r="RS38" s="252"/>
      <c r="RT38" s="252"/>
      <c r="RU38" s="252"/>
      <c r="RV38" s="252"/>
      <c r="RW38" s="252"/>
      <c r="RX38" s="252"/>
      <c r="RY38" s="252"/>
      <c r="RZ38" s="252"/>
      <c r="SA38" s="252"/>
      <c r="SB38" s="252"/>
      <c r="SC38" s="252"/>
      <c r="SD38" s="252"/>
      <c r="SE38" s="252"/>
      <c r="SF38" s="252"/>
      <c r="SG38" s="252"/>
      <c r="SH38" s="252"/>
      <c r="SI38" s="252"/>
      <c r="SJ38" s="252"/>
      <c r="SK38" s="252"/>
      <c r="SL38" s="252"/>
      <c r="SM38" s="252"/>
      <c r="SN38" s="252"/>
    </row>
    <row r="39" spans="1:508" s="243" customFormat="1" ht="15.6" customHeight="1" x14ac:dyDescent="0.55000000000000004">
      <c r="A39" s="220" t="str" cm="1">
        <f t="array" ref="A39">_xlfn.IFS(LEFT('Monthly Update'!A39, 3) = "*((", "", 'Monthly Update'!A39="", "", TRUE, 'Monthly Update'!A39)</f>
        <v/>
      </c>
      <c r="B39" s="220" t="str" cm="1">
        <f t="array" ref="B39">_xlfn.IFS(LEFT('Monthly Update'!B39, 3) = "*((", "", 'Monthly Update'!B39="", "", TRUE, 'Monthly Update'!B39)</f>
        <v/>
      </c>
      <c r="C39" s="221" t="str" cm="1">
        <f t="array" ref="C39">_xlfn.IFS(LEFT('Monthly Update'!CU39, 3) = "*((", "", 'Monthly Update'!CU39="", "", TRUE, 'Monthly Update'!CU39)</f>
        <v/>
      </c>
      <c r="D39" s="221" t="str" cm="1">
        <f t="array" ref="D39">_xlfn.IFS(LEFT('Monthly Update'!CV39, 3) = "*((", "", 'Monthly Update'!CV39="", "", TRUE, 'Monthly Update'!CV39)</f>
        <v/>
      </c>
      <c r="E39" s="221" t="str" cm="1">
        <f t="array" ref="E39">_xlfn.IFS(LEFT('Monthly Update'!CW39, 3) = "*((", "", 'Monthly Update'!CW39="", "", TRUE, 'Monthly Update'!CW39)</f>
        <v/>
      </c>
      <c r="F39" s="221" t="str" cm="1">
        <f t="array" ref="F39">_xlfn.IFS(LEFT('Monthly Update'!CX39, 3) = "*((", "", 'Monthly Update'!CX39="", "", TRUE, 'Monthly Update'!CX39)</f>
        <v/>
      </c>
      <c r="G39" s="221" t="str" cm="1">
        <f t="array" ref="G39">_xlfn.IFS(LEFT('Monthly Update'!CY39, 3) = "*((", "", 'Monthly Update'!CY39="", "", TRUE, 'Monthly Update'!CY39)</f>
        <v/>
      </c>
      <c r="H39" s="221" t="str" cm="1">
        <f t="array" ref="H39">_xlfn.IFS(LEFT('Monthly Update'!CZ39, 3) = "*((", "", 'Monthly Update'!CZ39="", "", TRUE, 'Monthly Update'!CZ39)</f>
        <v/>
      </c>
      <c r="I39" s="221" t="str" cm="1">
        <f t="array" ref="I39">_xlfn.IFS(LEFT('Monthly Update'!DA39, 3) = "*((", "", 'Monthly Update'!DA39="", "", TRUE, 'Monthly Update'!DA39)</f>
        <v/>
      </c>
      <c r="J39" s="221" t="str" cm="1">
        <f t="array" ref="J39">_xlfn.IFS(LEFT('Monthly Update'!DB39, 3) = "*((", "", 'Monthly Update'!DB39="", "", TRUE, 'Monthly Update'!DB39)</f>
        <v/>
      </c>
      <c r="K39" s="221" t="str" cm="1">
        <f t="array" ref="K39">_xlfn.IFS(LEFT('Monthly Update'!DC39, 3) = "*((", "", 'Monthly Update'!DC39="", "", TRUE, 'Monthly Update'!DC39)</f>
        <v/>
      </c>
      <c r="L39" s="221" t="str" cm="1">
        <f t="array" ref="L39">_xlfn.IFS(LEFT('Monthly Update'!DD39, 3) = "*((", "", 'Monthly Update'!DD39="", "", TRUE, 'Monthly Update'!DD39)</f>
        <v/>
      </c>
      <c r="M39" s="221" t="str" cm="1">
        <f t="array" ref="M39">_xlfn.IFS(LEFT('Monthly Update'!DE39, 3) = "*((", "", 'Monthly Update'!DE39="", "", TRUE, 'Monthly Update'!DE39)</f>
        <v/>
      </c>
      <c r="N39" s="221" t="str" cm="1">
        <f t="array" ref="N39">_xlfn.IFS(LEFT('Monthly Update'!DF39, 3) = "*((", "", 'Monthly Update'!DF39="", "", TRUE, 'Monthly Update'!DF39)</f>
        <v/>
      </c>
      <c r="O39" s="221" t="str" cm="1">
        <f t="array" ref="O39">_xlfn.IFS(LEFT('Monthly Update'!DG39, 3) = "*((", "", 'Monthly Update'!DG39="", "", TRUE, 'Monthly Update'!DG39)</f>
        <v/>
      </c>
      <c r="P39" s="221" t="str" cm="1">
        <f t="array" ref="P39">_xlfn.IFS(LEFT('Monthly Update'!DH39, 3) = "*((", "", 'Monthly Update'!DH39="", "", TRUE, 'Monthly Update'!DH39)</f>
        <v/>
      </c>
      <c r="Q39" s="221" t="str" cm="1">
        <f t="array" ref="Q39">_xlfn.IFS(LEFT('Monthly Update'!DI39, 3) = "*((", "", 'Monthly Update'!DI39="", "", TRUE, 'Monthly Update'!DI39)</f>
        <v/>
      </c>
      <c r="R39" s="221" t="str" cm="1">
        <f t="array" ref="R39">_xlfn.IFS(LEFT('Monthly Update'!DJ39, 3) = "*((", "", 'Monthly Update'!DJ39="", "", TRUE, 'Monthly Update'!DJ39)</f>
        <v/>
      </c>
      <c r="S39" s="221" t="str" cm="1">
        <f t="array" ref="S39">_xlfn.IFS(LEFT('Monthly Update'!DK39, 3) = "*((", "", 'Monthly Update'!DK39="", "", TRUE, 'Monthly Update'!DK39)</f>
        <v/>
      </c>
      <c r="T39" s="221" t="str" cm="1">
        <f t="array" ref="T39">_xlfn.IFS(LEFT('Monthly Update'!DL39, 3) = "*((", "", 'Monthly Update'!DL39="", "", TRUE, 'Monthly Update'!DL39)</f>
        <v/>
      </c>
      <c r="U39" s="221" t="str" cm="1">
        <f t="array" ref="U39">_xlfn.IFS(LEFT('Monthly Update'!DM39, 3) = "*((", "", 'Monthly Update'!DM39="", "", TRUE, 'Monthly Update'!DM39)</f>
        <v/>
      </c>
      <c r="V39" s="221" t="str" cm="1">
        <f t="array" ref="V39">_xlfn.IFS(LEFT('Monthly Update'!DN39, 3) = "*((", "", 'Monthly Update'!DN39="", "", TRUE, 'Monthly Update'!DN39)</f>
        <v/>
      </c>
      <c r="W39" s="221" t="str" cm="1">
        <f t="array" ref="W39">_xlfn.IFS(LEFT('Monthly Update'!DO39, 3) = "*((", "", 'Monthly Update'!DO39="", "", TRUE, 'Monthly Update'!DO39)</f>
        <v/>
      </c>
      <c r="X39" s="221" t="str" cm="1">
        <f t="array" ref="X39">_xlfn.IFS(LEFT('Monthly Update'!DP39, 3) = "*((", "", 'Monthly Update'!DP39="", "", TRUE, 'Monthly Update'!DP39)</f>
        <v/>
      </c>
      <c r="Y39" s="221" t="str" cm="1">
        <f t="array" ref="Y39">_xlfn.IFS(LEFT('Monthly Update'!DQ39, 3) = "*((", "", 'Monthly Update'!DQ39="", "", TRUE, 'Monthly Update'!DQ39)</f>
        <v/>
      </c>
      <c r="Z39" s="221" t="str" cm="1">
        <f t="array" ref="Z39">_xlfn.IFS(LEFT('Monthly Update'!DR39, 3) = "*((", "", 'Monthly Update'!DR39="", "", TRUE, 'Monthly Update'!DR39)</f>
        <v/>
      </c>
      <c r="AA39" s="221" t="str" cm="1">
        <f t="array" ref="AA39">_xlfn.IFS(LEFT('Monthly Update'!DS39, 3) = "*((", "", 'Monthly Update'!DS39="", "", TRUE, 'Monthly Update'!DS39)</f>
        <v/>
      </c>
      <c r="AB39" s="221" t="str" cm="1">
        <f t="array" ref="AB39">_xlfn.IFS(LEFT('Monthly Update'!DT39, 3) = "*((", "", 'Monthly Update'!DT39="", "", TRUE, 'Monthly Update'!DT39)</f>
        <v/>
      </c>
      <c r="AC39" s="221" t="str" cm="1">
        <f t="array" ref="AC39">_xlfn.IFS(LEFT('Monthly Update'!DU39, 3) = "*((", "", 'Monthly Update'!DU39="", "", TRUE, 'Monthly Update'!DU39)</f>
        <v/>
      </c>
      <c r="AD39" s="221" t="str" cm="1">
        <f t="array" ref="AD39">_xlfn.IFS(LEFT('Monthly Update'!DV39, 3) = "*((", "", 'Monthly Update'!DV39="", "", TRUE, 'Monthly Update'!DV39)</f>
        <v/>
      </c>
      <c r="AE39" s="221" t="str" cm="1">
        <f t="array" ref="AE39">_xlfn.IFS(LEFT('Monthly Update'!DW39, 3) = "*((", "", 'Monthly Update'!DW39="", "", TRUE, 'Monthly Update'!DW39)</f>
        <v/>
      </c>
      <c r="AF39" s="221" t="str" cm="1">
        <f t="array" ref="AF39">_xlfn.IFS(LEFT('Monthly Update'!DX39, 3) = "*((", "", 'Monthly Update'!DX39="", "", TRUE, 'Monthly Update'!DX39)</f>
        <v/>
      </c>
      <c r="AG39" s="221" t="str" cm="1">
        <f t="array" ref="AG39">_xlfn.IFS(LEFT('Monthly Update'!DY39, 3) = "*((", "", 'Monthly Update'!DY39="", "", TRUE, 'Monthly Update'!DY39)</f>
        <v/>
      </c>
      <c r="AH39" s="221" t="str" cm="1">
        <f t="array" ref="AH39">_xlfn.IFS(LEFT('Monthly Update'!DZ39, 3) = "*((", "", 'Monthly Update'!DZ39="", "", TRUE, 'Monthly Update'!DZ39)</f>
        <v/>
      </c>
      <c r="AI39" s="221" t="str" cm="1">
        <f t="array" ref="AI39">_xlfn.IFS(LEFT('Monthly Update'!EA39, 3) = "*((", "", 'Monthly Update'!EA39="", "", TRUE, 'Monthly Update'!EA39)</f>
        <v/>
      </c>
      <c r="AJ39" s="221" t="str" cm="1">
        <f t="array" ref="AJ39">_xlfn.IFS(LEFT('Monthly Update'!EB39, 3) = "*((", "", 'Monthly Update'!EB39="", "", TRUE, 'Monthly Update'!EB39)</f>
        <v/>
      </c>
      <c r="AK39" s="221" t="str" cm="1">
        <f t="array" ref="AK39">_xlfn.IFS(LEFT('Monthly Update'!EC39, 3) = "*((", "", 'Monthly Update'!EC39="", "", TRUE, 'Monthly Update'!EC39)</f>
        <v/>
      </c>
      <c r="AL39" s="221" t="str" cm="1">
        <f t="array" ref="AL39">_xlfn.IFS(LEFT('Monthly Update'!ED39, 3) = "*((", "", 'Monthly Update'!ED39="", "", TRUE, 'Monthly Update'!ED39)</f>
        <v/>
      </c>
      <c r="AM39" s="221" t="str" cm="1">
        <f t="array" ref="AM39">_xlfn.IFS(LEFT('Monthly Update'!EE39, 3) = "*((", "", 'Monthly Update'!EE39="", "", TRUE, 'Monthly Update'!EE39)</f>
        <v/>
      </c>
      <c r="AN39" s="221" t="str" cm="1">
        <f t="array" ref="AN39">_xlfn.IFS(LEFT('Monthly Update'!EF39, 3) = "*((", "", 'Monthly Update'!EF39="", "", TRUE, 'Monthly Update'!EF39)</f>
        <v/>
      </c>
      <c r="AO39" s="221" t="str" cm="1">
        <f t="array" ref="AO39">_xlfn.IFS(LEFT('Monthly Update'!EG39, 3) = "*((", "", 'Monthly Update'!EG39="", "", TRUE, 'Monthly Update'!EG39)</f>
        <v/>
      </c>
      <c r="AP39" s="221" t="str" cm="1">
        <f t="array" ref="AP39">_xlfn.IFS(LEFT('Monthly Update'!EH39, 3) = "*((", "", 'Monthly Update'!EH39="", "", TRUE, 'Monthly Update'!EH39)</f>
        <v/>
      </c>
      <c r="AQ39" s="221" t="str" cm="1">
        <f t="array" ref="AQ39">_xlfn.IFS(LEFT('Monthly Update'!EI39, 3) = "*((", "", 'Monthly Update'!EI39="", "", TRUE, 'Monthly Update'!EI39)</f>
        <v/>
      </c>
      <c r="AR39" s="221" t="str" cm="1">
        <f t="array" ref="AR39">_xlfn.IFS(LEFT('Monthly Update'!EJ39, 3) = "*((", "", 'Monthly Update'!EJ39="", "", TRUE, 'Monthly Update'!EJ39)</f>
        <v/>
      </c>
      <c r="AS39" s="221" t="str" cm="1">
        <f t="array" ref="AS39">_xlfn.IFS(LEFT('Monthly Update'!EK39, 3) = "*((", "", 'Monthly Update'!EK39="", "", TRUE, 'Monthly Update'!EK39)</f>
        <v/>
      </c>
      <c r="AT39" s="221" t="str" cm="1">
        <f t="array" ref="AT39">_xlfn.IFS(LEFT('Monthly Update'!EL39, 3) = "*((", "", 'Monthly Update'!EL39="", "", TRUE, 'Monthly Update'!EL39)</f>
        <v/>
      </c>
      <c r="AU39" s="221" t="str" cm="1">
        <f t="array" ref="AU39">_xlfn.IFS(LEFT('Monthly Update'!EM39, 3) = "*((", "", 'Monthly Update'!EM39="", "", TRUE, 'Monthly Update'!EM39)</f>
        <v/>
      </c>
      <c r="AV39" s="221" t="str" cm="1">
        <f t="array" ref="AV39">_xlfn.IFS(LEFT('Monthly Update'!EN39, 3) = "*((", "", 'Monthly Update'!EN39="", "", TRUE, 'Monthly Update'!EN39)</f>
        <v/>
      </c>
      <c r="AW39" s="221" t="str" cm="1">
        <f t="array" ref="AW39">_xlfn.IFS(LEFT('Monthly Update'!EO39, 3) = "*((", "", 'Monthly Update'!EO39="", "", TRUE, 'Monthly Update'!EO39)</f>
        <v/>
      </c>
      <c r="NU39" s="252"/>
      <c r="NV39" s="252"/>
      <c r="NW39" s="252"/>
      <c r="NX39" s="252"/>
      <c r="NY39" s="252"/>
      <c r="NZ39" s="252"/>
      <c r="OA39" s="252"/>
      <c r="OB39" s="252"/>
      <c r="OC39" s="252"/>
      <c r="OD39" s="252"/>
      <c r="OE39" s="252"/>
      <c r="OF39" s="252"/>
      <c r="OG39" s="252"/>
      <c r="OH39" s="252"/>
      <c r="OI39" s="252"/>
      <c r="OJ39" s="252"/>
      <c r="OK39" s="252"/>
      <c r="OL39" s="252"/>
      <c r="OM39" s="252"/>
      <c r="ON39" s="252"/>
      <c r="OO39" s="252"/>
      <c r="OP39" s="252"/>
      <c r="OQ39" s="252"/>
      <c r="OR39" s="252"/>
      <c r="OS39" s="252"/>
      <c r="OT39" s="252"/>
      <c r="OU39" s="252"/>
      <c r="OV39" s="252"/>
      <c r="OW39" s="252"/>
      <c r="OX39" s="252"/>
      <c r="OY39" s="252"/>
      <c r="OZ39" s="252"/>
      <c r="PA39" s="252"/>
      <c r="PB39" s="252"/>
      <c r="PC39" s="252"/>
      <c r="PD39" s="252"/>
      <c r="PE39" s="252"/>
      <c r="PF39" s="252"/>
      <c r="PG39" s="252"/>
      <c r="PH39" s="252"/>
      <c r="PI39" s="252"/>
      <c r="PJ39" s="252"/>
      <c r="PK39" s="252"/>
      <c r="PL39" s="252"/>
      <c r="PM39" s="252"/>
      <c r="PN39" s="252"/>
      <c r="PO39" s="252"/>
      <c r="PP39" s="252"/>
      <c r="PQ39" s="252"/>
      <c r="PR39" s="252"/>
      <c r="PS39" s="252"/>
      <c r="PT39" s="252"/>
      <c r="PU39" s="252"/>
      <c r="PV39" s="252"/>
      <c r="PW39" s="252"/>
      <c r="PX39" s="252"/>
      <c r="PY39" s="252"/>
      <c r="PZ39" s="252"/>
      <c r="QA39" s="252"/>
      <c r="QB39" s="252"/>
      <c r="QC39" s="252"/>
      <c r="QD39" s="252"/>
      <c r="QE39" s="252"/>
      <c r="QF39" s="252"/>
      <c r="QG39" s="252"/>
      <c r="QH39" s="252"/>
      <c r="QI39" s="252"/>
      <c r="QJ39" s="252"/>
      <c r="QK39" s="252"/>
      <c r="QL39" s="252"/>
      <c r="QM39" s="252"/>
      <c r="QN39" s="252"/>
      <c r="QO39" s="252"/>
      <c r="QP39" s="252"/>
      <c r="QQ39" s="252"/>
      <c r="QR39" s="252"/>
      <c r="QS39" s="252"/>
      <c r="QT39" s="252"/>
      <c r="QU39" s="252"/>
      <c r="QV39" s="252"/>
      <c r="QW39" s="252"/>
      <c r="QX39" s="252"/>
      <c r="QY39" s="252"/>
      <c r="QZ39" s="252"/>
      <c r="RA39" s="252"/>
      <c r="RB39" s="252"/>
      <c r="RC39" s="252"/>
      <c r="RD39" s="252"/>
      <c r="RE39" s="252"/>
      <c r="RF39" s="252"/>
      <c r="RG39" s="252"/>
      <c r="RH39" s="252"/>
      <c r="RI39" s="252"/>
      <c r="RJ39" s="252"/>
      <c r="RK39" s="252"/>
      <c r="RL39" s="252"/>
      <c r="RM39" s="252"/>
      <c r="RN39" s="252"/>
      <c r="RO39" s="252"/>
      <c r="RP39" s="252"/>
      <c r="RQ39" s="252"/>
      <c r="RR39" s="252"/>
      <c r="RS39" s="252"/>
      <c r="RT39" s="252"/>
      <c r="RU39" s="252"/>
      <c r="RV39" s="252"/>
      <c r="RW39" s="252"/>
      <c r="RX39" s="252"/>
      <c r="RY39" s="252"/>
      <c r="RZ39" s="252"/>
      <c r="SA39" s="252"/>
      <c r="SB39" s="252"/>
      <c r="SC39" s="252"/>
      <c r="SD39" s="252"/>
      <c r="SE39" s="252"/>
      <c r="SF39" s="252"/>
      <c r="SG39" s="252"/>
      <c r="SH39" s="252"/>
      <c r="SI39" s="252"/>
      <c r="SJ39" s="252"/>
      <c r="SK39" s="252"/>
      <c r="SL39" s="252"/>
      <c r="SM39" s="252"/>
      <c r="SN39" s="252"/>
    </row>
    <row r="40" spans="1:508" s="243" customFormat="1" ht="14.4" x14ac:dyDescent="0.55000000000000004">
      <c r="A40" s="220" t="str" cm="1">
        <f t="array" ref="A40">_xlfn.IFS(LEFT('Monthly Update'!A40, 3) = "*((", "", 'Monthly Update'!A40="", "", TRUE, 'Monthly Update'!A40)</f>
        <v/>
      </c>
      <c r="B40" s="220" t="str" cm="1">
        <f t="array" ref="B40">_xlfn.IFS(LEFT('Monthly Update'!B40, 3) = "*((", "", 'Monthly Update'!B40="", "", TRUE, 'Monthly Update'!B40)</f>
        <v/>
      </c>
      <c r="C40" s="221" t="str" cm="1">
        <f t="array" ref="C40">_xlfn.IFS(LEFT('Monthly Update'!CU40, 3) = "*((", "", 'Monthly Update'!CU40="", "", TRUE, 'Monthly Update'!CU40)</f>
        <v/>
      </c>
      <c r="D40" s="221" t="str" cm="1">
        <f t="array" ref="D40">_xlfn.IFS(LEFT('Monthly Update'!CV40, 3) = "*((", "", 'Monthly Update'!CV40="", "", TRUE, 'Monthly Update'!CV40)</f>
        <v/>
      </c>
      <c r="E40" s="221" t="str" cm="1">
        <f t="array" ref="E40">_xlfn.IFS(LEFT('Monthly Update'!CW40, 3) = "*((", "", 'Monthly Update'!CW40="", "", TRUE, 'Monthly Update'!CW40)</f>
        <v/>
      </c>
      <c r="F40" s="221" t="str" cm="1">
        <f t="array" ref="F40">_xlfn.IFS(LEFT('Monthly Update'!CX40, 3) = "*((", "", 'Monthly Update'!CX40="", "", TRUE, 'Monthly Update'!CX40)</f>
        <v/>
      </c>
      <c r="G40" s="221" t="str" cm="1">
        <f t="array" ref="G40">_xlfn.IFS(LEFT('Monthly Update'!CY40, 3) = "*((", "", 'Monthly Update'!CY40="", "", TRUE, 'Monthly Update'!CY40)</f>
        <v/>
      </c>
      <c r="H40" s="221" t="str" cm="1">
        <f t="array" ref="H40">_xlfn.IFS(LEFT('Monthly Update'!CZ40, 3) = "*((", "", 'Monthly Update'!CZ40="", "", TRUE, 'Monthly Update'!CZ40)</f>
        <v/>
      </c>
      <c r="I40" s="221" t="str" cm="1">
        <f t="array" ref="I40">_xlfn.IFS(LEFT('Monthly Update'!DA40, 3) = "*((", "", 'Monthly Update'!DA40="", "", TRUE, 'Monthly Update'!DA40)</f>
        <v/>
      </c>
      <c r="J40" s="221" t="str" cm="1">
        <f t="array" ref="J40">_xlfn.IFS(LEFT('Monthly Update'!DB40, 3) = "*((", "", 'Monthly Update'!DB40="", "", TRUE, 'Monthly Update'!DB40)</f>
        <v/>
      </c>
      <c r="K40" s="221" t="str" cm="1">
        <f t="array" ref="K40">_xlfn.IFS(LEFT('Monthly Update'!DC40, 3) = "*((", "", 'Monthly Update'!DC40="", "", TRUE, 'Monthly Update'!DC40)</f>
        <v/>
      </c>
      <c r="L40" s="221" t="str" cm="1">
        <f t="array" ref="L40">_xlfn.IFS(LEFT('Monthly Update'!DD40, 3) = "*((", "", 'Monthly Update'!DD40="", "", TRUE, 'Monthly Update'!DD40)</f>
        <v/>
      </c>
      <c r="M40" s="221" t="str" cm="1">
        <f t="array" ref="M40">_xlfn.IFS(LEFT('Monthly Update'!DE40, 3) = "*((", "", 'Monthly Update'!DE40="", "", TRUE, 'Monthly Update'!DE40)</f>
        <v/>
      </c>
      <c r="N40" s="221" t="str" cm="1">
        <f t="array" ref="N40">_xlfn.IFS(LEFT('Monthly Update'!DF40, 3) = "*((", "", 'Monthly Update'!DF40="", "", TRUE, 'Monthly Update'!DF40)</f>
        <v/>
      </c>
      <c r="O40" s="221" t="str" cm="1">
        <f t="array" ref="O40">_xlfn.IFS(LEFT('Monthly Update'!DG40, 3) = "*((", "", 'Monthly Update'!DG40="", "", TRUE, 'Monthly Update'!DG40)</f>
        <v/>
      </c>
      <c r="P40" s="221" t="str" cm="1">
        <f t="array" ref="P40">_xlfn.IFS(LEFT('Monthly Update'!DH40, 3) = "*((", "", 'Monthly Update'!DH40="", "", TRUE, 'Monthly Update'!DH40)</f>
        <v/>
      </c>
      <c r="Q40" s="221" t="str" cm="1">
        <f t="array" ref="Q40">_xlfn.IFS(LEFT('Monthly Update'!DI40, 3) = "*((", "", 'Monthly Update'!DI40="", "", TRUE, 'Monthly Update'!DI40)</f>
        <v/>
      </c>
      <c r="R40" s="221" t="str" cm="1">
        <f t="array" ref="R40">_xlfn.IFS(LEFT('Monthly Update'!DJ40, 3) = "*((", "", 'Monthly Update'!DJ40="", "", TRUE, 'Monthly Update'!DJ40)</f>
        <v/>
      </c>
      <c r="S40" s="221" t="str" cm="1">
        <f t="array" ref="S40">_xlfn.IFS(LEFT('Monthly Update'!DK40, 3) = "*((", "", 'Monthly Update'!DK40="", "", TRUE, 'Monthly Update'!DK40)</f>
        <v/>
      </c>
      <c r="T40" s="221" t="str" cm="1">
        <f t="array" ref="T40">_xlfn.IFS(LEFT('Monthly Update'!DL40, 3) = "*((", "", 'Monthly Update'!DL40="", "", TRUE, 'Monthly Update'!DL40)</f>
        <v/>
      </c>
      <c r="U40" s="221" t="str" cm="1">
        <f t="array" ref="U40">_xlfn.IFS(LEFT('Monthly Update'!DM40, 3) = "*((", "", 'Monthly Update'!DM40="", "", TRUE, 'Monthly Update'!DM40)</f>
        <v/>
      </c>
      <c r="V40" s="221" t="str" cm="1">
        <f t="array" ref="V40">_xlfn.IFS(LEFT('Monthly Update'!DN40, 3) = "*((", "", 'Monthly Update'!DN40="", "", TRUE, 'Monthly Update'!DN40)</f>
        <v/>
      </c>
      <c r="W40" s="221" t="str" cm="1">
        <f t="array" ref="W40">_xlfn.IFS(LEFT('Monthly Update'!DO40, 3) = "*((", "", 'Monthly Update'!DO40="", "", TRUE, 'Monthly Update'!DO40)</f>
        <v/>
      </c>
      <c r="X40" s="221" t="str" cm="1">
        <f t="array" ref="X40">_xlfn.IFS(LEFT('Monthly Update'!DP40, 3) = "*((", "", 'Monthly Update'!DP40="", "", TRUE, 'Monthly Update'!DP40)</f>
        <v/>
      </c>
      <c r="Y40" s="221" t="str" cm="1">
        <f t="array" ref="Y40">_xlfn.IFS(LEFT('Monthly Update'!DQ40, 3) = "*((", "", 'Monthly Update'!DQ40="", "", TRUE, 'Monthly Update'!DQ40)</f>
        <v/>
      </c>
      <c r="Z40" s="221" t="str" cm="1">
        <f t="array" ref="Z40">_xlfn.IFS(LEFT('Monthly Update'!DR40, 3) = "*((", "", 'Monthly Update'!DR40="", "", TRUE, 'Monthly Update'!DR40)</f>
        <v/>
      </c>
      <c r="AA40" s="221" t="str" cm="1">
        <f t="array" ref="AA40">_xlfn.IFS(LEFT('Monthly Update'!DS40, 3) = "*((", "", 'Monthly Update'!DS40="", "", TRUE, 'Monthly Update'!DS40)</f>
        <v/>
      </c>
      <c r="AB40" s="221" t="str" cm="1">
        <f t="array" ref="AB40">_xlfn.IFS(LEFT('Monthly Update'!DT40, 3) = "*((", "", 'Monthly Update'!DT40="", "", TRUE, 'Monthly Update'!DT40)</f>
        <v/>
      </c>
      <c r="AC40" s="221" t="str" cm="1">
        <f t="array" ref="AC40">_xlfn.IFS(LEFT('Monthly Update'!DU40, 3) = "*((", "", 'Monthly Update'!DU40="", "", TRUE, 'Monthly Update'!DU40)</f>
        <v/>
      </c>
      <c r="AD40" s="221" t="str" cm="1">
        <f t="array" ref="AD40">_xlfn.IFS(LEFT('Monthly Update'!DV40, 3) = "*((", "", 'Monthly Update'!DV40="", "", TRUE, 'Monthly Update'!DV40)</f>
        <v/>
      </c>
      <c r="AE40" s="221" t="str" cm="1">
        <f t="array" ref="AE40">_xlfn.IFS(LEFT('Monthly Update'!DW40, 3) = "*((", "", 'Monthly Update'!DW40="", "", TRUE, 'Monthly Update'!DW40)</f>
        <v/>
      </c>
      <c r="AF40" s="221" t="str" cm="1">
        <f t="array" ref="AF40">_xlfn.IFS(LEFT('Monthly Update'!DX40, 3) = "*((", "", 'Monthly Update'!DX40="", "", TRUE, 'Monthly Update'!DX40)</f>
        <v/>
      </c>
      <c r="AG40" s="221" t="str" cm="1">
        <f t="array" ref="AG40">_xlfn.IFS(LEFT('Monthly Update'!DY40, 3) = "*((", "", 'Monthly Update'!DY40="", "", TRUE, 'Monthly Update'!DY40)</f>
        <v/>
      </c>
      <c r="AH40" s="221" t="str" cm="1">
        <f t="array" ref="AH40">_xlfn.IFS(LEFT('Monthly Update'!DZ40, 3) = "*((", "", 'Monthly Update'!DZ40="", "", TRUE, 'Monthly Update'!DZ40)</f>
        <v/>
      </c>
      <c r="AI40" s="221" t="str" cm="1">
        <f t="array" ref="AI40">_xlfn.IFS(LEFT('Monthly Update'!EA40, 3) = "*((", "", 'Monthly Update'!EA40="", "", TRUE, 'Monthly Update'!EA40)</f>
        <v/>
      </c>
      <c r="AJ40" s="221" t="str" cm="1">
        <f t="array" ref="AJ40">_xlfn.IFS(LEFT('Monthly Update'!EB40, 3) = "*((", "", 'Monthly Update'!EB40="", "", TRUE, 'Monthly Update'!EB40)</f>
        <v/>
      </c>
      <c r="AK40" s="221" t="str" cm="1">
        <f t="array" ref="AK40">_xlfn.IFS(LEFT('Monthly Update'!EC40, 3) = "*((", "", 'Monthly Update'!EC40="", "", TRUE, 'Monthly Update'!EC40)</f>
        <v/>
      </c>
      <c r="AL40" s="221" t="str" cm="1">
        <f t="array" ref="AL40">_xlfn.IFS(LEFT('Monthly Update'!ED40, 3) = "*((", "", 'Monthly Update'!ED40="", "", TRUE, 'Monthly Update'!ED40)</f>
        <v/>
      </c>
      <c r="AM40" s="221" t="str" cm="1">
        <f t="array" ref="AM40">_xlfn.IFS(LEFT('Monthly Update'!EE40, 3) = "*((", "", 'Monthly Update'!EE40="", "", TRUE, 'Monthly Update'!EE40)</f>
        <v/>
      </c>
      <c r="AN40" s="221" t="str" cm="1">
        <f t="array" ref="AN40">_xlfn.IFS(LEFT('Monthly Update'!EF40, 3) = "*((", "", 'Monthly Update'!EF40="", "", TRUE, 'Monthly Update'!EF40)</f>
        <v/>
      </c>
      <c r="AO40" s="221" t="str" cm="1">
        <f t="array" ref="AO40">_xlfn.IFS(LEFT('Monthly Update'!EG40, 3) = "*((", "", 'Monthly Update'!EG40="", "", TRUE, 'Monthly Update'!EG40)</f>
        <v/>
      </c>
      <c r="AP40" s="221" t="str" cm="1">
        <f t="array" ref="AP40">_xlfn.IFS(LEFT('Monthly Update'!EH40, 3) = "*((", "", 'Monthly Update'!EH40="", "", TRUE, 'Monthly Update'!EH40)</f>
        <v/>
      </c>
      <c r="AQ40" s="221" t="str" cm="1">
        <f t="array" ref="AQ40">_xlfn.IFS(LEFT('Monthly Update'!EI40, 3) = "*((", "", 'Monthly Update'!EI40="", "", TRUE, 'Monthly Update'!EI40)</f>
        <v/>
      </c>
      <c r="AR40" s="221" t="str" cm="1">
        <f t="array" ref="AR40">_xlfn.IFS(LEFT('Monthly Update'!EJ40, 3) = "*((", "", 'Monthly Update'!EJ40="", "", TRUE, 'Monthly Update'!EJ40)</f>
        <v/>
      </c>
      <c r="AS40" s="221" t="str" cm="1">
        <f t="array" ref="AS40">_xlfn.IFS(LEFT('Monthly Update'!EK40, 3) = "*((", "", 'Monthly Update'!EK40="", "", TRUE, 'Monthly Update'!EK40)</f>
        <v/>
      </c>
      <c r="AT40" s="221" t="str" cm="1">
        <f t="array" ref="AT40">_xlfn.IFS(LEFT('Monthly Update'!EL40, 3) = "*((", "", 'Monthly Update'!EL40="", "", TRUE, 'Monthly Update'!EL40)</f>
        <v/>
      </c>
      <c r="AU40" s="221" t="str" cm="1">
        <f t="array" ref="AU40">_xlfn.IFS(LEFT('Monthly Update'!EM40, 3) = "*((", "", 'Monthly Update'!EM40="", "", TRUE, 'Monthly Update'!EM40)</f>
        <v/>
      </c>
      <c r="AV40" s="221" t="str" cm="1">
        <f t="array" ref="AV40">_xlfn.IFS(LEFT('Monthly Update'!EN40, 3) = "*((", "", 'Monthly Update'!EN40="", "", TRUE, 'Monthly Update'!EN40)</f>
        <v/>
      </c>
      <c r="AW40" s="221" t="str" cm="1">
        <f t="array" ref="AW40">_xlfn.IFS(LEFT('Monthly Update'!EO40, 3) = "*((", "", 'Monthly Update'!EO40="", "", TRUE, 'Monthly Update'!EO40)</f>
        <v/>
      </c>
      <c r="NU40" s="252"/>
      <c r="NV40" s="252"/>
      <c r="NW40" s="252"/>
      <c r="NX40" s="252"/>
      <c r="NY40" s="252"/>
      <c r="NZ40" s="252"/>
      <c r="OA40" s="252"/>
      <c r="OB40" s="252"/>
      <c r="OC40" s="252"/>
      <c r="OD40" s="252"/>
      <c r="OE40" s="252"/>
      <c r="OF40" s="252"/>
      <c r="OG40" s="252"/>
      <c r="OH40" s="252"/>
      <c r="OI40" s="252"/>
      <c r="OJ40" s="252"/>
      <c r="OK40" s="252"/>
      <c r="OL40" s="252"/>
      <c r="OM40" s="252"/>
      <c r="ON40" s="252"/>
      <c r="OO40" s="252"/>
      <c r="OP40" s="252"/>
      <c r="OQ40" s="252"/>
      <c r="OR40" s="252"/>
      <c r="OS40" s="252"/>
      <c r="OT40" s="252"/>
      <c r="OU40" s="252"/>
      <c r="OV40" s="252"/>
      <c r="OW40" s="252"/>
      <c r="OX40" s="252"/>
      <c r="OY40" s="252"/>
      <c r="OZ40" s="252"/>
      <c r="PA40" s="252"/>
      <c r="PB40" s="252"/>
      <c r="PC40" s="252"/>
      <c r="PD40" s="252"/>
      <c r="PE40" s="252"/>
      <c r="PF40" s="252"/>
      <c r="PG40" s="252"/>
      <c r="PH40" s="252"/>
      <c r="PI40" s="252"/>
      <c r="PJ40" s="252"/>
      <c r="PK40" s="252"/>
      <c r="PL40" s="252"/>
      <c r="PM40" s="252"/>
      <c r="PN40" s="252"/>
      <c r="PO40" s="252"/>
      <c r="PP40" s="252"/>
      <c r="PQ40" s="252"/>
      <c r="PR40" s="252"/>
      <c r="PS40" s="252"/>
      <c r="PT40" s="252"/>
      <c r="PU40" s="252"/>
      <c r="PV40" s="252"/>
      <c r="PW40" s="252"/>
      <c r="PX40" s="252"/>
      <c r="PY40" s="252"/>
      <c r="PZ40" s="252"/>
      <c r="QA40" s="252"/>
      <c r="QB40" s="252"/>
      <c r="QC40" s="252"/>
      <c r="QD40" s="252"/>
      <c r="QE40" s="252"/>
      <c r="QF40" s="252"/>
      <c r="QG40" s="252"/>
      <c r="QH40" s="252"/>
      <c r="QI40" s="252"/>
      <c r="QJ40" s="252"/>
      <c r="QK40" s="252"/>
      <c r="QL40" s="252"/>
      <c r="QM40" s="252"/>
      <c r="QN40" s="252"/>
      <c r="QO40" s="252"/>
      <c r="QP40" s="252"/>
      <c r="QQ40" s="252"/>
      <c r="QR40" s="252"/>
      <c r="QS40" s="252"/>
      <c r="QT40" s="252"/>
      <c r="QU40" s="252"/>
      <c r="QV40" s="252"/>
      <c r="QW40" s="252"/>
      <c r="QX40" s="252"/>
      <c r="QY40" s="252"/>
      <c r="QZ40" s="252"/>
      <c r="RA40" s="252"/>
      <c r="RB40" s="252"/>
      <c r="RC40" s="252"/>
      <c r="RD40" s="252"/>
      <c r="RE40" s="252"/>
      <c r="RF40" s="252"/>
      <c r="RG40" s="252"/>
      <c r="RH40" s="252"/>
      <c r="RI40" s="252"/>
      <c r="RJ40" s="252"/>
      <c r="RK40" s="252"/>
      <c r="RL40" s="252"/>
      <c r="RM40" s="252"/>
      <c r="RN40" s="252"/>
      <c r="RO40" s="252"/>
      <c r="RP40" s="252"/>
      <c r="RQ40" s="252"/>
      <c r="RR40" s="252"/>
      <c r="RS40" s="252"/>
      <c r="RT40" s="252"/>
      <c r="RU40" s="252"/>
      <c r="RV40" s="252"/>
      <c r="RW40" s="252"/>
      <c r="RX40" s="252"/>
      <c r="RY40" s="252"/>
      <c r="RZ40" s="252"/>
      <c r="SA40" s="252"/>
      <c r="SB40" s="252"/>
      <c r="SC40" s="252"/>
      <c r="SD40" s="252"/>
      <c r="SE40" s="252"/>
      <c r="SF40" s="252"/>
      <c r="SG40" s="252"/>
      <c r="SH40" s="252"/>
      <c r="SI40" s="252"/>
      <c r="SJ40" s="252"/>
      <c r="SK40" s="252"/>
      <c r="SL40" s="252"/>
      <c r="SM40" s="252"/>
      <c r="SN40" s="252"/>
    </row>
    <row r="41" spans="1:508" s="243" customFormat="1" ht="15.6" customHeight="1" x14ac:dyDescent="0.55000000000000004">
      <c r="A41" s="220" t="str" cm="1">
        <f t="array" ref="A41">_xlfn.IFS(LEFT('Monthly Update'!A41, 3) = "*((", "", 'Monthly Update'!A41="", "", TRUE, 'Monthly Update'!A41)</f>
        <v/>
      </c>
      <c r="B41" s="220" t="str" cm="1">
        <f t="array" ref="B41">_xlfn.IFS(LEFT('Monthly Update'!B41, 3) = "*((", "", 'Monthly Update'!B41="", "", TRUE, 'Monthly Update'!B41)</f>
        <v/>
      </c>
      <c r="C41" s="221" t="str" cm="1">
        <f t="array" ref="C41">_xlfn.IFS(LEFT('Monthly Update'!CU41, 3) = "*((", "", 'Monthly Update'!CU41="", "", TRUE, 'Monthly Update'!CU41)</f>
        <v/>
      </c>
      <c r="D41" s="221" t="str" cm="1">
        <f t="array" ref="D41">_xlfn.IFS(LEFT('Monthly Update'!CV41, 3) = "*((", "", 'Monthly Update'!CV41="", "", TRUE, 'Monthly Update'!CV41)</f>
        <v/>
      </c>
      <c r="E41" s="221" t="str" cm="1">
        <f t="array" ref="E41">_xlfn.IFS(LEFT('Monthly Update'!CW41, 3) = "*((", "", 'Monthly Update'!CW41="", "", TRUE, 'Monthly Update'!CW41)</f>
        <v/>
      </c>
      <c r="F41" s="221" t="str" cm="1">
        <f t="array" ref="F41">_xlfn.IFS(LEFT('Monthly Update'!CX41, 3) = "*((", "", 'Monthly Update'!CX41="", "", TRUE, 'Monthly Update'!CX41)</f>
        <v/>
      </c>
      <c r="G41" s="221" t="str" cm="1">
        <f t="array" ref="G41">_xlfn.IFS(LEFT('Monthly Update'!CY41, 3) = "*((", "", 'Monthly Update'!CY41="", "", TRUE, 'Monthly Update'!CY41)</f>
        <v/>
      </c>
      <c r="H41" s="221" t="str" cm="1">
        <f t="array" ref="H41">_xlfn.IFS(LEFT('Monthly Update'!CZ41, 3) = "*((", "", 'Monthly Update'!CZ41="", "", TRUE, 'Monthly Update'!CZ41)</f>
        <v/>
      </c>
      <c r="I41" s="221" t="str" cm="1">
        <f t="array" ref="I41">_xlfn.IFS(LEFT('Monthly Update'!DA41, 3) = "*((", "", 'Monthly Update'!DA41="", "", TRUE, 'Monthly Update'!DA41)</f>
        <v/>
      </c>
      <c r="J41" s="221" t="str" cm="1">
        <f t="array" ref="J41">_xlfn.IFS(LEFT('Monthly Update'!DB41, 3) = "*((", "", 'Monthly Update'!DB41="", "", TRUE, 'Monthly Update'!DB41)</f>
        <v/>
      </c>
      <c r="K41" s="221" t="str" cm="1">
        <f t="array" ref="K41">_xlfn.IFS(LEFT('Monthly Update'!DC41, 3) = "*((", "", 'Monthly Update'!DC41="", "", TRUE, 'Monthly Update'!DC41)</f>
        <v/>
      </c>
      <c r="L41" s="221" t="str" cm="1">
        <f t="array" ref="L41">_xlfn.IFS(LEFT('Monthly Update'!DD41, 3) = "*((", "", 'Monthly Update'!DD41="", "", TRUE, 'Monthly Update'!DD41)</f>
        <v/>
      </c>
      <c r="M41" s="221" t="str" cm="1">
        <f t="array" ref="M41">_xlfn.IFS(LEFT('Monthly Update'!DE41, 3) = "*((", "", 'Monthly Update'!DE41="", "", TRUE, 'Monthly Update'!DE41)</f>
        <v/>
      </c>
      <c r="N41" s="221" t="str" cm="1">
        <f t="array" ref="N41">_xlfn.IFS(LEFT('Monthly Update'!DF41, 3) = "*((", "", 'Monthly Update'!DF41="", "", TRUE, 'Monthly Update'!DF41)</f>
        <v/>
      </c>
      <c r="O41" s="221" t="str" cm="1">
        <f t="array" ref="O41">_xlfn.IFS(LEFT('Monthly Update'!DG41, 3) = "*((", "", 'Monthly Update'!DG41="", "", TRUE, 'Monthly Update'!DG41)</f>
        <v/>
      </c>
      <c r="P41" s="221" t="str" cm="1">
        <f t="array" ref="P41">_xlfn.IFS(LEFT('Monthly Update'!DH41, 3) = "*((", "", 'Monthly Update'!DH41="", "", TRUE, 'Monthly Update'!DH41)</f>
        <v/>
      </c>
      <c r="Q41" s="221" t="str" cm="1">
        <f t="array" ref="Q41">_xlfn.IFS(LEFT('Monthly Update'!DI41, 3) = "*((", "", 'Monthly Update'!DI41="", "", TRUE, 'Monthly Update'!DI41)</f>
        <v/>
      </c>
      <c r="R41" s="221" t="str" cm="1">
        <f t="array" ref="R41">_xlfn.IFS(LEFT('Monthly Update'!DJ41, 3) = "*((", "", 'Monthly Update'!DJ41="", "", TRUE, 'Monthly Update'!DJ41)</f>
        <v/>
      </c>
      <c r="S41" s="221" t="str" cm="1">
        <f t="array" ref="S41">_xlfn.IFS(LEFT('Monthly Update'!DK41, 3) = "*((", "", 'Monthly Update'!DK41="", "", TRUE, 'Monthly Update'!DK41)</f>
        <v/>
      </c>
      <c r="T41" s="221" t="str" cm="1">
        <f t="array" ref="T41">_xlfn.IFS(LEFT('Monthly Update'!DL41, 3) = "*((", "", 'Monthly Update'!DL41="", "", TRUE, 'Monthly Update'!DL41)</f>
        <v/>
      </c>
      <c r="U41" s="221" t="str" cm="1">
        <f t="array" ref="U41">_xlfn.IFS(LEFT('Monthly Update'!DM41, 3) = "*((", "", 'Monthly Update'!DM41="", "", TRUE, 'Monthly Update'!DM41)</f>
        <v/>
      </c>
      <c r="V41" s="221" t="str" cm="1">
        <f t="array" ref="V41">_xlfn.IFS(LEFT('Monthly Update'!DN41, 3) = "*((", "", 'Monthly Update'!DN41="", "", TRUE, 'Monthly Update'!DN41)</f>
        <v/>
      </c>
      <c r="W41" s="221" t="str" cm="1">
        <f t="array" ref="W41">_xlfn.IFS(LEFT('Monthly Update'!DO41, 3) = "*((", "", 'Monthly Update'!DO41="", "", TRUE, 'Monthly Update'!DO41)</f>
        <v/>
      </c>
      <c r="X41" s="221" t="str" cm="1">
        <f t="array" ref="X41">_xlfn.IFS(LEFT('Monthly Update'!DP41, 3) = "*((", "", 'Monthly Update'!DP41="", "", TRUE, 'Monthly Update'!DP41)</f>
        <v/>
      </c>
      <c r="Y41" s="221" t="str" cm="1">
        <f t="array" ref="Y41">_xlfn.IFS(LEFT('Monthly Update'!DQ41, 3) = "*((", "", 'Monthly Update'!DQ41="", "", TRUE, 'Monthly Update'!DQ41)</f>
        <v/>
      </c>
      <c r="Z41" s="221" t="str" cm="1">
        <f t="array" ref="Z41">_xlfn.IFS(LEFT('Monthly Update'!DR41, 3) = "*((", "", 'Monthly Update'!DR41="", "", TRUE, 'Monthly Update'!DR41)</f>
        <v/>
      </c>
      <c r="AA41" s="221" t="str" cm="1">
        <f t="array" ref="AA41">_xlfn.IFS(LEFT('Monthly Update'!DS41, 3) = "*((", "", 'Monthly Update'!DS41="", "", TRUE, 'Monthly Update'!DS41)</f>
        <v/>
      </c>
      <c r="AB41" s="221" t="str" cm="1">
        <f t="array" ref="AB41">_xlfn.IFS(LEFT('Monthly Update'!DT41, 3) = "*((", "", 'Monthly Update'!DT41="", "", TRUE, 'Monthly Update'!DT41)</f>
        <v/>
      </c>
      <c r="AC41" s="221" t="str" cm="1">
        <f t="array" ref="AC41">_xlfn.IFS(LEFT('Monthly Update'!DU41, 3) = "*((", "", 'Monthly Update'!DU41="", "", TRUE, 'Monthly Update'!DU41)</f>
        <v/>
      </c>
      <c r="AD41" s="221" t="str" cm="1">
        <f t="array" ref="AD41">_xlfn.IFS(LEFT('Monthly Update'!DV41, 3) = "*((", "", 'Monthly Update'!DV41="", "", TRUE, 'Monthly Update'!DV41)</f>
        <v/>
      </c>
      <c r="AE41" s="221" t="str" cm="1">
        <f t="array" ref="AE41">_xlfn.IFS(LEFT('Monthly Update'!DW41, 3) = "*((", "", 'Monthly Update'!DW41="", "", TRUE, 'Monthly Update'!DW41)</f>
        <v/>
      </c>
      <c r="AF41" s="221" t="str" cm="1">
        <f t="array" ref="AF41">_xlfn.IFS(LEFT('Monthly Update'!DX41, 3) = "*((", "", 'Monthly Update'!DX41="", "", TRUE, 'Monthly Update'!DX41)</f>
        <v/>
      </c>
      <c r="AG41" s="221" t="str" cm="1">
        <f t="array" ref="AG41">_xlfn.IFS(LEFT('Monthly Update'!DY41, 3) = "*((", "", 'Monthly Update'!DY41="", "", TRUE, 'Monthly Update'!DY41)</f>
        <v/>
      </c>
      <c r="AH41" s="221" t="str" cm="1">
        <f t="array" ref="AH41">_xlfn.IFS(LEFT('Monthly Update'!DZ41, 3) = "*((", "", 'Monthly Update'!DZ41="", "", TRUE, 'Monthly Update'!DZ41)</f>
        <v/>
      </c>
      <c r="AI41" s="221" t="str" cm="1">
        <f t="array" ref="AI41">_xlfn.IFS(LEFT('Monthly Update'!EA41, 3) = "*((", "", 'Monthly Update'!EA41="", "", TRUE, 'Monthly Update'!EA41)</f>
        <v/>
      </c>
      <c r="AJ41" s="221" t="str" cm="1">
        <f t="array" ref="AJ41">_xlfn.IFS(LEFT('Monthly Update'!EB41, 3) = "*((", "", 'Monthly Update'!EB41="", "", TRUE, 'Monthly Update'!EB41)</f>
        <v/>
      </c>
      <c r="AK41" s="221" t="str" cm="1">
        <f t="array" ref="AK41">_xlfn.IFS(LEFT('Monthly Update'!EC41, 3) = "*((", "", 'Monthly Update'!EC41="", "", TRUE, 'Monthly Update'!EC41)</f>
        <v/>
      </c>
      <c r="AL41" s="221" t="str" cm="1">
        <f t="array" ref="AL41">_xlfn.IFS(LEFT('Monthly Update'!ED41, 3) = "*((", "", 'Monthly Update'!ED41="", "", TRUE, 'Monthly Update'!ED41)</f>
        <v/>
      </c>
      <c r="AM41" s="221" t="str" cm="1">
        <f t="array" ref="AM41">_xlfn.IFS(LEFT('Monthly Update'!EE41, 3) = "*((", "", 'Monthly Update'!EE41="", "", TRUE, 'Monthly Update'!EE41)</f>
        <v/>
      </c>
      <c r="AN41" s="221" t="str" cm="1">
        <f t="array" ref="AN41">_xlfn.IFS(LEFT('Monthly Update'!EF41, 3) = "*((", "", 'Monthly Update'!EF41="", "", TRUE, 'Monthly Update'!EF41)</f>
        <v/>
      </c>
      <c r="AO41" s="221" t="str" cm="1">
        <f t="array" ref="AO41">_xlfn.IFS(LEFT('Monthly Update'!EG41, 3) = "*((", "", 'Monthly Update'!EG41="", "", TRUE, 'Monthly Update'!EG41)</f>
        <v/>
      </c>
      <c r="AP41" s="221" t="str" cm="1">
        <f t="array" ref="AP41">_xlfn.IFS(LEFT('Monthly Update'!EH41, 3) = "*((", "", 'Monthly Update'!EH41="", "", TRUE, 'Monthly Update'!EH41)</f>
        <v/>
      </c>
      <c r="AQ41" s="221" t="str" cm="1">
        <f t="array" ref="AQ41">_xlfn.IFS(LEFT('Monthly Update'!EI41, 3) = "*((", "", 'Monthly Update'!EI41="", "", TRUE, 'Monthly Update'!EI41)</f>
        <v/>
      </c>
      <c r="AR41" s="221" t="str" cm="1">
        <f t="array" ref="AR41">_xlfn.IFS(LEFT('Monthly Update'!EJ41, 3) = "*((", "", 'Monthly Update'!EJ41="", "", TRUE, 'Monthly Update'!EJ41)</f>
        <v/>
      </c>
      <c r="AS41" s="221" t="str" cm="1">
        <f t="array" ref="AS41">_xlfn.IFS(LEFT('Monthly Update'!EK41, 3) = "*((", "", 'Monthly Update'!EK41="", "", TRUE, 'Monthly Update'!EK41)</f>
        <v/>
      </c>
      <c r="AT41" s="221" t="str" cm="1">
        <f t="array" ref="AT41">_xlfn.IFS(LEFT('Monthly Update'!EL41, 3) = "*((", "", 'Monthly Update'!EL41="", "", TRUE, 'Monthly Update'!EL41)</f>
        <v/>
      </c>
      <c r="AU41" s="221" t="str" cm="1">
        <f t="array" ref="AU41">_xlfn.IFS(LEFT('Monthly Update'!EM41, 3) = "*((", "", 'Monthly Update'!EM41="", "", TRUE, 'Monthly Update'!EM41)</f>
        <v/>
      </c>
      <c r="AV41" s="221" t="str" cm="1">
        <f t="array" ref="AV41">_xlfn.IFS(LEFT('Monthly Update'!EN41, 3) = "*((", "", 'Monthly Update'!EN41="", "", TRUE, 'Monthly Update'!EN41)</f>
        <v/>
      </c>
      <c r="AW41" s="221" t="str" cm="1">
        <f t="array" ref="AW41">_xlfn.IFS(LEFT('Monthly Update'!EO41, 3) = "*((", "", 'Monthly Update'!EO41="", "", TRUE, 'Monthly Update'!EO41)</f>
        <v/>
      </c>
      <c r="NU41" s="252"/>
      <c r="NV41" s="252"/>
      <c r="NW41" s="252"/>
      <c r="NX41" s="252"/>
      <c r="NY41" s="252"/>
      <c r="NZ41" s="252"/>
      <c r="OA41" s="252"/>
      <c r="OB41" s="252"/>
      <c r="OC41" s="252"/>
      <c r="OD41" s="252"/>
      <c r="OE41" s="252"/>
      <c r="OF41" s="252"/>
      <c r="OG41" s="252"/>
      <c r="OH41" s="252"/>
      <c r="OI41" s="252"/>
      <c r="OJ41" s="252"/>
      <c r="OK41" s="252"/>
      <c r="OL41" s="252"/>
      <c r="OM41" s="252"/>
      <c r="ON41" s="252"/>
      <c r="OO41" s="252"/>
      <c r="OP41" s="252"/>
      <c r="OQ41" s="252"/>
      <c r="OR41" s="252"/>
      <c r="OS41" s="252"/>
      <c r="OT41" s="252"/>
      <c r="OU41" s="252"/>
      <c r="OV41" s="252"/>
      <c r="OW41" s="252"/>
      <c r="OX41" s="252"/>
      <c r="OY41" s="252"/>
      <c r="OZ41" s="252"/>
      <c r="PA41" s="252"/>
      <c r="PB41" s="252"/>
      <c r="PC41" s="252"/>
      <c r="PD41" s="252"/>
      <c r="PE41" s="252"/>
      <c r="PF41" s="252"/>
      <c r="PG41" s="252"/>
      <c r="PH41" s="252"/>
      <c r="PI41" s="252"/>
      <c r="PJ41" s="252"/>
      <c r="PK41" s="252"/>
      <c r="PL41" s="252"/>
      <c r="PM41" s="252"/>
      <c r="PN41" s="252"/>
      <c r="PO41" s="252"/>
      <c r="PP41" s="252"/>
      <c r="PQ41" s="252"/>
      <c r="PR41" s="252"/>
      <c r="PS41" s="252"/>
      <c r="PT41" s="252"/>
      <c r="PU41" s="252"/>
      <c r="PV41" s="252"/>
      <c r="PW41" s="252"/>
      <c r="PX41" s="252"/>
      <c r="PY41" s="252"/>
      <c r="PZ41" s="252"/>
      <c r="QA41" s="252"/>
      <c r="QB41" s="252"/>
      <c r="QC41" s="252"/>
      <c r="QD41" s="252"/>
      <c r="QE41" s="252"/>
      <c r="QF41" s="252"/>
      <c r="QG41" s="252"/>
      <c r="QH41" s="252"/>
      <c r="QI41" s="252"/>
      <c r="QJ41" s="252"/>
      <c r="QK41" s="252"/>
      <c r="QL41" s="252"/>
      <c r="QM41" s="252"/>
      <c r="QN41" s="252"/>
      <c r="QO41" s="252"/>
      <c r="QP41" s="252"/>
      <c r="QQ41" s="252"/>
      <c r="QR41" s="252"/>
      <c r="QS41" s="252"/>
      <c r="QT41" s="252"/>
      <c r="QU41" s="252"/>
      <c r="QV41" s="252"/>
      <c r="QW41" s="252"/>
      <c r="QX41" s="252"/>
      <c r="QY41" s="252"/>
      <c r="QZ41" s="252"/>
      <c r="RA41" s="252"/>
      <c r="RB41" s="252"/>
      <c r="RC41" s="252"/>
      <c r="RD41" s="252"/>
      <c r="RE41" s="252"/>
      <c r="RF41" s="252"/>
      <c r="RG41" s="252"/>
      <c r="RH41" s="252"/>
      <c r="RI41" s="252"/>
      <c r="RJ41" s="252"/>
      <c r="RK41" s="252"/>
      <c r="RL41" s="252"/>
      <c r="RM41" s="252"/>
      <c r="RN41" s="252"/>
      <c r="RO41" s="252"/>
      <c r="RP41" s="252"/>
      <c r="RQ41" s="252"/>
      <c r="RR41" s="252"/>
      <c r="RS41" s="252"/>
      <c r="RT41" s="252"/>
      <c r="RU41" s="252"/>
      <c r="RV41" s="252"/>
      <c r="RW41" s="252"/>
      <c r="RX41" s="252"/>
      <c r="RY41" s="252"/>
      <c r="RZ41" s="252"/>
      <c r="SA41" s="252"/>
      <c r="SB41" s="252"/>
      <c r="SC41" s="252"/>
      <c r="SD41" s="252"/>
      <c r="SE41" s="252"/>
      <c r="SF41" s="252"/>
      <c r="SG41" s="252"/>
      <c r="SH41" s="252"/>
      <c r="SI41" s="252"/>
      <c r="SJ41" s="252"/>
      <c r="SK41" s="252"/>
      <c r="SL41" s="252"/>
      <c r="SM41" s="252"/>
      <c r="SN41" s="252"/>
    </row>
    <row r="42" spans="1:508" s="243" customFormat="1" ht="15.6" customHeight="1" x14ac:dyDescent="0.55000000000000004">
      <c r="A42" s="220" t="str" cm="1">
        <f t="array" ref="A42">_xlfn.IFS(LEFT('Monthly Update'!A42, 3) = "*((", "", 'Monthly Update'!A42="", "", TRUE, 'Monthly Update'!A42)</f>
        <v/>
      </c>
      <c r="B42" s="220" t="str" cm="1">
        <f t="array" ref="B42">_xlfn.IFS(LEFT('Monthly Update'!B42, 3) = "*((", "", 'Monthly Update'!B42="", "", TRUE, 'Monthly Update'!B42)</f>
        <v/>
      </c>
      <c r="C42" s="221" t="str" cm="1">
        <f t="array" ref="C42">_xlfn.IFS(LEFT('Monthly Update'!CU42, 3) = "*((", "", 'Monthly Update'!CU42="", "", TRUE, 'Monthly Update'!CU42)</f>
        <v/>
      </c>
      <c r="D42" s="221" t="str" cm="1">
        <f t="array" ref="D42">_xlfn.IFS(LEFT('Monthly Update'!CV42, 3) = "*((", "", 'Monthly Update'!CV42="", "", TRUE, 'Monthly Update'!CV42)</f>
        <v/>
      </c>
      <c r="E42" s="221" t="str" cm="1">
        <f t="array" ref="E42">_xlfn.IFS(LEFT('Monthly Update'!CW42, 3) = "*((", "", 'Monthly Update'!CW42="", "", TRUE, 'Monthly Update'!CW42)</f>
        <v/>
      </c>
      <c r="F42" s="221" t="str" cm="1">
        <f t="array" ref="F42">_xlfn.IFS(LEFT('Monthly Update'!CX42, 3) = "*((", "", 'Monthly Update'!CX42="", "", TRUE, 'Monthly Update'!CX42)</f>
        <v/>
      </c>
      <c r="G42" s="221" t="str" cm="1">
        <f t="array" ref="G42">_xlfn.IFS(LEFT('Monthly Update'!CY42, 3) = "*((", "", 'Monthly Update'!CY42="", "", TRUE, 'Monthly Update'!CY42)</f>
        <v/>
      </c>
      <c r="H42" s="221" t="str" cm="1">
        <f t="array" ref="H42">_xlfn.IFS(LEFT('Monthly Update'!CZ42, 3) = "*((", "", 'Monthly Update'!CZ42="", "", TRUE, 'Monthly Update'!CZ42)</f>
        <v/>
      </c>
      <c r="I42" s="221" t="str" cm="1">
        <f t="array" ref="I42">_xlfn.IFS(LEFT('Monthly Update'!DA42, 3) = "*((", "", 'Monthly Update'!DA42="", "", TRUE, 'Monthly Update'!DA42)</f>
        <v/>
      </c>
      <c r="J42" s="221" t="str" cm="1">
        <f t="array" ref="J42">_xlfn.IFS(LEFT('Monthly Update'!DB42, 3) = "*((", "", 'Monthly Update'!DB42="", "", TRUE, 'Monthly Update'!DB42)</f>
        <v/>
      </c>
      <c r="K42" s="221" t="str" cm="1">
        <f t="array" ref="K42">_xlfn.IFS(LEFT('Monthly Update'!DC42, 3) = "*((", "", 'Monthly Update'!DC42="", "", TRUE, 'Monthly Update'!DC42)</f>
        <v/>
      </c>
      <c r="L42" s="221" t="str" cm="1">
        <f t="array" ref="L42">_xlfn.IFS(LEFT('Monthly Update'!DD42, 3) = "*((", "", 'Monthly Update'!DD42="", "", TRUE, 'Monthly Update'!DD42)</f>
        <v/>
      </c>
      <c r="M42" s="221" t="str" cm="1">
        <f t="array" ref="M42">_xlfn.IFS(LEFT('Monthly Update'!DE42, 3) = "*((", "", 'Monthly Update'!DE42="", "", TRUE, 'Monthly Update'!DE42)</f>
        <v/>
      </c>
      <c r="N42" s="221" t="str" cm="1">
        <f t="array" ref="N42">_xlfn.IFS(LEFT('Monthly Update'!DF42, 3) = "*((", "", 'Monthly Update'!DF42="", "", TRUE, 'Monthly Update'!DF42)</f>
        <v/>
      </c>
      <c r="O42" s="221" t="str" cm="1">
        <f t="array" ref="O42">_xlfn.IFS(LEFT('Monthly Update'!DG42, 3) = "*((", "", 'Monthly Update'!DG42="", "", TRUE, 'Monthly Update'!DG42)</f>
        <v/>
      </c>
      <c r="P42" s="221" t="str" cm="1">
        <f t="array" ref="P42">_xlfn.IFS(LEFT('Monthly Update'!DH42, 3) = "*((", "", 'Monthly Update'!DH42="", "", TRUE, 'Monthly Update'!DH42)</f>
        <v/>
      </c>
      <c r="Q42" s="221" t="str" cm="1">
        <f t="array" ref="Q42">_xlfn.IFS(LEFT('Monthly Update'!DI42, 3) = "*((", "", 'Monthly Update'!DI42="", "", TRUE, 'Monthly Update'!DI42)</f>
        <v/>
      </c>
      <c r="R42" s="221" t="str" cm="1">
        <f t="array" ref="R42">_xlfn.IFS(LEFT('Monthly Update'!DJ42, 3) = "*((", "", 'Monthly Update'!DJ42="", "", TRUE, 'Monthly Update'!DJ42)</f>
        <v/>
      </c>
      <c r="S42" s="221" t="str" cm="1">
        <f t="array" ref="S42">_xlfn.IFS(LEFT('Monthly Update'!DK42, 3) = "*((", "", 'Monthly Update'!DK42="", "", TRUE, 'Monthly Update'!DK42)</f>
        <v/>
      </c>
      <c r="T42" s="221" t="str" cm="1">
        <f t="array" ref="T42">_xlfn.IFS(LEFT('Monthly Update'!DL42, 3) = "*((", "", 'Monthly Update'!DL42="", "", TRUE, 'Monthly Update'!DL42)</f>
        <v/>
      </c>
      <c r="U42" s="221" t="str" cm="1">
        <f t="array" ref="U42">_xlfn.IFS(LEFT('Monthly Update'!DM42, 3) = "*((", "", 'Monthly Update'!DM42="", "", TRUE, 'Monthly Update'!DM42)</f>
        <v/>
      </c>
      <c r="V42" s="221" t="str" cm="1">
        <f t="array" ref="V42">_xlfn.IFS(LEFT('Monthly Update'!DN42, 3) = "*((", "", 'Monthly Update'!DN42="", "", TRUE, 'Monthly Update'!DN42)</f>
        <v/>
      </c>
      <c r="W42" s="221" t="str" cm="1">
        <f t="array" ref="W42">_xlfn.IFS(LEFT('Monthly Update'!DO42, 3) = "*((", "", 'Monthly Update'!DO42="", "", TRUE, 'Monthly Update'!DO42)</f>
        <v/>
      </c>
      <c r="X42" s="221" t="str" cm="1">
        <f t="array" ref="X42">_xlfn.IFS(LEFT('Monthly Update'!DP42, 3) = "*((", "", 'Monthly Update'!DP42="", "", TRUE, 'Monthly Update'!DP42)</f>
        <v/>
      </c>
      <c r="Y42" s="221" t="str" cm="1">
        <f t="array" ref="Y42">_xlfn.IFS(LEFT('Monthly Update'!DQ42, 3) = "*((", "", 'Monthly Update'!DQ42="", "", TRUE, 'Monthly Update'!DQ42)</f>
        <v/>
      </c>
      <c r="Z42" s="221" t="str" cm="1">
        <f t="array" ref="Z42">_xlfn.IFS(LEFT('Monthly Update'!DR42, 3) = "*((", "", 'Monthly Update'!DR42="", "", TRUE, 'Monthly Update'!DR42)</f>
        <v/>
      </c>
      <c r="AA42" s="221" t="str" cm="1">
        <f t="array" ref="AA42">_xlfn.IFS(LEFT('Monthly Update'!DS42, 3) = "*((", "", 'Monthly Update'!DS42="", "", TRUE, 'Monthly Update'!DS42)</f>
        <v/>
      </c>
      <c r="AB42" s="221" t="str" cm="1">
        <f t="array" ref="AB42">_xlfn.IFS(LEFT('Monthly Update'!DT42, 3) = "*((", "", 'Monthly Update'!DT42="", "", TRUE, 'Monthly Update'!DT42)</f>
        <v/>
      </c>
      <c r="AC42" s="221" t="str" cm="1">
        <f t="array" ref="AC42">_xlfn.IFS(LEFT('Monthly Update'!DU42, 3) = "*((", "", 'Monthly Update'!DU42="", "", TRUE, 'Monthly Update'!DU42)</f>
        <v/>
      </c>
      <c r="AD42" s="221" t="str" cm="1">
        <f t="array" ref="AD42">_xlfn.IFS(LEFT('Monthly Update'!DV42, 3) = "*((", "", 'Monthly Update'!DV42="", "", TRUE, 'Monthly Update'!DV42)</f>
        <v/>
      </c>
      <c r="AE42" s="221" t="str" cm="1">
        <f t="array" ref="AE42">_xlfn.IFS(LEFT('Monthly Update'!DW42, 3) = "*((", "", 'Monthly Update'!DW42="", "", TRUE, 'Monthly Update'!DW42)</f>
        <v/>
      </c>
      <c r="AF42" s="221" t="str" cm="1">
        <f t="array" ref="AF42">_xlfn.IFS(LEFT('Monthly Update'!DX42, 3) = "*((", "", 'Monthly Update'!DX42="", "", TRUE, 'Monthly Update'!DX42)</f>
        <v/>
      </c>
      <c r="AG42" s="221" t="str" cm="1">
        <f t="array" ref="AG42">_xlfn.IFS(LEFT('Monthly Update'!DY42, 3) = "*((", "", 'Monthly Update'!DY42="", "", TRUE, 'Monthly Update'!DY42)</f>
        <v/>
      </c>
      <c r="AH42" s="221" t="str" cm="1">
        <f t="array" ref="AH42">_xlfn.IFS(LEFT('Monthly Update'!DZ42, 3) = "*((", "", 'Monthly Update'!DZ42="", "", TRUE, 'Monthly Update'!DZ42)</f>
        <v/>
      </c>
      <c r="AI42" s="221" t="str" cm="1">
        <f t="array" ref="AI42">_xlfn.IFS(LEFT('Monthly Update'!EA42, 3) = "*((", "", 'Monthly Update'!EA42="", "", TRUE, 'Monthly Update'!EA42)</f>
        <v/>
      </c>
      <c r="AJ42" s="221" t="str" cm="1">
        <f t="array" ref="AJ42">_xlfn.IFS(LEFT('Monthly Update'!EB42, 3) = "*((", "", 'Monthly Update'!EB42="", "", TRUE, 'Monthly Update'!EB42)</f>
        <v/>
      </c>
      <c r="AK42" s="221" t="str" cm="1">
        <f t="array" ref="AK42">_xlfn.IFS(LEFT('Monthly Update'!EC42, 3) = "*((", "", 'Monthly Update'!EC42="", "", TRUE, 'Monthly Update'!EC42)</f>
        <v/>
      </c>
      <c r="AL42" s="221" t="str" cm="1">
        <f t="array" ref="AL42">_xlfn.IFS(LEFT('Monthly Update'!ED42, 3) = "*((", "", 'Monthly Update'!ED42="", "", TRUE, 'Monthly Update'!ED42)</f>
        <v/>
      </c>
      <c r="AM42" s="221" t="str" cm="1">
        <f t="array" ref="AM42">_xlfn.IFS(LEFT('Monthly Update'!EE42, 3) = "*((", "", 'Monthly Update'!EE42="", "", TRUE, 'Monthly Update'!EE42)</f>
        <v/>
      </c>
      <c r="AN42" s="221" t="str" cm="1">
        <f t="array" ref="AN42">_xlfn.IFS(LEFT('Monthly Update'!EF42, 3) = "*((", "", 'Monthly Update'!EF42="", "", TRUE, 'Monthly Update'!EF42)</f>
        <v/>
      </c>
      <c r="AO42" s="221" t="str" cm="1">
        <f t="array" ref="AO42">_xlfn.IFS(LEFT('Monthly Update'!EG42, 3) = "*((", "", 'Monthly Update'!EG42="", "", TRUE, 'Monthly Update'!EG42)</f>
        <v/>
      </c>
      <c r="AP42" s="221" t="str" cm="1">
        <f t="array" ref="AP42">_xlfn.IFS(LEFT('Monthly Update'!EH42, 3) = "*((", "", 'Monthly Update'!EH42="", "", TRUE, 'Monthly Update'!EH42)</f>
        <v/>
      </c>
      <c r="AQ42" s="221" t="str" cm="1">
        <f t="array" ref="AQ42">_xlfn.IFS(LEFT('Monthly Update'!EI42, 3) = "*((", "", 'Monthly Update'!EI42="", "", TRUE, 'Monthly Update'!EI42)</f>
        <v/>
      </c>
      <c r="AR42" s="221" t="str" cm="1">
        <f t="array" ref="AR42">_xlfn.IFS(LEFT('Monthly Update'!EJ42, 3) = "*((", "", 'Monthly Update'!EJ42="", "", TRUE, 'Monthly Update'!EJ42)</f>
        <v/>
      </c>
      <c r="AS42" s="221" t="str" cm="1">
        <f t="array" ref="AS42">_xlfn.IFS(LEFT('Monthly Update'!EK42, 3) = "*((", "", 'Monthly Update'!EK42="", "", TRUE, 'Monthly Update'!EK42)</f>
        <v/>
      </c>
      <c r="AT42" s="221" t="str" cm="1">
        <f t="array" ref="AT42">_xlfn.IFS(LEFT('Monthly Update'!EL42, 3) = "*((", "", 'Monthly Update'!EL42="", "", TRUE, 'Monthly Update'!EL42)</f>
        <v/>
      </c>
      <c r="AU42" s="221" t="str" cm="1">
        <f t="array" ref="AU42">_xlfn.IFS(LEFT('Monthly Update'!EM42, 3) = "*((", "", 'Monthly Update'!EM42="", "", TRUE, 'Monthly Update'!EM42)</f>
        <v/>
      </c>
      <c r="AV42" s="221" t="str" cm="1">
        <f t="array" ref="AV42">_xlfn.IFS(LEFT('Monthly Update'!EN42, 3) = "*((", "", 'Monthly Update'!EN42="", "", TRUE, 'Monthly Update'!EN42)</f>
        <v/>
      </c>
      <c r="AW42" s="221" t="str" cm="1">
        <f t="array" ref="AW42">_xlfn.IFS(LEFT('Monthly Update'!EO42, 3) = "*((", "", 'Monthly Update'!EO42="", "", TRUE, 'Monthly Update'!EO42)</f>
        <v/>
      </c>
      <c r="NU42" s="252"/>
      <c r="NV42" s="252"/>
      <c r="NW42" s="252"/>
      <c r="NX42" s="252"/>
      <c r="NY42" s="252"/>
      <c r="NZ42" s="252"/>
      <c r="OA42" s="252"/>
      <c r="OB42" s="252"/>
      <c r="OC42" s="252"/>
      <c r="OD42" s="252"/>
      <c r="OE42" s="252"/>
      <c r="OF42" s="252"/>
      <c r="OG42" s="252"/>
      <c r="OH42" s="252"/>
      <c r="OI42" s="252"/>
      <c r="OJ42" s="252"/>
      <c r="OK42" s="252"/>
      <c r="OL42" s="252"/>
      <c r="OM42" s="252"/>
      <c r="ON42" s="252"/>
      <c r="OO42" s="252"/>
      <c r="OP42" s="252"/>
      <c r="OQ42" s="252"/>
      <c r="OR42" s="252"/>
      <c r="OS42" s="252"/>
      <c r="OT42" s="252"/>
      <c r="OU42" s="252"/>
      <c r="OV42" s="252"/>
      <c r="OW42" s="252"/>
      <c r="OX42" s="252"/>
      <c r="OY42" s="252"/>
      <c r="OZ42" s="252"/>
      <c r="PA42" s="252"/>
      <c r="PB42" s="252"/>
      <c r="PC42" s="252"/>
      <c r="PD42" s="252"/>
      <c r="PE42" s="252"/>
      <c r="PF42" s="252"/>
      <c r="PG42" s="252"/>
      <c r="PH42" s="252"/>
      <c r="PI42" s="252"/>
      <c r="PJ42" s="252"/>
      <c r="PK42" s="252"/>
      <c r="PL42" s="252"/>
      <c r="PM42" s="252"/>
      <c r="PN42" s="252"/>
      <c r="PO42" s="252"/>
      <c r="PP42" s="252"/>
      <c r="PQ42" s="252"/>
      <c r="PR42" s="252"/>
      <c r="PS42" s="252"/>
      <c r="PT42" s="252"/>
      <c r="PU42" s="252"/>
      <c r="PV42" s="252"/>
      <c r="PW42" s="252"/>
      <c r="PX42" s="252"/>
      <c r="PY42" s="252"/>
      <c r="PZ42" s="252"/>
      <c r="QA42" s="252"/>
      <c r="QB42" s="252"/>
      <c r="QC42" s="252"/>
      <c r="QD42" s="252"/>
      <c r="QE42" s="252"/>
      <c r="QF42" s="252"/>
      <c r="QG42" s="252"/>
      <c r="QH42" s="252"/>
      <c r="QI42" s="252"/>
      <c r="QJ42" s="252"/>
      <c r="QK42" s="252"/>
      <c r="QL42" s="252"/>
      <c r="QM42" s="252"/>
      <c r="QN42" s="252"/>
      <c r="QO42" s="252"/>
      <c r="QP42" s="252"/>
      <c r="QQ42" s="252"/>
      <c r="QR42" s="252"/>
      <c r="QS42" s="252"/>
      <c r="QT42" s="252"/>
      <c r="QU42" s="252"/>
      <c r="QV42" s="252"/>
      <c r="QW42" s="252"/>
      <c r="QX42" s="252"/>
      <c r="QY42" s="252"/>
      <c r="QZ42" s="252"/>
      <c r="RA42" s="252"/>
      <c r="RB42" s="252"/>
      <c r="RC42" s="252"/>
      <c r="RD42" s="252"/>
      <c r="RE42" s="252"/>
      <c r="RF42" s="252"/>
      <c r="RG42" s="252"/>
      <c r="RH42" s="252"/>
      <c r="RI42" s="252"/>
      <c r="RJ42" s="252"/>
      <c r="RK42" s="252"/>
      <c r="RL42" s="252"/>
      <c r="RM42" s="252"/>
      <c r="RN42" s="252"/>
      <c r="RO42" s="252"/>
      <c r="RP42" s="252"/>
      <c r="RQ42" s="252"/>
      <c r="RR42" s="252"/>
      <c r="RS42" s="252"/>
      <c r="RT42" s="252"/>
      <c r="RU42" s="252"/>
      <c r="RV42" s="252"/>
      <c r="RW42" s="252"/>
      <c r="RX42" s="252"/>
      <c r="RY42" s="252"/>
      <c r="RZ42" s="252"/>
      <c r="SA42" s="252"/>
      <c r="SB42" s="252"/>
      <c r="SC42" s="252"/>
      <c r="SD42" s="252"/>
      <c r="SE42" s="252"/>
      <c r="SF42" s="252"/>
      <c r="SG42" s="252"/>
      <c r="SH42" s="252"/>
      <c r="SI42" s="252"/>
      <c r="SJ42" s="252"/>
      <c r="SK42" s="252"/>
      <c r="SL42" s="252"/>
      <c r="SM42" s="252"/>
      <c r="SN42" s="252"/>
    </row>
    <row r="43" spans="1:508" s="243" customFormat="1" ht="15.6" customHeight="1" x14ac:dyDescent="0.55000000000000004">
      <c r="A43" s="220" t="str" cm="1">
        <f t="array" ref="A43">_xlfn.IFS(LEFT('Monthly Update'!A43, 3) = "*((", "", 'Monthly Update'!A43="", "", TRUE, 'Monthly Update'!A43)</f>
        <v/>
      </c>
      <c r="B43" s="220" t="str" cm="1">
        <f t="array" ref="B43">_xlfn.IFS(LEFT('Monthly Update'!B43, 3) = "*((", "", 'Monthly Update'!B43="", "", TRUE, 'Monthly Update'!B43)</f>
        <v/>
      </c>
      <c r="C43" s="221" t="str" cm="1">
        <f t="array" ref="C43">_xlfn.IFS(LEFT('Monthly Update'!CU43, 3) = "*((", "", 'Monthly Update'!CU43="", "", TRUE, 'Monthly Update'!CU43)</f>
        <v/>
      </c>
      <c r="D43" s="221" t="str" cm="1">
        <f t="array" ref="D43">_xlfn.IFS(LEFT('Monthly Update'!CV43, 3) = "*((", "", 'Monthly Update'!CV43="", "", TRUE, 'Monthly Update'!CV43)</f>
        <v/>
      </c>
      <c r="E43" s="221" t="str" cm="1">
        <f t="array" ref="E43">_xlfn.IFS(LEFT('Monthly Update'!CW43, 3) = "*((", "", 'Monthly Update'!CW43="", "", TRUE, 'Monthly Update'!CW43)</f>
        <v/>
      </c>
      <c r="F43" s="221" t="str" cm="1">
        <f t="array" ref="F43">_xlfn.IFS(LEFT('Monthly Update'!CX43, 3) = "*((", "", 'Monthly Update'!CX43="", "", TRUE, 'Monthly Update'!CX43)</f>
        <v/>
      </c>
      <c r="G43" s="221" t="str" cm="1">
        <f t="array" ref="G43">_xlfn.IFS(LEFT('Monthly Update'!CY43, 3) = "*((", "", 'Monthly Update'!CY43="", "", TRUE, 'Monthly Update'!CY43)</f>
        <v/>
      </c>
      <c r="H43" s="221" t="str" cm="1">
        <f t="array" ref="H43">_xlfn.IFS(LEFT('Monthly Update'!CZ43, 3) = "*((", "", 'Monthly Update'!CZ43="", "", TRUE, 'Monthly Update'!CZ43)</f>
        <v/>
      </c>
      <c r="I43" s="221" t="str" cm="1">
        <f t="array" ref="I43">_xlfn.IFS(LEFT('Monthly Update'!DA43, 3) = "*((", "", 'Monthly Update'!DA43="", "", TRUE, 'Monthly Update'!DA43)</f>
        <v/>
      </c>
      <c r="J43" s="221" t="str" cm="1">
        <f t="array" ref="J43">_xlfn.IFS(LEFT('Monthly Update'!DB43, 3) = "*((", "", 'Monthly Update'!DB43="", "", TRUE, 'Monthly Update'!DB43)</f>
        <v/>
      </c>
      <c r="K43" s="221" t="str" cm="1">
        <f t="array" ref="K43">_xlfn.IFS(LEFT('Monthly Update'!DC43, 3) = "*((", "", 'Monthly Update'!DC43="", "", TRUE, 'Monthly Update'!DC43)</f>
        <v/>
      </c>
      <c r="L43" s="221" t="str" cm="1">
        <f t="array" ref="L43">_xlfn.IFS(LEFT('Monthly Update'!DD43, 3) = "*((", "", 'Monthly Update'!DD43="", "", TRUE, 'Monthly Update'!DD43)</f>
        <v/>
      </c>
      <c r="M43" s="221" t="str" cm="1">
        <f t="array" ref="M43">_xlfn.IFS(LEFT('Monthly Update'!DE43, 3) = "*((", "", 'Monthly Update'!DE43="", "", TRUE, 'Monthly Update'!DE43)</f>
        <v/>
      </c>
      <c r="N43" s="221" t="str" cm="1">
        <f t="array" ref="N43">_xlfn.IFS(LEFT('Monthly Update'!DF43, 3) = "*((", "", 'Monthly Update'!DF43="", "", TRUE, 'Monthly Update'!DF43)</f>
        <v/>
      </c>
      <c r="O43" s="221" t="str" cm="1">
        <f t="array" ref="O43">_xlfn.IFS(LEFT('Monthly Update'!DG43, 3) = "*((", "", 'Monthly Update'!DG43="", "", TRUE, 'Monthly Update'!DG43)</f>
        <v/>
      </c>
      <c r="P43" s="221" t="str" cm="1">
        <f t="array" ref="P43">_xlfn.IFS(LEFT('Monthly Update'!DH43, 3) = "*((", "", 'Monthly Update'!DH43="", "", TRUE, 'Monthly Update'!DH43)</f>
        <v/>
      </c>
      <c r="Q43" s="221" t="str" cm="1">
        <f t="array" ref="Q43">_xlfn.IFS(LEFT('Monthly Update'!DI43, 3) = "*((", "", 'Monthly Update'!DI43="", "", TRUE, 'Monthly Update'!DI43)</f>
        <v/>
      </c>
      <c r="R43" s="221" t="str" cm="1">
        <f t="array" ref="R43">_xlfn.IFS(LEFT('Monthly Update'!DJ43, 3) = "*((", "", 'Monthly Update'!DJ43="", "", TRUE, 'Monthly Update'!DJ43)</f>
        <v/>
      </c>
      <c r="S43" s="221" t="str" cm="1">
        <f t="array" ref="S43">_xlfn.IFS(LEFT('Monthly Update'!DK43, 3) = "*((", "", 'Monthly Update'!DK43="", "", TRUE, 'Monthly Update'!DK43)</f>
        <v/>
      </c>
      <c r="T43" s="221" t="str" cm="1">
        <f t="array" ref="T43">_xlfn.IFS(LEFT('Monthly Update'!DL43, 3) = "*((", "", 'Monthly Update'!DL43="", "", TRUE, 'Monthly Update'!DL43)</f>
        <v/>
      </c>
      <c r="U43" s="221" t="str" cm="1">
        <f t="array" ref="U43">_xlfn.IFS(LEFT('Monthly Update'!DM43, 3) = "*((", "", 'Monthly Update'!DM43="", "", TRUE, 'Monthly Update'!DM43)</f>
        <v/>
      </c>
      <c r="V43" s="221" t="str" cm="1">
        <f t="array" ref="V43">_xlfn.IFS(LEFT('Monthly Update'!DN43, 3) = "*((", "", 'Monthly Update'!DN43="", "", TRUE, 'Monthly Update'!DN43)</f>
        <v/>
      </c>
      <c r="W43" s="221" t="str" cm="1">
        <f t="array" ref="W43">_xlfn.IFS(LEFT('Monthly Update'!DO43, 3) = "*((", "", 'Monthly Update'!DO43="", "", TRUE, 'Monthly Update'!DO43)</f>
        <v/>
      </c>
      <c r="X43" s="221" t="str" cm="1">
        <f t="array" ref="X43">_xlfn.IFS(LEFT('Monthly Update'!DP43, 3) = "*((", "", 'Monthly Update'!DP43="", "", TRUE, 'Monthly Update'!DP43)</f>
        <v/>
      </c>
      <c r="Y43" s="221" t="str" cm="1">
        <f t="array" ref="Y43">_xlfn.IFS(LEFT('Monthly Update'!DQ43, 3) = "*((", "", 'Monthly Update'!DQ43="", "", TRUE, 'Monthly Update'!DQ43)</f>
        <v/>
      </c>
      <c r="Z43" s="221" t="str" cm="1">
        <f t="array" ref="Z43">_xlfn.IFS(LEFT('Monthly Update'!DR43, 3) = "*((", "", 'Monthly Update'!DR43="", "", TRUE, 'Monthly Update'!DR43)</f>
        <v/>
      </c>
      <c r="AA43" s="221" t="str" cm="1">
        <f t="array" ref="AA43">_xlfn.IFS(LEFT('Monthly Update'!DS43, 3) = "*((", "", 'Monthly Update'!DS43="", "", TRUE, 'Monthly Update'!DS43)</f>
        <v/>
      </c>
      <c r="AB43" s="221" t="str" cm="1">
        <f t="array" ref="AB43">_xlfn.IFS(LEFT('Monthly Update'!DT43, 3) = "*((", "", 'Monthly Update'!DT43="", "", TRUE, 'Monthly Update'!DT43)</f>
        <v/>
      </c>
      <c r="AC43" s="221" t="str" cm="1">
        <f t="array" ref="AC43">_xlfn.IFS(LEFT('Monthly Update'!DU43, 3) = "*((", "", 'Monthly Update'!DU43="", "", TRUE, 'Monthly Update'!DU43)</f>
        <v/>
      </c>
      <c r="AD43" s="221" t="str" cm="1">
        <f t="array" ref="AD43">_xlfn.IFS(LEFT('Monthly Update'!DV43, 3) = "*((", "", 'Monthly Update'!DV43="", "", TRUE, 'Monthly Update'!DV43)</f>
        <v/>
      </c>
      <c r="AE43" s="221" t="str" cm="1">
        <f t="array" ref="AE43">_xlfn.IFS(LEFT('Monthly Update'!DW43, 3) = "*((", "", 'Monthly Update'!DW43="", "", TRUE, 'Monthly Update'!DW43)</f>
        <v/>
      </c>
      <c r="AF43" s="221" t="str" cm="1">
        <f t="array" ref="AF43">_xlfn.IFS(LEFT('Monthly Update'!DX43, 3) = "*((", "", 'Monthly Update'!DX43="", "", TRUE, 'Monthly Update'!DX43)</f>
        <v/>
      </c>
      <c r="AG43" s="221" t="str" cm="1">
        <f t="array" ref="AG43">_xlfn.IFS(LEFT('Monthly Update'!DY43, 3) = "*((", "", 'Monthly Update'!DY43="", "", TRUE, 'Monthly Update'!DY43)</f>
        <v/>
      </c>
      <c r="AH43" s="221" t="str" cm="1">
        <f t="array" ref="AH43">_xlfn.IFS(LEFT('Monthly Update'!DZ43, 3) = "*((", "", 'Monthly Update'!DZ43="", "", TRUE, 'Monthly Update'!DZ43)</f>
        <v/>
      </c>
      <c r="AI43" s="221" t="str" cm="1">
        <f t="array" ref="AI43">_xlfn.IFS(LEFT('Monthly Update'!EA43, 3) = "*((", "", 'Monthly Update'!EA43="", "", TRUE, 'Monthly Update'!EA43)</f>
        <v/>
      </c>
      <c r="AJ43" s="221" t="str" cm="1">
        <f t="array" ref="AJ43">_xlfn.IFS(LEFT('Monthly Update'!EB43, 3) = "*((", "", 'Monthly Update'!EB43="", "", TRUE, 'Monthly Update'!EB43)</f>
        <v/>
      </c>
      <c r="AK43" s="221" t="str" cm="1">
        <f t="array" ref="AK43">_xlfn.IFS(LEFT('Monthly Update'!EC43, 3) = "*((", "", 'Monthly Update'!EC43="", "", TRUE, 'Monthly Update'!EC43)</f>
        <v/>
      </c>
      <c r="AL43" s="221" t="str" cm="1">
        <f t="array" ref="AL43">_xlfn.IFS(LEFT('Monthly Update'!ED43, 3) = "*((", "", 'Monthly Update'!ED43="", "", TRUE, 'Monthly Update'!ED43)</f>
        <v/>
      </c>
      <c r="AM43" s="221" t="str" cm="1">
        <f t="array" ref="AM43">_xlfn.IFS(LEFT('Monthly Update'!EE43, 3) = "*((", "", 'Monthly Update'!EE43="", "", TRUE, 'Monthly Update'!EE43)</f>
        <v/>
      </c>
      <c r="AN43" s="221" t="str" cm="1">
        <f t="array" ref="AN43">_xlfn.IFS(LEFT('Monthly Update'!EF43, 3) = "*((", "", 'Monthly Update'!EF43="", "", TRUE, 'Monthly Update'!EF43)</f>
        <v/>
      </c>
      <c r="AO43" s="221" t="str" cm="1">
        <f t="array" ref="AO43">_xlfn.IFS(LEFT('Monthly Update'!EG43, 3) = "*((", "", 'Monthly Update'!EG43="", "", TRUE, 'Monthly Update'!EG43)</f>
        <v/>
      </c>
      <c r="AP43" s="221" t="str" cm="1">
        <f t="array" ref="AP43">_xlfn.IFS(LEFT('Monthly Update'!EH43, 3) = "*((", "", 'Monthly Update'!EH43="", "", TRUE, 'Monthly Update'!EH43)</f>
        <v/>
      </c>
      <c r="AQ43" s="221" t="str" cm="1">
        <f t="array" ref="AQ43">_xlfn.IFS(LEFT('Monthly Update'!EI43, 3) = "*((", "", 'Monthly Update'!EI43="", "", TRUE, 'Monthly Update'!EI43)</f>
        <v/>
      </c>
      <c r="AR43" s="221" t="str" cm="1">
        <f t="array" ref="AR43">_xlfn.IFS(LEFT('Monthly Update'!EJ43, 3) = "*((", "", 'Monthly Update'!EJ43="", "", TRUE, 'Monthly Update'!EJ43)</f>
        <v/>
      </c>
      <c r="AS43" s="221" t="str" cm="1">
        <f t="array" ref="AS43">_xlfn.IFS(LEFT('Monthly Update'!EK43, 3) = "*((", "", 'Monthly Update'!EK43="", "", TRUE, 'Monthly Update'!EK43)</f>
        <v/>
      </c>
      <c r="AT43" s="221" t="str" cm="1">
        <f t="array" ref="AT43">_xlfn.IFS(LEFT('Monthly Update'!EL43, 3) = "*((", "", 'Monthly Update'!EL43="", "", TRUE, 'Monthly Update'!EL43)</f>
        <v/>
      </c>
      <c r="AU43" s="221" t="str" cm="1">
        <f t="array" ref="AU43">_xlfn.IFS(LEFT('Monthly Update'!EM43, 3) = "*((", "", 'Monthly Update'!EM43="", "", TRUE, 'Monthly Update'!EM43)</f>
        <v/>
      </c>
      <c r="AV43" s="221" t="str" cm="1">
        <f t="array" ref="AV43">_xlfn.IFS(LEFT('Monthly Update'!EN43, 3) = "*((", "", 'Monthly Update'!EN43="", "", TRUE, 'Monthly Update'!EN43)</f>
        <v/>
      </c>
      <c r="AW43" s="221" t="str" cm="1">
        <f t="array" ref="AW43">_xlfn.IFS(LEFT('Monthly Update'!EO43, 3) = "*((", "", 'Monthly Update'!EO43="", "", TRUE, 'Monthly Update'!EO43)</f>
        <v/>
      </c>
      <c r="NU43" s="252"/>
      <c r="NV43" s="252"/>
      <c r="NW43" s="252"/>
      <c r="NX43" s="252"/>
      <c r="NY43" s="252"/>
      <c r="NZ43" s="252"/>
      <c r="OA43" s="252"/>
      <c r="OB43" s="252"/>
      <c r="OC43" s="252"/>
      <c r="OD43" s="252"/>
      <c r="OE43" s="252"/>
      <c r="OF43" s="252"/>
      <c r="OG43" s="252"/>
      <c r="OH43" s="252"/>
      <c r="OI43" s="252"/>
      <c r="OJ43" s="252"/>
      <c r="OK43" s="252"/>
      <c r="OL43" s="252"/>
      <c r="OM43" s="252"/>
      <c r="ON43" s="252"/>
      <c r="OO43" s="252"/>
      <c r="OP43" s="252"/>
      <c r="OQ43" s="252"/>
      <c r="OR43" s="252"/>
      <c r="OS43" s="252"/>
      <c r="OT43" s="252"/>
      <c r="OU43" s="252"/>
      <c r="OV43" s="252"/>
      <c r="OW43" s="252"/>
      <c r="OX43" s="252"/>
      <c r="OY43" s="252"/>
      <c r="OZ43" s="252"/>
      <c r="PA43" s="252"/>
      <c r="PB43" s="252"/>
      <c r="PC43" s="252"/>
      <c r="PD43" s="252"/>
      <c r="PE43" s="252"/>
      <c r="PF43" s="252"/>
      <c r="PG43" s="252"/>
      <c r="PH43" s="252"/>
      <c r="PI43" s="252"/>
      <c r="PJ43" s="252"/>
      <c r="PK43" s="252"/>
      <c r="PL43" s="252"/>
      <c r="PM43" s="252"/>
      <c r="PN43" s="252"/>
      <c r="PO43" s="252"/>
      <c r="PP43" s="252"/>
      <c r="PQ43" s="252"/>
      <c r="PR43" s="252"/>
      <c r="PS43" s="252"/>
      <c r="PT43" s="252"/>
      <c r="PU43" s="252"/>
      <c r="PV43" s="252"/>
      <c r="PW43" s="252"/>
      <c r="PX43" s="252"/>
      <c r="PY43" s="252"/>
      <c r="PZ43" s="252"/>
      <c r="QA43" s="252"/>
      <c r="QB43" s="252"/>
      <c r="QC43" s="252"/>
      <c r="QD43" s="252"/>
      <c r="QE43" s="252"/>
      <c r="QF43" s="252"/>
      <c r="QG43" s="252"/>
      <c r="QH43" s="252"/>
      <c r="QI43" s="252"/>
      <c r="QJ43" s="252"/>
      <c r="QK43" s="252"/>
      <c r="QL43" s="252"/>
      <c r="QM43" s="252"/>
      <c r="QN43" s="252"/>
      <c r="QO43" s="252"/>
      <c r="QP43" s="252"/>
      <c r="QQ43" s="252"/>
      <c r="QR43" s="252"/>
      <c r="QS43" s="252"/>
      <c r="QT43" s="252"/>
      <c r="QU43" s="252"/>
      <c r="QV43" s="252"/>
      <c r="QW43" s="252"/>
      <c r="QX43" s="252"/>
      <c r="QY43" s="252"/>
      <c r="QZ43" s="252"/>
      <c r="RA43" s="252"/>
      <c r="RB43" s="252"/>
      <c r="RC43" s="252"/>
      <c r="RD43" s="252"/>
      <c r="RE43" s="252"/>
      <c r="RF43" s="252"/>
      <c r="RG43" s="252"/>
      <c r="RH43" s="252"/>
      <c r="RI43" s="252"/>
      <c r="RJ43" s="252"/>
      <c r="RK43" s="252"/>
      <c r="RL43" s="252"/>
      <c r="RM43" s="252"/>
      <c r="RN43" s="252"/>
      <c r="RO43" s="252"/>
      <c r="RP43" s="252"/>
      <c r="RQ43" s="252"/>
      <c r="RR43" s="252"/>
      <c r="RS43" s="252"/>
      <c r="RT43" s="252"/>
      <c r="RU43" s="252"/>
      <c r="RV43" s="252"/>
      <c r="RW43" s="252"/>
      <c r="RX43" s="252"/>
      <c r="RY43" s="252"/>
      <c r="RZ43" s="252"/>
      <c r="SA43" s="252"/>
      <c r="SB43" s="252"/>
      <c r="SC43" s="252"/>
      <c r="SD43" s="252"/>
      <c r="SE43" s="252"/>
      <c r="SF43" s="252"/>
      <c r="SG43" s="252"/>
      <c r="SH43" s="252"/>
      <c r="SI43" s="252"/>
      <c r="SJ43" s="252"/>
      <c r="SK43" s="252"/>
      <c r="SL43" s="252"/>
      <c r="SM43" s="252"/>
      <c r="SN43" s="252"/>
    </row>
    <row r="44" spans="1:508" s="243" customFormat="1" ht="15.6" customHeight="1" x14ac:dyDescent="0.55000000000000004">
      <c r="A44" s="220" t="str" cm="1">
        <f t="array" ref="A44">_xlfn.IFS(LEFT('Monthly Update'!A44, 3) = "*((", "", 'Monthly Update'!A44="", "", TRUE, 'Monthly Update'!A44)</f>
        <v/>
      </c>
      <c r="B44" s="220" t="str" cm="1">
        <f t="array" ref="B44">_xlfn.IFS(LEFT('Monthly Update'!B44, 3) = "*((", "", 'Monthly Update'!B44="", "", TRUE, 'Monthly Update'!B44)</f>
        <v/>
      </c>
      <c r="C44" s="221" t="str" cm="1">
        <f t="array" ref="C44">_xlfn.IFS(LEFT('Monthly Update'!CU44, 3) = "*((", "", 'Monthly Update'!CU44="", "", TRUE, 'Monthly Update'!CU44)</f>
        <v/>
      </c>
      <c r="D44" s="221" t="str" cm="1">
        <f t="array" ref="D44">_xlfn.IFS(LEFT('Monthly Update'!CV44, 3) = "*((", "", 'Monthly Update'!CV44="", "", TRUE, 'Monthly Update'!CV44)</f>
        <v/>
      </c>
      <c r="E44" s="221" t="str" cm="1">
        <f t="array" ref="E44">_xlfn.IFS(LEFT('Monthly Update'!CW44, 3) = "*((", "", 'Monthly Update'!CW44="", "", TRUE, 'Monthly Update'!CW44)</f>
        <v/>
      </c>
      <c r="F44" s="221" t="str" cm="1">
        <f t="array" ref="F44">_xlfn.IFS(LEFT('Monthly Update'!CX44, 3) = "*((", "", 'Monthly Update'!CX44="", "", TRUE, 'Monthly Update'!CX44)</f>
        <v/>
      </c>
      <c r="G44" s="221" t="str" cm="1">
        <f t="array" ref="G44">_xlfn.IFS(LEFT('Monthly Update'!CY44, 3) = "*((", "", 'Monthly Update'!CY44="", "", TRUE, 'Monthly Update'!CY44)</f>
        <v/>
      </c>
      <c r="H44" s="221" t="str" cm="1">
        <f t="array" ref="H44">_xlfn.IFS(LEFT('Monthly Update'!CZ44, 3) = "*((", "", 'Monthly Update'!CZ44="", "", TRUE, 'Monthly Update'!CZ44)</f>
        <v/>
      </c>
      <c r="I44" s="221" t="str" cm="1">
        <f t="array" ref="I44">_xlfn.IFS(LEFT('Monthly Update'!DA44, 3) = "*((", "", 'Monthly Update'!DA44="", "", TRUE, 'Monthly Update'!DA44)</f>
        <v/>
      </c>
      <c r="J44" s="221" t="str" cm="1">
        <f t="array" ref="J44">_xlfn.IFS(LEFT('Monthly Update'!DB44, 3) = "*((", "", 'Monthly Update'!DB44="", "", TRUE, 'Monthly Update'!DB44)</f>
        <v/>
      </c>
      <c r="K44" s="221" t="str" cm="1">
        <f t="array" ref="K44">_xlfn.IFS(LEFT('Monthly Update'!DC44, 3) = "*((", "", 'Monthly Update'!DC44="", "", TRUE, 'Monthly Update'!DC44)</f>
        <v/>
      </c>
      <c r="L44" s="221" t="str" cm="1">
        <f t="array" ref="L44">_xlfn.IFS(LEFT('Monthly Update'!DD44, 3) = "*((", "", 'Monthly Update'!DD44="", "", TRUE, 'Monthly Update'!DD44)</f>
        <v/>
      </c>
      <c r="M44" s="221" t="str" cm="1">
        <f t="array" ref="M44">_xlfn.IFS(LEFT('Monthly Update'!DE44, 3) = "*((", "", 'Monthly Update'!DE44="", "", TRUE, 'Monthly Update'!DE44)</f>
        <v/>
      </c>
      <c r="N44" s="221" t="str" cm="1">
        <f t="array" ref="N44">_xlfn.IFS(LEFT('Monthly Update'!DF44, 3) = "*((", "", 'Monthly Update'!DF44="", "", TRUE, 'Monthly Update'!DF44)</f>
        <v/>
      </c>
      <c r="O44" s="221" t="str" cm="1">
        <f t="array" ref="O44">_xlfn.IFS(LEFT('Monthly Update'!DG44, 3) = "*((", "", 'Monthly Update'!DG44="", "", TRUE, 'Monthly Update'!DG44)</f>
        <v/>
      </c>
      <c r="P44" s="221" t="str" cm="1">
        <f t="array" ref="P44">_xlfn.IFS(LEFT('Monthly Update'!DH44, 3) = "*((", "", 'Monthly Update'!DH44="", "", TRUE, 'Monthly Update'!DH44)</f>
        <v/>
      </c>
      <c r="Q44" s="221" t="str" cm="1">
        <f t="array" ref="Q44">_xlfn.IFS(LEFT('Monthly Update'!DI44, 3) = "*((", "", 'Monthly Update'!DI44="", "", TRUE, 'Monthly Update'!DI44)</f>
        <v/>
      </c>
      <c r="R44" s="221" t="str" cm="1">
        <f t="array" ref="R44">_xlfn.IFS(LEFT('Monthly Update'!DJ44, 3) = "*((", "", 'Monthly Update'!DJ44="", "", TRUE, 'Monthly Update'!DJ44)</f>
        <v/>
      </c>
      <c r="S44" s="221" t="str" cm="1">
        <f t="array" ref="S44">_xlfn.IFS(LEFT('Monthly Update'!DK44, 3) = "*((", "", 'Monthly Update'!DK44="", "", TRUE, 'Monthly Update'!DK44)</f>
        <v/>
      </c>
      <c r="T44" s="221" t="str" cm="1">
        <f t="array" ref="T44">_xlfn.IFS(LEFT('Monthly Update'!DL44, 3) = "*((", "", 'Monthly Update'!DL44="", "", TRUE, 'Monthly Update'!DL44)</f>
        <v/>
      </c>
      <c r="U44" s="221" t="str" cm="1">
        <f t="array" ref="U44">_xlfn.IFS(LEFT('Monthly Update'!DM44, 3) = "*((", "", 'Monthly Update'!DM44="", "", TRUE, 'Monthly Update'!DM44)</f>
        <v/>
      </c>
      <c r="V44" s="221" t="str" cm="1">
        <f t="array" ref="V44">_xlfn.IFS(LEFT('Monthly Update'!DN44, 3) = "*((", "", 'Monthly Update'!DN44="", "", TRUE, 'Monthly Update'!DN44)</f>
        <v/>
      </c>
      <c r="W44" s="221" t="str" cm="1">
        <f t="array" ref="W44">_xlfn.IFS(LEFT('Monthly Update'!DO44, 3) = "*((", "", 'Monthly Update'!DO44="", "", TRUE, 'Monthly Update'!DO44)</f>
        <v/>
      </c>
      <c r="X44" s="221" t="str" cm="1">
        <f t="array" ref="X44">_xlfn.IFS(LEFT('Monthly Update'!DP44, 3) = "*((", "", 'Monthly Update'!DP44="", "", TRUE, 'Monthly Update'!DP44)</f>
        <v/>
      </c>
      <c r="Y44" s="221" t="str" cm="1">
        <f t="array" ref="Y44">_xlfn.IFS(LEFT('Monthly Update'!DQ44, 3) = "*((", "", 'Monthly Update'!DQ44="", "", TRUE, 'Monthly Update'!DQ44)</f>
        <v/>
      </c>
      <c r="Z44" s="221" t="str" cm="1">
        <f t="array" ref="Z44">_xlfn.IFS(LEFT('Monthly Update'!DR44, 3) = "*((", "", 'Monthly Update'!DR44="", "", TRUE, 'Monthly Update'!DR44)</f>
        <v/>
      </c>
      <c r="AA44" s="221" t="str" cm="1">
        <f t="array" ref="AA44">_xlfn.IFS(LEFT('Monthly Update'!DS44, 3) = "*((", "", 'Monthly Update'!DS44="", "", TRUE, 'Monthly Update'!DS44)</f>
        <v/>
      </c>
      <c r="AB44" s="221" t="str" cm="1">
        <f t="array" ref="AB44">_xlfn.IFS(LEFT('Monthly Update'!DT44, 3) = "*((", "", 'Monthly Update'!DT44="", "", TRUE, 'Monthly Update'!DT44)</f>
        <v/>
      </c>
      <c r="AC44" s="221" t="str" cm="1">
        <f t="array" ref="AC44">_xlfn.IFS(LEFT('Monthly Update'!DU44, 3) = "*((", "", 'Monthly Update'!DU44="", "", TRUE, 'Monthly Update'!DU44)</f>
        <v/>
      </c>
      <c r="AD44" s="221" t="str" cm="1">
        <f t="array" ref="AD44">_xlfn.IFS(LEFT('Monthly Update'!DV44, 3) = "*((", "", 'Monthly Update'!DV44="", "", TRUE, 'Monthly Update'!DV44)</f>
        <v/>
      </c>
      <c r="AE44" s="221" t="str" cm="1">
        <f t="array" ref="AE44">_xlfn.IFS(LEFT('Monthly Update'!DW44, 3) = "*((", "", 'Monthly Update'!DW44="", "", TRUE, 'Monthly Update'!DW44)</f>
        <v/>
      </c>
      <c r="AF44" s="221" t="str" cm="1">
        <f t="array" ref="AF44">_xlfn.IFS(LEFT('Monthly Update'!DX44, 3) = "*((", "", 'Monthly Update'!DX44="", "", TRUE, 'Monthly Update'!DX44)</f>
        <v/>
      </c>
      <c r="AG44" s="221" t="str" cm="1">
        <f t="array" ref="AG44">_xlfn.IFS(LEFT('Monthly Update'!DY44, 3) = "*((", "", 'Monthly Update'!DY44="", "", TRUE, 'Monthly Update'!DY44)</f>
        <v/>
      </c>
      <c r="AH44" s="221" t="str" cm="1">
        <f t="array" ref="AH44">_xlfn.IFS(LEFT('Monthly Update'!DZ44, 3) = "*((", "", 'Monthly Update'!DZ44="", "", TRUE, 'Monthly Update'!DZ44)</f>
        <v/>
      </c>
      <c r="AI44" s="221" t="str" cm="1">
        <f t="array" ref="AI44">_xlfn.IFS(LEFT('Monthly Update'!EA44, 3) = "*((", "", 'Monthly Update'!EA44="", "", TRUE, 'Monthly Update'!EA44)</f>
        <v/>
      </c>
      <c r="AJ44" s="221" t="str" cm="1">
        <f t="array" ref="AJ44">_xlfn.IFS(LEFT('Monthly Update'!EB44, 3) = "*((", "", 'Monthly Update'!EB44="", "", TRUE, 'Monthly Update'!EB44)</f>
        <v/>
      </c>
      <c r="AK44" s="221" t="str" cm="1">
        <f t="array" ref="AK44">_xlfn.IFS(LEFT('Monthly Update'!EC44, 3) = "*((", "", 'Monthly Update'!EC44="", "", TRUE, 'Monthly Update'!EC44)</f>
        <v/>
      </c>
      <c r="AL44" s="221" t="str" cm="1">
        <f t="array" ref="AL44">_xlfn.IFS(LEFT('Monthly Update'!ED44, 3) = "*((", "", 'Monthly Update'!ED44="", "", TRUE, 'Monthly Update'!ED44)</f>
        <v/>
      </c>
      <c r="AM44" s="221" t="str" cm="1">
        <f t="array" ref="AM44">_xlfn.IFS(LEFT('Monthly Update'!EE44, 3) = "*((", "", 'Monthly Update'!EE44="", "", TRUE, 'Monthly Update'!EE44)</f>
        <v/>
      </c>
      <c r="AN44" s="221" t="str" cm="1">
        <f t="array" ref="AN44">_xlfn.IFS(LEFT('Monthly Update'!EF44, 3) = "*((", "", 'Monthly Update'!EF44="", "", TRUE, 'Monthly Update'!EF44)</f>
        <v/>
      </c>
      <c r="AO44" s="221" t="str" cm="1">
        <f t="array" ref="AO44">_xlfn.IFS(LEFT('Monthly Update'!EG44, 3) = "*((", "", 'Monthly Update'!EG44="", "", TRUE, 'Monthly Update'!EG44)</f>
        <v/>
      </c>
      <c r="AP44" s="221" t="str" cm="1">
        <f t="array" ref="AP44">_xlfn.IFS(LEFT('Monthly Update'!EH44, 3) = "*((", "", 'Monthly Update'!EH44="", "", TRUE, 'Monthly Update'!EH44)</f>
        <v/>
      </c>
      <c r="AQ44" s="221" t="str" cm="1">
        <f t="array" ref="AQ44">_xlfn.IFS(LEFT('Monthly Update'!EI44, 3) = "*((", "", 'Monthly Update'!EI44="", "", TRUE, 'Monthly Update'!EI44)</f>
        <v/>
      </c>
      <c r="AR44" s="221" t="str" cm="1">
        <f t="array" ref="AR44">_xlfn.IFS(LEFT('Monthly Update'!EJ44, 3) = "*((", "", 'Monthly Update'!EJ44="", "", TRUE, 'Monthly Update'!EJ44)</f>
        <v/>
      </c>
      <c r="AS44" s="221" t="str" cm="1">
        <f t="array" ref="AS44">_xlfn.IFS(LEFT('Monthly Update'!EK44, 3) = "*((", "", 'Monthly Update'!EK44="", "", TRUE, 'Monthly Update'!EK44)</f>
        <v/>
      </c>
      <c r="AT44" s="221" t="str" cm="1">
        <f t="array" ref="AT44">_xlfn.IFS(LEFT('Monthly Update'!EL44, 3) = "*((", "", 'Monthly Update'!EL44="", "", TRUE, 'Monthly Update'!EL44)</f>
        <v/>
      </c>
      <c r="AU44" s="221" t="str" cm="1">
        <f t="array" ref="AU44">_xlfn.IFS(LEFT('Monthly Update'!EM44, 3) = "*((", "", 'Monthly Update'!EM44="", "", TRUE, 'Monthly Update'!EM44)</f>
        <v/>
      </c>
      <c r="AV44" s="221" t="str" cm="1">
        <f t="array" ref="AV44">_xlfn.IFS(LEFT('Monthly Update'!EN44, 3) = "*((", "", 'Monthly Update'!EN44="", "", TRUE, 'Monthly Update'!EN44)</f>
        <v/>
      </c>
      <c r="AW44" s="221" t="str" cm="1">
        <f t="array" ref="AW44">_xlfn.IFS(LEFT('Monthly Update'!EO44, 3) = "*((", "", 'Monthly Update'!EO44="", "", TRUE, 'Monthly Update'!EO44)</f>
        <v/>
      </c>
      <c r="NU44" s="252"/>
      <c r="NV44" s="252"/>
      <c r="NW44" s="252"/>
      <c r="NX44" s="252"/>
      <c r="NY44" s="252"/>
      <c r="NZ44" s="252"/>
      <c r="OA44" s="252"/>
      <c r="OB44" s="252"/>
      <c r="OC44" s="252"/>
      <c r="OD44" s="252"/>
      <c r="OE44" s="252"/>
      <c r="OF44" s="252"/>
      <c r="OG44" s="252"/>
      <c r="OH44" s="252"/>
      <c r="OI44" s="252"/>
      <c r="OJ44" s="252"/>
      <c r="OK44" s="252"/>
      <c r="OL44" s="252"/>
      <c r="OM44" s="252"/>
      <c r="ON44" s="252"/>
      <c r="OO44" s="252"/>
      <c r="OP44" s="252"/>
      <c r="OQ44" s="252"/>
      <c r="OR44" s="252"/>
      <c r="OS44" s="252"/>
      <c r="OT44" s="252"/>
      <c r="OU44" s="252"/>
      <c r="OV44" s="252"/>
      <c r="OW44" s="252"/>
      <c r="OX44" s="252"/>
      <c r="OY44" s="252"/>
      <c r="OZ44" s="252"/>
      <c r="PA44" s="252"/>
      <c r="PB44" s="252"/>
      <c r="PC44" s="252"/>
      <c r="PD44" s="252"/>
      <c r="PE44" s="252"/>
      <c r="PF44" s="252"/>
      <c r="PG44" s="252"/>
      <c r="PH44" s="252"/>
      <c r="PI44" s="252"/>
      <c r="PJ44" s="252"/>
      <c r="PK44" s="252"/>
      <c r="PL44" s="252"/>
      <c r="PM44" s="252"/>
      <c r="PN44" s="252"/>
      <c r="PO44" s="252"/>
      <c r="PP44" s="252"/>
      <c r="PQ44" s="252"/>
      <c r="PR44" s="252"/>
      <c r="PS44" s="252"/>
      <c r="PT44" s="252"/>
      <c r="PU44" s="252"/>
      <c r="PV44" s="252"/>
      <c r="PW44" s="252"/>
      <c r="PX44" s="252"/>
      <c r="PY44" s="252"/>
      <c r="PZ44" s="252"/>
      <c r="QA44" s="252"/>
      <c r="QB44" s="252"/>
      <c r="QC44" s="252"/>
      <c r="QD44" s="252"/>
      <c r="QE44" s="252"/>
      <c r="QF44" s="252"/>
      <c r="QG44" s="252"/>
      <c r="QH44" s="252"/>
      <c r="QI44" s="252"/>
      <c r="QJ44" s="252"/>
      <c r="QK44" s="252"/>
      <c r="QL44" s="252"/>
      <c r="QM44" s="252"/>
      <c r="QN44" s="252"/>
      <c r="QO44" s="252"/>
      <c r="QP44" s="252"/>
      <c r="QQ44" s="252"/>
      <c r="QR44" s="252"/>
      <c r="QS44" s="252"/>
      <c r="QT44" s="252"/>
      <c r="QU44" s="252"/>
      <c r="QV44" s="252"/>
      <c r="QW44" s="252"/>
      <c r="QX44" s="252"/>
      <c r="QY44" s="252"/>
      <c r="QZ44" s="252"/>
      <c r="RA44" s="252"/>
      <c r="RB44" s="252"/>
      <c r="RC44" s="252"/>
      <c r="RD44" s="252"/>
      <c r="RE44" s="252"/>
      <c r="RF44" s="252"/>
      <c r="RG44" s="252"/>
      <c r="RH44" s="252"/>
      <c r="RI44" s="252"/>
      <c r="RJ44" s="252"/>
      <c r="RK44" s="252"/>
      <c r="RL44" s="252"/>
      <c r="RM44" s="252"/>
      <c r="RN44" s="252"/>
      <c r="RO44" s="252"/>
      <c r="RP44" s="252"/>
      <c r="RQ44" s="252"/>
      <c r="RR44" s="252"/>
      <c r="RS44" s="252"/>
      <c r="RT44" s="252"/>
      <c r="RU44" s="252"/>
      <c r="RV44" s="252"/>
      <c r="RW44" s="252"/>
      <c r="RX44" s="252"/>
      <c r="RY44" s="252"/>
      <c r="RZ44" s="252"/>
      <c r="SA44" s="252"/>
      <c r="SB44" s="252"/>
      <c r="SC44" s="252"/>
      <c r="SD44" s="252"/>
      <c r="SE44" s="252"/>
      <c r="SF44" s="252"/>
      <c r="SG44" s="252"/>
      <c r="SH44" s="252"/>
      <c r="SI44" s="252"/>
      <c r="SJ44" s="252"/>
      <c r="SK44" s="252"/>
      <c r="SL44" s="252"/>
      <c r="SM44" s="252"/>
      <c r="SN44" s="252"/>
    </row>
    <row r="45" spans="1:508" s="243" customFormat="1" ht="15.6" customHeight="1" x14ac:dyDescent="0.55000000000000004">
      <c r="A45" s="220" t="str" cm="1">
        <f t="array" ref="A45">_xlfn.IFS(LEFT('Monthly Update'!A45, 3) = "*((", "", 'Monthly Update'!A45="", "", TRUE, 'Monthly Update'!A45)</f>
        <v/>
      </c>
      <c r="B45" s="220" t="str" cm="1">
        <f t="array" ref="B45">_xlfn.IFS(LEFT('Monthly Update'!B45, 3) = "*((", "", 'Monthly Update'!B45="", "", TRUE, 'Monthly Update'!B45)</f>
        <v/>
      </c>
      <c r="C45" s="221" t="str" cm="1">
        <f t="array" ref="C45">_xlfn.IFS(LEFT('Monthly Update'!CU45, 3) = "*((", "", 'Monthly Update'!CU45="", "", TRUE, 'Monthly Update'!CU45)</f>
        <v/>
      </c>
      <c r="D45" s="221" t="str" cm="1">
        <f t="array" ref="D45">_xlfn.IFS(LEFT('Monthly Update'!CV45, 3) = "*((", "", 'Monthly Update'!CV45="", "", TRUE, 'Monthly Update'!CV45)</f>
        <v/>
      </c>
      <c r="E45" s="221" t="str" cm="1">
        <f t="array" ref="E45">_xlfn.IFS(LEFT('Monthly Update'!CW45, 3) = "*((", "", 'Monthly Update'!CW45="", "", TRUE, 'Monthly Update'!CW45)</f>
        <v/>
      </c>
      <c r="F45" s="221" t="str" cm="1">
        <f t="array" ref="F45">_xlfn.IFS(LEFT('Monthly Update'!CX45, 3) = "*((", "", 'Monthly Update'!CX45="", "", TRUE, 'Monthly Update'!CX45)</f>
        <v/>
      </c>
      <c r="G45" s="221" t="str" cm="1">
        <f t="array" ref="G45">_xlfn.IFS(LEFT('Monthly Update'!CY45, 3) = "*((", "", 'Monthly Update'!CY45="", "", TRUE, 'Monthly Update'!CY45)</f>
        <v/>
      </c>
      <c r="H45" s="221" t="str" cm="1">
        <f t="array" ref="H45">_xlfn.IFS(LEFT('Monthly Update'!CZ45, 3) = "*((", "", 'Monthly Update'!CZ45="", "", TRUE, 'Monthly Update'!CZ45)</f>
        <v/>
      </c>
      <c r="I45" s="221" t="str" cm="1">
        <f t="array" ref="I45">_xlfn.IFS(LEFT('Monthly Update'!DA45, 3) = "*((", "", 'Monthly Update'!DA45="", "", TRUE, 'Monthly Update'!DA45)</f>
        <v/>
      </c>
      <c r="J45" s="221" t="str" cm="1">
        <f t="array" ref="J45">_xlfn.IFS(LEFT('Monthly Update'!DB45, 3) = "*((", "", 'Monthly Update'!DB45="", "", TRUE, 'Monthly Update'!DB45)</f>
        <v/>
      </c>
      <c r="K45" s="221" t="str" cm="1">
        <f t="array" ref="K45">_xlfn.IFS(LEFT('Monthly Update'!DC45, 3) = "*((", "", 'Monthly Update'!DC45="", "", TRUE, 'Monthly Update'!DC45)</f>
        <v/>
      </c>
      <c r="L45" s="221" t="str" cm="1">
        <f t="array" ref="L45">_xlfn.IFS(LEFT('Monthly Update'!DD45, 3) = "*((", "", 'Monthly Update'!DD45="", "", TRUE, 'Monthly Update'!DD45)</f>
        <v/>
      </c>
      <c r="M45" s="221" t="str" cm="1">
        <f t="array" ref="M45">_xlfn.IFS(LEFT('Monthly Update'!DE45, 3) = "*((", "", 'Monthly Update'!DE45="", "", TRUE, 'Monthly Update'!DE45)</f>
        <v/>
      </c>
      <c r="N45" s="221" t="str" cm="1">
        <f t="array" ref="N45">_xlfn.IFS(LEFT('Monthly Update'!DF45, 3) = "*((", "", 'Monthly Update'!DF45="", "", TRUE, 'Monthly Update'!DF45)</f>
        <v/>
      </c>
      <c r="O45" s="221" t="str" cm="1">
        <f t="array" ref="O45">_xlfn.IFS(LEFT('Monthly Update'!DG45, 3) = "*((", "", 'Monthly Update'!DG45="", "", TRUE, 'Monthly Update'!DG45)</f>
        <v/>
      </c>
      <c r="P45" s="221" t="str" cm="1">
        <f t="array" ref="P45">_xlfn.IFS(LEFT('Monthly Update'!DH45, 3) = "*((", "", 'Monthly Update'!DH45="", "", TRUE, 'Monthly Update'!DH45)</f>
        <v/>
      </c>
      <c r="Q45" s="221" t="str" cm="1">
        <f t="array" ref="Q45">_xlfn.IFS(LEFT('Monthly Update'!DI45, 3) = "*((", "", 'Monthly Update'!DI45="", "", TRUE, 'Monthly Update'!DI45)</f>
        <v/>
      </c>
      <c r="R45" s="221" t="str" cm="1">
        <f t="array" ref="R45">_xlfn.IFS(LEFT('Monthly Update'!DJ45, 3) = "*((", "", 'Monthly Update'!DJ45="", "", TRUE, 'Monthly Update'!DJ45)</f>
        <v/>
      </c>
      <c r="S45" s="221" t="str" cm="1">
        <f t="array" ref="S45">_xlfn.IFS(LEFT('Monthly Update'!DK45, 3) = "*((", "", 'Monthly Update'!DK45="", "", TRUE, 'Monthly Update'!DK45)</f>
        <v/>
      </c>
      <c r="T45" s="221" t="str" cm="1">
        <f t="array" ref="T45">_xlfn.IFS(LEFT('Monthly Update'!DL45, 3) = "*((", "", 'Monthly Update'!DL45="", "", TRUE, 'Monthly Update'!DL45)</f>
        <v/>
      </c>
      <c r="U45" s="221" t="str" cm="1">
        <f t="array" ref="U45">_xlfn.IFS(LEFT('Monthly Update'!DM45, 3) = "*((", "", 'Monthly Update'!DM45="", "", TRUE, 'Monthly Update'!DM45)</f>
        <v/>
      </c>
      <c r="V45" s="221" t="str" cm="1">
        <f t="array" ref="V45">_xlfn.IFS(LEFT('Monthly Update'!DN45, 3) = "*((", "", 'Monthly Update'!DN45="", "", TRUE, 'Monthly Update'!DN45)</f>
        <v/>
      </c>
      <c r="W45" s="221" t="str" cm="1">
        <f t="array" ref="W45">_xlfn.IFS(LEFT('Monthly Update'!DO45, 3) = "*((", "", 'Monthly Update'!DO45="", "", TRUE, 'Monthly Update'!DO45)</f>
        <v/>
      </c>
      <c r="X45" s="221" t="str" cm="1">
        <f t="array" ref="X45">_xlfn.IFS(LEFT('Monthly Update'!DP45, 3) = "*((", "", 'Monthly Update'!DP45="", "", TRUE, 'Monthly Update'!DP45)</f>
        <v/>
      </c>
      <c r="Y45" s="221" t="str" cm="1">
        <f t="array" ref="Y45">_xlfn.IFS(LEFT('Monthly Update'!DQ45, 3) = "*((", "", 'Monthly Update'!DQ45="", "", TRUE, 'Monthly Update'!DQ45)</f>
        <v/>
      </c>
      <c r="Z45" s="221" t="str" cm="1">
        <f t="array" ref="Z45">_xlfn.IFS(LEFT('Monthly Update'!DR45, 3) = "*((", "", 'Monthly Update'!DR45="", "", TRUE, 'Monthly Update'!DR45)</f>
        <v/>
      </c>
      <c r="AA45" s="221" t="str" cm="1">
        <f t="array" ref="AA45">_xlfn.IFS(LEFT('Monthly Update'!DS45, 3) = "*((", "", 'Monthly Update'!DS45="", "", TRUE, 'Monthly Update'!DS45)</f>
        <v/>
      </c>
      <c r="AB45" s="221" t="str" cm="1">
        <f t="array" ref="AB45">_xlfn.IFS(LEFT('Monthly Update'!DT45, 3) = "*((", "", 'Monthly Update'!DT45="", "", TRUE, 'Monthly Update'!DT45)</f>
        <v/>
      </c>
      <c r="AC45" s="221" t="str" cm="1">
        <f t="array" ref="AC45">_xlfn.IFS(LEFT('Monthly Update'!DU45, 3) = "*((", "", 'Monthly Update'!DU45="", "", TRUE, 'Monthly Update'!DU45)</f>
        <v/>
      </c>
      <c r="AD45" s="221" t="str" cm="1">
        <f t="array" ref="AD45">_xlfn.IFS(LEFT('Monthly Update'!DV45, 3) = "*((", "", 'Monthly Update'!DV45="", "", TRUE, 'Monthly Update'!DV45)</f>
        <v/>
      </c>
      <c r="AE45" s="221" t="str" cm="1">
        <f t="array" ref="AE45">_xlfn.IFS(LEFT('Monthly Update'!DW45, 3) = "*((", "", 'Monthly Update'!DW45="", "", TRUE, 'Monthly Update'!DW45)</f>
        <v/>
      </c>
      <c r="AF45" s="221" t="str" cm="1">
        <f t="array" ref="AF45">_xlfn.IFS(LEFT('Monthly Update'!DX45, 3) = "*((", "", 'Monthly Update'!DX45="", "", TRUE, 'Monthly Update'!DX45)</f>
        <v/>
      </c>
      <c r="AG45" s="221" t="str" cm="1">
        <f t="array" ref="AG45">_xlfn.IFS(LEFT('Monthly Update'!DY45, 3) = "*((", "", 'Monthly Update'!DY45="", "", TRUE, 'Monthly Update'!DY45)</f>
        <v/>
      </c>
      <c r="AH45" s="221" t="str" cm="1">
        <f t="array" ref="AH45">_xlfn.IFS(LEFT('Monthly Update'!DZ45, 3) = "*((", "", 'Monthly Update'!DZ45="", "", TRUE, 'Monthly Update'!DZ45)</f>
        <v/>
      </c>
      <c r="AI45" s="221" t="str" cm="1">
        <f t="array" ref="AI45">_xlfn.IFS(LEFT('Monthly Update'!EA45, 3) = "*((", "", 'Monthly Update'!EA45="", "", TRUE, 'Monthly Update'!EA45)</f>
        <v/>
      </c>
      <c r="AJ45" s="221" t="str" cm="1">
        <f t="array" ref="AJ45">_xlfn.IFS(LEFT('Monthly Update'!EB45, 3) = "*((", "", 'Monthly Update'!EB45="", "", TRUE, 'Monthly Update'!EB45)</f>
        <v/>
      </c>
      <c r="AK45" s="221" t="str" cm="1">
        <f t="array" ref="AK45">_xlfn.IFS(LEFT('Monthly Update'!EC45, 3) = "*((", "", 'Monthly Update'!EC45="", "", TRUE, 'Monthly Update'!EC45)</f>
        <v/>
      </c>
      <c r="AL45" s="221" t="str" cm="1">
        <f t="array" ref="AL45">_xlfn.IFS(LEFT('Monthly Update'!ED45, 3) = "*((", "", 'Monthly Update'!ED45="", "", TRUE, 'Monthly Update'!ED45)</f>
        <v/>
      </c>
      <c r="AM45" s="221" t="str" cm="1">
        <f t="array" ref="AM45">_xlfn.IFS(LEFT('Monthly Update'!EE45, 3) = "*((", "", 'Monthly Update'!EE45="", "", TRUE, 'Monthly Update'!EE45)</f>
        <v/>
      </c>
      <c r="AN45" s="221" t="str" cm="1">
        <f t="array" ref="AN45">_xlfn.IFS(LEFT('Monthly Update'!EF45, 3) = "*((", "", 'Monthly Update'!EF45="", "", TRUE, 'Monthly Update'!EF45)</f>
        <v/>
      </c>
      <c r="AO45" s="221" t="str" cm="1">
        <f t="array" ref="AO45">_xlfn.IFS(LEFT('Monthly Update'!EG45, 3) = "*((", "", 'Monthly Update'!EG45="", "", TRUE, 'Monthly Update'!EG45)</f>
        <v/>
      </c>
      <c r="AP45" s="221" t="str" cm="1">
        <f t="array" ref="AP45">_xlfn.IFS(LEFT('Monthly Update'!EH45, 3) = "*((", "", 'Monthly Update'!EH45="", "", TRUE, 'Monthly Update'!EH45)</f>
        <v/>
      </c>
      <c r="AQ45" s="221" t="str" cm="1">
        <f t="array" ref="AQ45">_xlfn.IFS(LEFT('Monthly Update'!EI45, 3) = "*((", "", 'Monthly Update'!EI45="", "", TRUE, 'Monthly Update'!EI45)</f>
        <v/>
      </c>
      <c r="AR45" s="221" t="str" cm="1">
        <f t="array" ref="AR45">_xlfn.IFS(LEFT('Monthly Update'!EJ45, 3) = "*((", "", 'Monthly Update'!EJ45="", "", TRUE, 'Monthly Update'!EJ45)</f>
        <v/>
      </c>
      <c r="AS45" s="221" t="str" cm="1">
        <f t="array" ref="AS45">_xlfn.IFS(LEFT('Monthly Update'!EK45, 3) = "*((", "", 'Monthly Update'!EK45="", "", TRUE, 'Monthly Update'!EK45)</f>
        <v/>
      </c>
      <c r="AT45" s="221" t="str" cm="1">
        <f t="array" ref="AT45">_xlfn.IFS(LEFT('Monthly Update'!EL45, 3) = "*((", "", 'Monthly Update'!EL45="", "", TRUE, 'Monthly Update'!EL45)</f>
        <v/>
      </c>
      <c r="AU45" s="221" t="str" cm="1">
        <f t="array" ref="AU45">_xlfn.IFS(LEFT('Monthly Update'!EM45, 3) = "*((", "", 'Monthly Update'!EM45="", "", TRUE, 'Monthly Update'!EM45)</f>
        <v/>
      </c>
      <c r="AV45" s="221" t="str" cm="1">
        <f t="array" ref="AV45">_xlfn.IFS(LEFT('Monthly Update'!EN45, 3) = "*((", "", 'Monthly Update'!EN45="", "", TRUE, 'Monthly Update'!EN45)</f>
        <v/>
      </c>
      <c r="AW45" s="221" t="str" cm="1">
        <f t="array" ref="AW45">_xlfn.IFS(LEFT('Monthly Update'!EO45, 3) = "*((", "", 'Monthly Update'!EO45="", "", TRUE, 'Monthly Update'!EO45)</f>
        <v/>
      </c>
      <c r="NU45" s="252"/>
      <c r="NV45" s="252"/>
      <c r="NW45" s="252"/>
      <c r="NX45" s="252"/>
      <c r="NY45" s="252"/>
      <c r="NZ45" s="252"/>
      <c r="OA45" s="252"/>
      <c r="OB45" s="252"/>
      <c r="OC45" s="252"/>
      <c r="OD45" s="252"/>
      <c r="OE45" s="252"/>
      <c r="OF45" s="252"/>
      <c r="OG45" s="252"/>
      <c r="OH45" s="252"/>
      <c r="OI45" s="252"/>
      <c r="OJ45" s="252"/>
      <c r="OK45" s="252"/>
      <c r="OL45" s="252"/>
      <c r="OM45" s="252"/>
      <c r="ON45" s="252"/>
      <c r="OO45" s="252"/>
      <c r="OP45" s="252"/>
      <c r="OQ45" s="252"/>
      <c r="OR45" s="252"/>
      <c r="OS45" s="252"/>
      <c r="OT45" s="252"/>
      <c r="OU45" s="252"/>
      <c r="OV45" s="252"/>
      <c r="OW45" s="252"/>
      <c r="OX45" s="252"/>
      <c r="OY45" s="252"/>
      <c r="OZ45" s="252"/>
      <c r="PA45" s="252"/>
      <c r="PB45" s="252"/>
      <c r="PC45" s="252"/>
      <c r="PD45" s="252"/>
      <c r="PE45" s="252"/>
      <c r="PF45" s="252"/>
      <c r="PG45" s="252"/>
      <c r="PH45" s="252"/>
      <c r="PI45" s="252"/>
      <c r="PJ45" s="252"/>
      <c r="PK45" s="252"/>
      <c r="PL45" s="252"/>
      <c r="PM45" s="252"/>
      <c r="PN45" s="252"/>
      <c r="PO45" s="252"/>
      <c r="PP45" s="252"/>
      <c r="PQ45" s="252"/>
      <c r="PR45" s="252"/>
      <c r="PS45" s="252"/>
      <c r="PT45" s="252"/>
      <c r="PU45" s="252"/>
      <c r="PV45" s="252"/>
      <c r="PW45" s="252"/>
      <c r="PX45" s="252"/>
      <c r="PY45" s="252"/>
      <c r="PZ45" s="252"/>
      <c r="QA45" s="252"/>
      <c r="QB45" s="252"/>
      <c r="QC45" s="252"/>
      <c r="QD45" s="252"/>
      <c r="QE45" s="252"/>
      <c r="QF45" s="252"/>
      <c r="QG45" s="252"/>
      <c r="QH45" s="252"/>
      <c r="QI45" s="252"/>
      <c r="QJ45" s="252"/>
      <c r="QK45" s="252"/>
      <c r="QL45" s="252"/>
      <c r="QM45" s="252"/>
      <c r="QN45" s="252"/>
      <c r="QO45" s="252"/>
      <c r="QP45" s="252"/>
      <c r="QQ45" s="252"/>
      <c r="QR45" s="252"/>
      <c r="QS45" s="252"/>
      <c r="QT45" s="252"/>
      <c r="QU45" s="252"/>
      <c r="QV45" s="252"/>
      <c r="QW45" s="252"/>
      <c r="QX45" s="252"/>
      <c r="QY45" s="252"/>
      <c r="QZ45" s="252"/>
      <c r="RA45" s="252"/>
      <c r="RB45" s="252"/>
      <c r="RC45" s="252"/>
      <c r="RD45" s="252"/>
      <c r="RE45" s="252"/>
      <c r="RF45" s="252"/>
      <c r="RG45" s="252"/>
      <c r="RH45" s="252"/>
      <c r="RI45" s="252"/>
      <c r="RJ45" s="252"/>
      <c r="RK45" s="252"/>
      <c r="RL45" s="252"/>
      <c r="RM45" s="252"/>
      <c r="RN45" s="252"/>
      <c r="RO45" s="252"/>
      <c r="RP45" s="252"/>
      <c r="RQ45" s="252"/>
      <c r="RR45" s="252"/>
      <c r="RS45" s="252"/>
      <c r="RT45" s="252"/>
      <c r="RU45" s="252"/>
      <c r="RV45" s="252"/>
      <c r="RW45" s="252"/>
      <c r="RX45" s="252"/>
      <c r="RY45" s="252"/>
      <c r="RZ45" s="252"/>
      <c r="SA45" s="252"/>
      <c r="SB45" s="252"/>
      <c r="SC45" s="252"/>
      <c r="SD45" s="252"/>
      <c r="SE45" s="252"/>
      <c r="SF45" s="252"/>
      <c r="SG45" s="252"/>
      <c r="SH45" s="252"/>
      <c r="SI45" s="252"/>
      <c r="SJ45" s="252"/>
      <c r="SK45" s="252"/>
      <c r="SL45" s="252"/>
      <c r="SM45" s="252"/>
      <c r="SN45" s="252"/>
    </row>
    <row r="46" spans="1:508" s="243" customFormat="1" ht="15.6" customHeight="1" x14ac:dyDescent="0.55000000000000004">
      <c r="A46" s="220" t="str" cm="1">
        <f t="array" ref="A46">_xlfn.IFS(LEFT('Monthly Update'!A46, 3) = "*((", "", 'Monthly Update'!A46="", "", TRUE, 'Monthly Update'!A46)</f>
        <v/>
      </c>
      <c r="B46" s="220" t="str" cm="1">
        <f t="array" ref="B46">_xlfn.IFS(LEFT('Monthly Update'!B46, 3) = "*((", "", 'Monthly Update'!B46="", "", TRUE, 'Monthly Update'!B46)</f>
        <v/>
      </c>
      <c r="C46" s="221" t="str" cm="1">
        <f t="array" ref="C46">_xlfn.IFS(LEFT('Monthly Update'!CU46, 3) = "*((", "", 'Monthly Update'!CU46="", "", TRUE, 'Monthly Update'!CU46)</f>
        <v/>
      </c>
      <c r="D46" s="221" t="str" cm="1">
        <f t="array" ref="D46">_xlfn.IFS(LEFT('Monthly Update'!CV46, 3) = "*((", "", 'Monthly Update'!CV46="", "", TRUE, 'Monthly Update'!CV46)</f>
        <v/>
      </c>
      <c r="E46" s="221" t="str" cm="1">
        <f t="array" ref="E46">_xlfn.IFS(LEFT('Monthly Update'!CW46, 3) = "*((", "", 'Monthly Update'!CW46="", "", TRUE, 'Monthly Update'!CW46)</f>
        <v/>
      </c>
      <c r="F46" s="221" t="str" cm="1">
        <f t="array" ref="F46">_xlfn.IFS(LEFT('Monthly Update'!CX46, 3) = "*((", "", 'Monthly Update'!CX46="", "", TRUE, 'Monthly Update'!CX46)</f>
        <v/>
      </c>
      <c r="G46" s="221" t="str" cm="1">
        <f t="array" ref="G46">_xlfn.IFS(LEFT('Monthly Update'!CY46, 3) = "*((", "", 'Monthly Update'!CY46="", "", TRUE, 'Monthly Update'!CY46)</f>
        <v/>
      </c>
      <c r="H46" s="221" t="str" cm="1">
        <f t="array" ref="H46">_xlfn.IFS(LEFT('Monthly Update'!CZ46, 3) = "*((", "", 'Monthly Update'!CZ46="", "", TRUE, 'Monthly Update'!CZ46)</f>
        <v/>
      </c>
      <c r="I46" s="221" t="str" cm="1">
        <f t="array" ref="I46">_xlfn.IFS(LEFT('Monthly Update'!DA46, 3) = "*((", "", 'Monthly Update'!DA46="", "", TRUE, 'Monthly Update'!DA46)</f>
        <v/>
      </c>
      <c r="J46" s="221" t="str" cm="1">
        <f t="array" ref="J46">_xlfn.IFS(LEFT('Monthly Update'!DB46, 3) = "*((", "", 'Monthly Update'!DB46="", "", TRUE, 'Monthly Update'!DB46)</f>
        <v/>
      </c>
      <c r="K46" s="221" t="str" cm="1">
        <f t="array" ref="K46">_xlfn.IFS(LEFT('Monthly Update'!DC46, 3) = "*((", "", 'Monthly Update'!DC46="", "", TRUE, 'Monthly Update'!DC46)</f>
        <v/>
      </c>
      <c r="L46" s="221" t="str" cm="1">
        <f t="array" ref="L46">_xlfn.IFS(LEFT('Monthly Update'!DD46, 3) = "*((", "", 'Monthly Update'!DD46="", "", TRUE, 'Monthly Update'!DD46)</f>
        <v/>
      </c>
      <c r="M46" s="221" t="str" cm="1">
        <f t="array" ref="M46">_xlfn.IFS(LEFT('Monthly Update'!DE46, 3) = "*((", "", 'Monthly Update'!DE46="", "", TRUE, 'Monthly Update'!DE46)</f>
        <v/>
      </c>
      <c r="N46" s="221" t="str" cm="1">
        <f t="array" ref="N46">_xlfn.IFS(LEFT('Monthly Update'!DF46, 3) = "*((", "", 'Monthly Update'!DF46="", "", TRUE, 'Monthly Update'!DF46)</f>
        <v/>
      </c>
      <c r="O46" s="221" t="str" cm="1">
        <f t="array" ref="O46">_xlfn.IFS(LEFT('Monthly Update'!DG46, 3) = "*((", "", 'Monthly Update'!DG46="", "", TRUE, 'Monthly Update'!DG46)</f>
        <v/>
      </c>
      <c r="P46" s="221" t="str" cm="1">
        <f t="array" ref="P46">_xlfn.IFS(LEFT('Monthly Update'!DH46, 3) = "*((", "", 'Monthly Update'!DH46="", "", TRUE, 'Monthly Update'!DH46)</f>
        <v/>
      </c>
      <c r="Q46" s="221" t="str" cm="1">
        <f t="array" ref="Q46">_xlfn.IFS(LEFT('Monthly Update'!DI46, 3) = "*((", "", 'Monthly Update'!DI46="", "", TRUE, 'Monthly Update'!DI46)</f>
        <v/>
      </c>
      <c r="R46" s="221" t="str" cm="1">
        <f t="array" ref="R46">_xlfn.IFS(LEFT('Monthly Update'!DJ46, 3) = "*((", "", 'Monthly Update'!DJ46="", "", TRUE, 'Monthly Update'!DJ46)</f>
        <v/>
      </c>
      <c r="S46" s="221" t="str" cm="1">
        <f t="array" ref="S46">_xlfn.IFS(LEFT('Monthly Update'!DK46, 3) = "*((", "", 'Monthly Update'!DK46="", "", TRUE, 'Monthly Update'!DK46)</f>
        <v/>
      </c>
      <c r="T46" s="221" t="str" cm="1">
        <f t="array" ref="T46">_xlfn.IFS(LEFT('Monthly Update'!DL46, 3) = "*((", "", 'Monthly Update'!DL46="", "", TRUE, 'Monthly Update'!DL46)</f>
        <v/>
      </c>
      <c r="U46" s="221" t="str" cm="1">
        <f t="array" ref="U46">_xlfn.IFS(LEFT('Monthly Update'!DM46, 3) = "*((", "", 'Monthly Update'!DM46="", "", TRUE, 'Monthly Update'!DM46)</f>
        <v/>
      </c>
      <c r="V46" s="221" t="str" cm="1">
        <f t="array" ref="V46">_xlfn.IFS(LEFT('Monthly Update'!DN46, 3) = "*((", "", 'Monthly Update'!DN46="", "", TRUE, 'Monthly Update'!DN46)</f>
        <v/>
      </c>
      <c r="W46" s="221" t="str" cm="1">
        <f t="array" ref="W46">_xlfn.IFS(LEFT('Monthly Update'!DO46, 3) = "*((", "", 'Monthly Update'!DO46="", "", TRUE, 'Monthly Update'!DO46)</f>
        <v/>
      </c>
      <c r="X46" s="221" t="str" cm="1">
        <f t="array" ref="X46">_xlfn.IFS(LEFT('Monthly Update'!DP46, 3) = "*((", "", 'Monthly Update'!DP46="", "", TRUE, 'Monthly Update'!DP46)</f>
        <v/>
      </c>
      <c r="Y46" s="221" t="str" cm="1">
        <f t="array" ref="Y46">_xlfn.IFS(LEFT('Monthly Update'!DQ46, 3) = "*((", "", 'Monthly Update'!DQ46="", "", TRUE, 'Monthly Update'!DQ46)</f>
        <v/>
      </c>
      <c r="Z46" s="221" t="str" cm="1">
        <f t="array" ref="Z46">_xlfn.IFS(LEFT('Monthly Update'!DR46, 3) = "*((", "", 'Monthly Update'!DR46="", "", TRUE, 'Monthly Update'!DR46)</f>
        <v/>
      </c>
      <c r="AA46" s="221" t="str" cm="1">
        <f t="array" ref="AA46">_xlfn.IFS(LEFT('Monthly Update'!DS46, 3) = "*((", "", 'Monthly Update'!DS46="", "", TRUE, 'Monthly Update'!DS46)</f>
        <v/>
      </c>
      <c r="AB46" s="221" t="str" cm="1">
        <f t="array" ref="AB46">_xlfn.IFS(LEFT('Monthly Update'!DT46, 3) = "*((", "", 'Monthly Update'!DT46="", "", TRUE, 'Monthly Update'!DT46)</f>
        <v/>
      </c>
      <c r="AC46" s="221" t="str" cm="1">
        <f t="array" ref="AC46">_xlfn.IFS(LEFT('Monthly Update'!DU46, 3) = "*((", "", 'Monthly Update'!DU46="", "", TRUE, 'Monthly Update'!DU46)</f>
        <v/>
      </c>
      <c r="AD46" s="221" t="str" cm="1">
        <f t="array" ref="AD46">_xlfn.IFS(LEFT('Monthly Update'!DV46, 3) = "*((", "", 'Monthly Update'!DV46="", "", TRUE, 'Monthly Update'!DV46)</f>
        <v/>
      </c>
      <c r="AE46" s="221" t="str" cm="1">
        <f t="array" ref="AE46">_xlfn.IFS(LEFT('Monthly Update'!DW46, 3) = "*((", "", 'Monthly Update'!DW46="", "", TRUE, 'Monthly Update'!DW46)</f>
        <v/>
      </c>
      <c r="AF46" s="221" t="str" cm="1">
        <f t="array" ref="AF46">_xlfn.IFS(LEFT('Monthly Update'!DX46, 3) = "*((", "", 'Monthly Update'!DX46="", "", TRUE, 'Monthly Update'!DX46)</f>
        <v/>
      </c>
      <c r="AG46" s="221" t="str" cm="1">
        <f t="array" ref="AG46">_xlfn.IFS(LEFT('Monthly Update'!DY46, 3) = "*((", "", 'Monthly Update'!DY46="", "", TRUE, 'Monthly Update'!DY46)</f>
        <v/>
      </c>
      <c r="AH46" s="221" t="str" cm="1">
        <f t="array" ref="AH46">_xlfn.IFS(LEFT('Monthly Update'!DZ46, 3) = "*((", "", 'Monthly Update'!DZ46="", "", TRUE, 'Monthly Update'!DZ46)</f>
        <v/>
      </c>
      <c r="AI46" s="221" t="str" cm="1">
        <f t="array" ref="AI46">_xlfn.IFS(LEFT('Monthly Update'!EA46, 3) = "*((", "", 'Monthly Update'!EA46="", "", TRUE, 'Monthly Update'!EA46)</f>
        <v/>
      </c>
      <c r="AJ46" s="221" t="str" cm="1">
        <f t="array" ref="AJ46">_xlfn.IFS(LEFT('Monthly Update'!EB46, 3) = "*((", "", 'Monthly Update'!EB46="", "", TRUE, 'Monthly Update'!EB46)</f>
        <v/>
      </c>
      <c r="AK46" s="221" t="str" cm="1">
        <f t="array" ref="AK46">_xlfn.IFS(LEFT('Monthly Update'!EC46, 3) = "*((", "", 'Monthly Update'!EC46="", "", TRUE, 'Monthly Update'!EC46)</f>
        <v/>
      </c>
      <c r="AL46" s="221" t="str" cm="1">
        <f t="array" ref="AL46">_xlfn.IFS(LEFT('Monthly Update'!ED46, 3) = "*((", "", 'Monthly Update'!ED46="", "", TRUE, 'Monthly Update'!ED46)</f>
        <v/>
      </c>
      <c r="AM46" s="221" t="str" cm="1">
        <f t="array" ref="AM46">_xlfn.IFS(LEFT('Monthly Update'!EE46, 3) = "*((", "", 'Monthly Update'!EE46="", "", TRUE, 'Monthly Update'!EE46)</f>
        <v/>
      </c>
      <c r="AN46" s="221" t="str" cm="1">
        <f t="array" ref="AN46">_xlfn.IFS(LEFT('Monthly Update'!EF46, 3) = "*((", "", 'Monthly Update'!EF46="", "", TRUE, 'Monthly Update'!EF46)</f>
        <v/>
      </c>
      <c r="AO46" s="221" t="str" cm="1">
        <f t="array" ref="AO46">_xlfn.IFS(LEFT('Monthly Update'!EG46, 3) = "*((", "", 'Monthly Update'!EG46="", "", TRUE, 'Monthly Update'!EG46)</f>
        <v/>
      </c>
      <c r="AP46" s="221" t="str" cm="1">
        <f t="array" ref="AP46">_xlfn.IFS(LEFT('Monthly Update'!EH46, 3) = "*((", "", 'Monthly Update'!EH46="", "", TRUE, 'Monthly Update'!EH46)</f>
        <v/>
      </c>
      <c r="AQ46" s="221" t="str" cm="1">
        <f t="array" ref="AQ46">_xlfn.IFS(LEFT('Monthly Update'!EI46, 3) = "*((", "", 'Monthly Update'!EI46="", "", TRUE, 'Monthly Update'!EI46)</f>
        <v/>
      </c>
      <c r="AR46" s="221" t="str" cm="1">
        <f t="array" ref="AR46">_xlfn.IFS(LEFT('Monthly Update'!EJ46, 3) = "*((", "", 'Monthly Update'!EJ46="", "", TRUE, 'Monthly Update'!EJ46)</f>
        <v/>
      </c>
      <c r="AS46" s="221" t="str" cm="1">
        <f t="array" ref="AS46">_xlfn.IFS(LEFT('Monthly Update'!EK46, 3) = "*((", "", 'Monthly Update'!EK46="", "", TRUE, 'Monthly Update'!EK46)</f>
        <v/>
      </c>
      <c r="AT46" s="221" t="str" cm="1">
        <f t="array" ref="AT46">_xlfn.IFS(LEFT('Monthly Update'!EL46, 3) = "*((", "", 'Monthly Update'!EL46="", "", TRUE, 'Monthly Update'!EL46)</f>
        <v/>
      </c>
      <c r="AU46" s="221" t="str" cm="1">
        <f t="array" ref="AU46">_xlfn.IFS(LEFT('Monthly Update'!EM46, 3) = "*((", "", 'Monthly Update'!EM46="", "", TRUE, 'Monthly Update'!EM46)</f>
        <v/>
      </c>
      <c r="AV46" s="221" t="str" cm="1">
        <f t="array" ref="AV46">_xlfn.IFS(LEFT('Monthly Update'!EN46, 3) = "*((", "", 'Monthly Update'!EN46="", "", TRUE, 'Monthly Update'!EN46)</f>
        <v/>
      </c>
      <c r="AW46" s="221" t="str" cm="1">
        <f t="array" ref="AW46">_xlfn.IFS(LEFT('Monthly Update'!EO46, 3) = "*((", "", 'Monthly Update'!EO46="", "", TRUE, 'Monthly Update'!EO46)</f>
        <v/>
      </c>
      <c r="NU46" s="252"/>
      <c r="NV46" s="252"/>
      <c r="NW46" s="252"/>
      <c r="NX46" s="252"/>
      <c r="NY46" s="252"/>
      <c r="NZ46" s="252"/>
      <c r="OA46" s="252"/>
      <c r="OB46" s="252"/>
      <c r="OC46" s="252"/>
      <c r="OD46" s="252"/>
      <c r="OE46" s="252"/>
      <c r="OF46" s="252"/>
      <c r="OG46" s="252"/>
      <c r="OH46" s="252"/>
      <c r="OI46" s="252"/>
      <c r="OJ46" s="252"/>
      <c r="OK46" s="252"/>
      <c r="OL46" s="252"/>
      <c r="OM46" s="252"/>
      <c r="ON46" s="252"/>
      <c r="OO46" s="252"/>
      <c r="OP46" s="252"/>
      <c r="OQ46" s="252"/>
      <c r="OR46" s="252"/>
      <c r="OS46" s="252"/>
      <c r="OT46" s="252"/>
      <c r="OU46" s="252"/>
      <c r="OV46" s="252"/>
      <c r="OW46" s="252"/>
      <c r="OX46" s="252"/>
      <c r="OY46" s="252"/>
      <c r="OZ46" s="252"/>
      <c r="PA46" s="252"/>
      <c r="PB46" s="252"/>
      <c r="PC46" s="252"/>
      <c r="PD46" s="252"/>
      <c r="PE46" s="252"/>
      <c r="PF46" s="252"/>
      <c r="PG46" s="252"/>
      <c r="PH46" s="252"/>
      <c r="PI46" s="252"/>
      <c r="PJ46" s="252"/>
      <c r="PK46" s="252"/>
      <c r="PL46" s="252"/>
      <c r="PM46" s="252"/>
      <c r="PN46" s="252"/>
      <c r="PO46" s="252"/>
      <c r="PP46" s="252"/>
      <c r="PQ46" s="252"/>
      <c r="PR46" s="252"/>
      <c r="PS46" s="252"/>
      <c r="PT46" s="252"/>
      <c r="PU46" s="252"/>
      <c r="PV46" s="252"/>
      <c r="PW46" s="252"/>
      <c r="PX46" s="252"/>
      <c r="PY46" s="252"/>
      <c r="PZ46" s="252"/>
      <c r="QA46" s="252"/>
      <c r="QB46" s="252"/>
      <c r="QC46" s="252"/>
      <c r="QD46" s="252"/>
      <c r="QE46" s="252"/>
      <c r="QF46" s="252"/>
      <c r="QG46" s="252"/>
      <c r="QH46" s="252"/>
      <c r="QI46" s="252"/>
      <c r="QJ46" s="252"/>
      <c r="QK46" s="252"/>
      <c r="QL46" s="252"/>
      <c r="QM46" s="252"/>
      <c r="QN46" s="252"/>
      <c r="QO46" s="252"/>
      <c r="QP46" s="252"/>
      <c r="QQ46" s="252"/>
      <c r="QR46" s="252"/>
      <c r="QS46" s="252"/>
      <c r="QT46" s="252"/>
      <c r="QU46" s="252"/>
      <c r="QV46" s="252"/>
      <c r="QW46" s="252"/>
      <c r="QX46" s="252"/>
      <c r="QY46" s="252"/>
      <c r="QZ46" s="252"/>
      <c r="RA46" s="252"/>
      <c r="RB46" s="252"/>
      <c r="RC46" s="252"/>
      <c r="RD46" s="252"/>
      <c r="RE46" s="252"/>
      <c r="RF46" s="252"/>
      <c r="RG46" s="252"/>
      <c r="RH46" s="252"/>
      <c r="RI46" s="252"/>
      <c r="RJ46" s="252"/>
      <c r="RK46" s="252"/>
      <c r="RL46" s="252"/>
      <c r="RM46" s="252"/>
      <c r="RN46" s="252"/>
      <c r="RO46" s="252"/>
      <c r="RP46" s="252"/>
      <c r="RQ46" s="252"/>
      <c r="RR46" s="252"/>
      <c r="RS46" s="252"/>
      <c r="RT46" s="252"/>
      <c r="RU46" s="252"/>
      <c r="RV46" s="252"/>
      <c r="RW46" s="252"/>
      <c r="RX46" s="252"/>
      <c r="RY46" s="252"/>
      <c r="RZ46" s="252"/>
      <c r="SA46" s="252"/>
      <c r="SB46" s="252"/>
      <c r="SC46" s="252"/>
      <c r="SD46" s="252"/>
      <c r="SE46" s="252"/>
      <c r="SF46" s="252"/>
      <c r="SG46" s="252"/>
      <c r="SH46" s="252"/>
      <c r="SI46" s="252"/>
      <c r="SJ46" s="252"/>
      <c r="SK46" s="252"/>
      <c r="SL46" s="252"/>
      <c r="SM46" s="252"/>
      <c r="SN46" s="252"/>
    </row>
    <row r="47" spans="1:508" s="243" customFormat="1" ht="15.6" customHeight="1" x14ac:dyDescent="0.55000000000000004">
      <c r="A47" s="220" t="str" cm="1">
        <f t="array" ref="A47">_xlfn.IFS(LEFT('Monthly Update'!A47, 3) = "*((", "", 'Monthly Update'!A47="", "", TRUE, 'Monthly Update'!A47)</f>
        <v/>
      </c>
      <c r="B47" s="220" t="str" cm="1">
        <f t="array" ref="B47">_xlfn.IFS(LEFT('Monthly Update'!B47, 3) = "*((", "", 'Monthly Update'!B47="", "", TRUE, 'Monthly Update'!B47)</f>
        <v/>
      </c>
      <c r="C47" s="221" t="str" cm="1">
        <f t="array" ref="C47">_xlfn.IFS(LEFT('Monthly Update'!CU47, 3) = "*((", "", 'Monthly Update'!CU47="", "", TRUE, 'Monthly Update'!CU47)</f>
        <v/>
      </c>
      <c r="D47" s="221" t="str" cm="1">
        <f t="array" ref="D47">_xlfn.IFS(LEFT('Monthly Update'!CV47, 3) = "*((", "", 'Monthly Update'!CV47="", "", TRUE, 'Monthly Update'!CV47)</f>
        <v/>
      </c>
      <c r="E47" s="221" t="str" cm="1">
        <f t="array" ref="E47">_xlfn.IFS(LEFT('Monthly Update'!CW47, 3) = "*((", "", 'Monthly Update'!CW47="", "", TRUE, 'Monthly Update'!CW47)</f>
        <v/>
      </c>
      <c r="F47" s="221" t="str" cm="1">
        <f t="array" ref="F47">_xlfn.IFS(LEFT('Monthly Update'!CX47, 3) = "*((", "", 'Monthly Update'!CX47="", "", TRUE, 'Monthly Update'!CX47)</f>
        <v/>
      </c>
      <c r="G47" s="221" t="str" cm="1">
        <f t="array" ref="G47">_xlfn.IFS(LEFT('Monthly Update'!CY47, 3) = "*((", "", 'Monthly Update'!CY47="", "", TRUE, 'Monthly Update'!CY47)</f>
        <v/>
      </c>
      <c r="H47" s="221" t="str" cm="1">
        <f t="array" ref="H47">_xlfn.IFS(LEFT('Monthly Update'!CZ47, 3) = "*((", "", 'Monthly Update'!CZ47="", "", TRUE, 'Monthly Update'!CZ47)</f>
        <v/>
      </c>
      <c r="I47" s="221" t="str" cm="1">
        <f t="array" ref="I47">_xlfn.IFS(LEFT('Monthly Update'!DA47, 3) = "*((", "", 'Monthly Update'!DA47="", "", TRUE, 'Monthly Update'!DA47)</f>
        <v/>
      </c>
      <c r="J47" s="221" t="str" cm="1">
        <f t="array" ref="J47">_xlfn.IFS(LEFT('Monthly Update'!DB47, 3) = "*((", "", 'Monthly Update'!DB47="", "", TRUE, 'Monthly Update'!DB47)</f>
        <v/>
      </c>
      <c r="K47" s="221" t="str" cm="1">
        <f t="array" ref="K47">_xlfn.IFS(LEFT('Monthly Update'!DC47, 3) = "*((", "", 'Monthly Update'!DC47="", "", TRUE, 'Monthly Update'!DC47)</f>
        <v/>
      </c>
      <c r="L47" s="221" t="str" cm="1">
        <f t="array" ref="L47">_xlfn.IFS(LEFT('Monthly Update'!DD47, 3) = "*((", "", 'Monthly Update'!DD47="", "", TRUE, 'Monthly Update'!DD47)</f>
        <v/>
      </c>
      <c r="M47" s="221" t="str" cm="1">
        <f t="array" ref="M47">_xlfn.IFS(LEFT('Monthly Update'!DE47, 3) = "*((", "", 'Monthly Update'!DE47="", "", TRUE, 'Monthly Update'!DE47)</f>
        <v/>
      </c>
      <c r="N47" s="221" t="str" cm="1">
        <f t="array" ref="N47">_xlfn.IFS(LEFT('Monthly Update'!DF47, 3) = "*((", "", 'Monthly Update'!DF47="", "", TRUE, 'Monthly Update'!DF47)</f>
        <v/>
      </c>
      <c r="O47" s="221" t="str" cm="1">
        <f t="array" ref="O47">_xlfn.IFS(LEFT('Monthly Update'!DG47, 3) = "*((", "", 'Monthly Update'!DG47="", "", TRUE, 'Monthly Update'!DG47)</f>
        <v/>
      </c>
      <c r="P47" s="221" t="str" cm="1">
        <f t="array" ref="P47">_xlfn.IFS(LEFT('Monthly Update'!DH47, 3) = "*((", "", 'Monthly Update'!DH47="", "", TRUE, 'Monthly Update'!DH47)</f>
        <v/>
      </c>
      <c r="Q47" s="221" t="str" cm="1">
        <f t="array" ref="Q47">_xlfn.IFS(LEFT('Monthly Update'!DI47, 3) = "*((", "", 'Monthly Update'!DI47="", "", TRUE, 'Monthly Update'!DI47)</f>
        <v/>
      </c>
      <c r="R47" s="221" t="str" cm="1">
        <f t="array" ref="R47">_xlfn.IFS(LEFT('Monthly Update'!DJ47, 3) = "*((", "", 'Monthly Update'!DJ47="", "", TRUE, 'Monthly Update'!DJ47)</f>
        <v/>
      </c>
      <c r="S47" s="221" t="str" cm="1">
        <f t="array" ref="S47">_xlfn.IFS(LEFT('Monthly Update'!DK47, 3) = "*((", "", 'Monthly Update'!DK47="", "", TRUE, 'Monthly Update'!DK47)</f>
        <v/>
      </c>
      <c r="T47" s="221" t="str" cm="1">
        <f t="array" ref="T47">_xlfn.IFS(LEFT('Monthly Update'!DL47, 3) = "*((", "", 'Monthly Update'!DL47="", "", TRUE, 'Monthly Update'!DL47)</f>
        <v/>
      </c>
      <c r="U47" s="221" t="str" cm="1">
        <f t="array" ref="U47">_xlfn.IFS(LEFT('Monthly Update'!DM47, 3) = "*((", "", 'Monthly Update'!DM47="", "", TRUE, 'Monthly Update'!DM47)</f>
        <v/>
      </c>
      <c r="V47" s="221" t="str" cm="1">
        <f t="array" ref="V47">_xlfn.IFS(LEFT('Monthly Update'!DN47, 3) = "*((", "", 'Monthly Update'!DN47="", "", TRUE, 'Monthly Update'!DN47)</f>
        <v/>
      </c>
      <c r="W47" s="221" t="str" cm="1">
        <f t="array" ref="W47">_xlfn.IFS(LEFT('Monthly Update'!DO47, 3) = "*((", "", 'Monthly Update'!DO47="", "", TRUE, 'Monthly Update'!DO47)</f>
        <v/>
      </c>
      <c r="X47" s="221" t="str" cm="1">
        <f t="array" ref="X47">_xlfn.IFS(LEFT('Monthly Update'!DP47, 3) = "*((", "", 'Monthly Update'!DP47="", "", TRUE, 'Monthly Update'!DP47)</f>
        <v/>
      </c>
      <c r="Y47" s="221" t="str" cm="1">
        <f t="array" ref="Y47">_xlfn.IFS(LEFT('Monthly Update'!DQ47, 3) = "*((", "", 'Monthly Update'!DQ47="", "", TRUE, 'Monthly Update'!DQ47)</f>
        <v/>
      </c>
      <c r="Z47" s="221" t="str" cm="1">
        <f t="array" ref="Z47">_xlfn.IFS(LEFT('Monthly Update'!DR47, 3) = "*((", "", 'Monthly Update'!DR47="", "", TRUE, 'Monthly Update'!DR47)</f>
        <v/>
      </c>
      <c r="AA47" s="221" t="str" cm="1">
        <f t="array" ref="AA47">_xlfn.IFS(LEFT('Monthly Update'!DS47, 3) = "*((", "", 'Monthly Update'!DS47="", "", TRUE, 'Monthly Update'!DS47)</f>
        <v/>
      </c>
      <c r="AB47" s="221" t="str" cm="1">
        <f t="array" ref="AB47">_xlfn.IFS(LEFT('Monthly Update'!DT47, 3) = "*((", "", 'Monthly Update'!DT47="", "", TRUE, 'Monthly Update'!DT47)</f>
        <v/>
      </c>
      <c r="AC47" s="221" t="str" cm="1">
        <f t="array" ref="AC47">_xlfn.IFS(LEFT('Monthly Update'!DU47, 3) = "*((", "", 'Monthly Update'!DU47="", "", TRUE, 'Monthly Update'!DU47)</f>
        <v/>
      </c>
      <c r="AD47" s="221" t="str" cm="1">
        <f t="array" ref="AD47">_xlfn.IFS(LEFT('Monthly Update'!DV47, 3) = "*((", "", 'Monthly Update'!DV47="", "", TRUE, 'Monthly Update'!DV47)</f>
        <v/>
      </c>
      <c r="AE47" s="221" t="str" cm="1">
        <f t="array" ref="AE47">_xlfn.IFS(LEFT('Monthly Update'!DW47, 3) = "*((", "", 'Monthly Update'!DW47="", "", TRUE, 'Monthly Update'!DW47)</f>
        <v/>
      </c>
      <c r="AF47" s="221" t="str" cm="1">
        <f t="array" ref="AF47">_xlfn.IFS(LEFT('Monthly Update'!DX47, 3) = "*((", "", 'Monthly Update'!DX47="", "", TRUE, 'Monthly Update'!DX47)</f>
        <v/>
      </c>
      <c r="AG47" s="221" t="str" cm="1">
        <f t="array" ref="AG47">_xlfn.IFS(LEFT('Monthly Update'!DY47, 3) = "*((", "", 'Monthly Update'!DY47="", "", TRUE, 'Monthly Update'!DY47)</f>
        <v/>
      </c>
      <c r="AH47" s="221" t="str" cm="1">
        <f t="array" ref="AH47">_xlfn.IFS(LEFT('Monthly Update'!DZ47, 3) = "*((", "", 'Monthly Update'!DZ47="", "", TRUE, 'Monthly Update'!DZ47)</f>
        <v/>
      </c>
      <c r="AI47" s="221" t="str" cm="1">
        <f t="array" ref="AI47">_xlfn.IFS(LEFT('Monthly Update'!EA47, 3) = "*((", "", 'Monthly Update'!EA47="", "", TRUE, 'Monthly Update'!EA47)</f>
        <v/>
      </c>
      <c r="AJ47" s="221" t="str" cm="1">
        <f t="array" ref="AJ47">_xlfn.IFS(LEFT('Monthly Update'!EB47, 3) = "*((", "", 'Monthly Update'!EB47="", "", TRUE, 'Monthly Update'!EB47)</f>
        <v/>
      </c>
      <c r="AK47" s="221" t="str" cm="1">
        <f t="array" ref="AK47">_xlfn.IFS(LEFT('Monthly Update'!EC47, 3) = "*((", "", 'Monthly Update'!EC47="", "", TRUE, 'Monthly Update'!EC47)</f>
        <v/>
      </c>
      <c r="AL47" s="221" t="str" cm="1">
        <f t="array" ref="AL47">_xlfn.IFS(LEFT('Monthly Update'!ED47, 3) = "*((", "", 'Monthly Update'!ED47="", "", TRUE, 'Monthly Update'!ED47)</f>
        <v/>
      </c>
      <c r="AM47" s="221" t="str" cm="1">
        <f t="array" ref="AM47">_xlfn.IFS(LEFT('Monthly Update'!EE47, 3) = "*((", "", 'Monthly Update'!EE47="", "", TRUE, 'Monthly Update'!EE47)</f>
        <v/>
      </c>
      <c r="AN47" s="221" t="str" cm="1">
        <f t="array" ref="AN47">_xlfn.IFS(LEFT('Monthly Update'!EF47, 3) = "*((", "", 'Monthly Update'!EF47="", "", TRUE, 'Monthly Update'!EF47)</f>
        <v/>
      </c>
      <c r="AO47" s="221" t="str" cm="1">
        <f t="array" ref="AO47">_xlfn.IFS(LEFT('Monthly Update'!EG47, 3) = "*((", "", 'Monthly Update'!EG47="", "", TRUE, 'Monthly Update'!EG47)</f>
        <v/>
      </c>
      <c r="AP47" s="221" t="str" cm="1">
        <f t="array" ref="AP47">_xlfn.IFS(LEFT('Monthly Update'!EH47, 3) = "*((", "", 'Monthly Update'!EH47="", "", TRUE, 'Monthly Update'!EH47)</f>
        <v/>
      </c>
      <c r="AQ47" s="221" t="str" cm="1">
        <f t="array" ref="AQ47">_xlfn.IFS(LEFT('Monthly Update'!EI47, 3) = "*((", "", 'Monthly Update'!EI47="", "", TRUE, 'Monthly Update'!EI47)</f>
        <v/>
      </c>
      <c r="AR47" s="221" t="str" cm="1">
        <f t="array" ref="AR47">_xlfn.IFS(LEFT('Monthly Update'!EJ47, 3) = "*((", "", 'Monthly Update'!EJ47="", "", TRUE, 'Monthly Update'!EJ47)</f>
        <v/>
      </c>
      <c r="AS47" s="221" t="str" cm="1">
        <f t="array" ref="AS47">_xlfn.IFS(LEFT('Monthly Update'!EK47, 3) = "*((", "", 'Monthly Update'!EK47="", "", TRUE, 'Monthly Update'!EK47)</f>
        <v/>
      </c>
      <c r="AT47" s="221" t="str" cm="1">
        <f t="array" ref="AT47">_xlfn.IFS(LEFT('Monthly Update'!EL47, 3) = "*((", "", 'Monthly Update'!EL47="", "", TRUE, 'Monthly Update'!EL47)</f>
        <v/>
      </c>
      <c r="AU47" s="221" t="str" cm="1">
        <f t="array" ref="AU47">_xlfn.IFS(LEFT('Monthly Update'!EM47, 3) = "*((", "", 'Monthly Update'!EM47="", "", TRUE, 'Monthly Update'!EM47)</f>
        <v/>
      </c>
      <c r="AV47" s="221" t="str" cm="1">
        <f t="array" ref="AV47">_xlfn.IFS(LEFT('Monthly Update'!EN47, 3) = "*((", "", 'Monthly Update'!EN47="", "", TRUE, 'Monthly Update'!EN47)</f>
        <v/>
      </c>
      <c r="AW47" s="221" t="str" cm="1">
        <f t="array" ref="AW47">_xlfn.IFS(LEFT('Monthly Update'!EO47, 3) = "*((", "", 'Monthly Update'!EO47="", "", TRUE, 'Monthly Update'!EO47)</f>
        <v/>
      </c>
      <c r="NU47" s="252"/>
      <c r="NV47" s="252"/>
      <c r="NW47" s="252"/>
      <c r="NX47" s="252"/>
      <c r="NY47" s="252"/>
      <c r="NZ47" s="252"/>
      <c r="OA47" s="252"/>
      <c r="OB47" s="252"/>
      <c r="OC47" s="252"/>
      <c r="OD47" s="252"/>
      <c r="OE47" s="252"/>
      <c r="OF47" s="252"/>
      <c r="OG47" s="252"/>
      <c r="OH47" s="252"/>
      <c r="OI47" s="252"/>
      <c r="OJ47" s="252"/>
      <c r="OK47" s="252"/>
      <c r="OL47" s="252"/>
      <c r="OM47" s="252"/>
      <c r="ON47" s="252"/>
      <c r="OO47" s="252"/>
      <c r="OP47" s="252"/>
      <c r="OQ47" s="252"/>
      <c r="OR47" s="252"/>
      <c r="OS47" s="252"/>
      <c r="OT47" s="252"/>
      <c r="OU47" s="252"/>
      <c r="OV47" s="252"/>
      <c r="OW47" s="252"/>
      <c r="OX47" s="252"/>
      <c r="OY47" s="252"/>
      <c r="OZ47" s="252"/>
      <c r="PA47" s="252"/>
      <c r="PB47" s="252"/>
      <c r="PC47" s="252"/>
      <c r="PD47" s="252"/>
      <c r="PE47" s="252"/>
      <c r="PF47" s="252"/>
      <c r="PG47" s="252"/>
      <c r="PH47" s="252"/>
      <c r="PI47" s="252"/>
      <c r="PJ47" s="252"/>
      <c r="PK47" s="252"/>
      <c r="PL47" s="252"/>
      <c r="PM47" s="252"/>
      <c r="PN47" s="252"/>
      <c r="PO47" s="252"/>
      <c r="PP47" s="252"/>
      <c r="PQ47" s="252"/>
      <c r="PR47" s="252"/>
      <c r="PS47" s="252"/>
      <c r="PT47" s="252"/>
      <c r="PU47" s="252"/>
      <c r="PV47" s="252"/>
      <c r="PW47" s="252"/>
      <c r="PX47" s="252"/>
      <c r="PY47" s="252"/>
      <c r="PZ47" s="252"/>
      <c r="QA47" s="252"/>
      <c r="QB47" s="252"/>
      <c r="QC47" s="252"/>
      <c r="QD47" s="252"/>
      <c r="QE47" s="252"/>
      <c r="QF47" s="252"/>
      <c r="QG47" s="252"/>
      <c r="QH47" s="252"/>
      <c r="QI47" s="252"/>
      <c r="QJ47" s="252"/>
      <c r="QK47" s="252"/>
      <c r="QL47" s="252"/>
      <c r="QM47" s="252"/>
      <c r="QN47" s="252"/>
      <c r="QO47" s="252"/>
      <c r="QP47" s="252"/>
      <c r="QQ47" s="252"/>
      <c r="QR47" s="252"/>
      <c r="QS47" s="252"/>
      <c r="QT47" s="252"/>
      <c r="QU47" s="252"/>
      <c r="QV47" s="252"/>
      <c r="QW47" s="252"/>
      <c r="QX47" s="252"/>
      <c r="QY47" s="252"/>
      <c r="QZ47" s="252"/>
      <c r="RA47" s="252"/>
      <c r="RB47" s="252"/>
      <c r="RC47" s="252"/>
      <c r="RD47" s="252"/>
      <c r="RE47" s="252"/>
      <c r="RF47" s="252"/>
      <c r="RG47" s="252"/>
      <c r="RH47" s="252"/>
      <c r="RI47" s="252"/>
      <c r="RJ47" s="252"/>
      <c r="RK47" s="252"/>
      <c r="RL47" s="252"/>
      <c r="RM47" s="252"/>
      <c r="RN47" s="252"/>
      <c r="RO47" s="252"/>
      <c r="RP47" s="252"/>
      <c r="RQ47" s="252"/>
      <c r="RR47" s="252"/>
      <c r="RS47" s="252"/>
      <c r="RT47" s="252"/>
      <c r="RU47" s="252"/>
      <c r="RV47" s="252"/>
      <c r="RW47" s="252"/>
      <c r="RX47" s="252"/>
      <c r="RY47" s="252"/>
      <c r="RZ47" s="252"/>
      <c r="SA47" s="252"/>
      <c r="SB47" s="252"/>
      <c r="SC47" s="252"/>
      <c r="SD47" s="252"/>
      <c r="SE47" s="252"/>
      <c r="SF47" s="252"/>
      <c r="SG47" s="252"/>
      <c r="SH47" s="252"/>
      <c r="SI47" s="252"/>
      <c r="SJ47" s="252"/>
      <c r="SK47" s="252"/>
      <c r="SL47" s="252"/>
      <c r="SM47" s="252"/>
      <c r="SN47" s="252"/>
    </row>
    <row r="48" spans="1:508" s="243" customFormat="1" ht="15.6" customHeight="1" x14ac:dyDescent="0.55000000000000004">
      <c r="A48" s="220" t="str" cm="1">
        <f t="array" ref="A48">_xlfn.IFS(LEFT('Monthly Update'!A48, 3) = "*((", "", 'Monthly Update'!A48="", "", TRUE, 'Monthly Update'!A48)</f>
        <v/>
      </c>
      <c r="B48" s="220" t="str" cm="1">
        <f t="array" ref="B48">_xlfn.IFS(LEFT('Monthly Update'!B48, 3) = "*((", "", 'Monthly Update'!B48="", "", TRUE, 'Monthly Update'!B48)</f>
        <v/>
      </c>
      <c r="C48" s="221" t="str" cm="1">
        <f t="array" ref="C48">_xlfn.IFS(LEFT('Monthly Update'!CU48, 3) = "*((", "", 'Monthly Update'!CU48="", "", TRUE, 'Monthly Update'!CU48)</f>
        <v/>
      </c>
      <c r="D48" s="221" t="str" cm="1">
        <f t="array" ref="D48">_xlfn.IFS(LEFT('Monthly Update'!CV48, 3) = "*((", "", 'Monthly Update'!CV48="", "", TRUE, 'Monthly Update'!CV48)</f>
        <v/>
      </c>
      <c r="E48" s="221" t="str" cm="1">
        <f t="array" ref="E48">_xlfn.IFS(LEFT('Monthly Update'!CW48, 3) = "*((", "", 'Monthly Update'!CW48="", "", TRUE, 'Monthly Update'!CW48)</f>
        <v/>
      </c>
      <c r="F48" s="221" t="str" cm="1">
        <f t="array" ref="F48">_xlfn.IFS(LEFT('Monthly Update'!CX48, 3) = "*((", "", 'Monthly Update'!CX48="", "", TRUE, 'Monthly Update'!CX48)</f>
        <v/>
      </c>
      <c r="G48" s="221" t="str" cm="1">
        <f t="array" ref="G48">_xlfn.IFS(LEFT('Monthly Update'!CY48, 3) = "*((", "", 'Monthly Update'!CY48="", "", TRUE, 'Monthly Update'!CY48)</f>
        <v/>
      </c>
      <c r="H48" s="221" t="str" cm="1">
        <f t="array" ref="H48">_xlfn.IFS(LEFT('Monthly Update'!CZ48, 3) = "*((", "", 'Monthly Update'!CZ48="", "", TRUE, 'Monthly Update'!CZ48)</f>
        <v/>
      </c>
      <c r="I48" s="221" t="str" cm="1">
        <f t="array" ref="I48">_xlfn.IFS(LEFT('Monthly Update'!DA48, 3) = "*((", "", 'Monthly Update'!DA48="", "", TRUE, 'Monthly Update'!DA48)</f>
        <v/>
      </c>
      <c r="J48" s="221" t="str" cm="1">
        <f t="array" ref="J48">_xlfn.IFS(LEFT('Monthly Update'!DB48, 3) = "*((", "", 'Monthly Update'!DB48="", "", TRUE, 'Monthly Update'!DB48)</f>
        <v/>
      </c>
      <c r="K48" s="221" t="str" cm="1">
        <f t="array" ref="K48">_xlfn.IFS(LEFT('Monthly Update'!DC48, 3) = "*((", "", 'Monthly Update'!DC48="", "", TRUE, 'Monthly Update'!DC48)</f>
        <v/>
      </c>
      <c r="L48" s="221" t="str" cm="1">
        <f t="array" ref="L48">_xlfn.IFS(LEFT('Monthly Update'!DD48, 3) = "*((", "", 'Monthly Update'!DD48="", "", TRUE, 'Monthly Update'!DD48)</f>
        <v/>
      </c>
      <c r="M48" s="221" t="str" cm="1">
        <f t="array" ref="M48">_xlfn.IFS(LEFT('Monthly Update'!DE48, 3) = "*((", "", 'Monthly Update'!DE48="", "", TRUE, 'Monthly Update'!DE48)</f>
        <v/>
      </c>
      <c r="N48" s="221" t="str" cm="1">
        <f t="array" ref="N48">_xlfn.IFS(LEFT('Monthly Update'!DF48, 3) = "*((", "", 'Monthly Update'!DF48="", "", TRUE, 'Monthly Update'!DF48)</f>
        <v/>
      </c>
      <c r="O48" s="221" t="str" cm="1">
        <f t="array" ref="O48">_xlfn.IFS(LEFT('Monthly Update'!DG48, 3) = "*((", "", 'Monthly Update'!DG48="", "", TRUE, 'Monthly Update'!DG48)</f>
        <v/>
      </c>
      <c r="P48" s="221" t="str" cm="1">
        <f t="array" ref="P48">_xlfn.IFS(LEFT('Monthly Update'!DH48, 3) = "*((", "", 'Monthly Update'!DH48="", "", TRUE, 'Monthly Update'!DH48)</f>
        <v/>
      </c>
      <c r="Q48" s="221" t="str" cm="1">
        <f t="array" ref="Q48">_xlfn.IFS(LEFT('Monthly Update'!DI48, 3) = "*((", "", 'Monthly Update'!DI48="", "", TRUE, 'Monthly Update'!DI48)</f>
        <v/>
      </c>
      <c r="R48" s="221" t="str" cm="1">
        <f t="array" ref="R48">_xlfn.IFS(LEFT('Monthly Update'!DJ48, 3) = "*((", "", 'Monthly Update'!DJ48="", "", TRUE, 'Monthly Update'!DJ48)</f>
        <v/>
      </c>
      <c r="S48" s="221" t="str" cm="1">
        <f t="array" ref="S48">_xlfn.IFS(LEFT('Monthly Update'!DK48, 3) = "*((", "", 'Monthly Update'!DK48="", "", TRUE, 'Monthly Update'!DK48)</f>
        <v/>
      </c>
      <c r="T48" s="221" t="str" cm="1">
        <f t="array" ref="T48">_xlfn.IFS(LEFT('Monthly Update'!DL48, 3) = "*((", "", 'Monthly Update'!DL48="", "", TRUE, 'Monthly Update'!DL48)</f>
        <v/>
      </c>
      <c r="U48" s="221" t="str" cm="1">
        <f t="array" ref="U48">_xlfn.IFS(LEFT('Monthly Update'!DM48, 3) = "*((", "", 'Monthly Update'!DM48="", "", TRUE, 'Monthly Update'!DM48)</f>
        <v/>
      </c>
      <c r="V48" s="221" t="str" cm="1">
        <f t="array" ref="V48">_xlfn.IFS(LEFT('Monthly Update'!DN48, 3) = "*((", "", 'Monthly Update'!DN48="", "", TRUE, 'Monthly Update'!DN48)</f>
        <v/>
      </c>
      <c r="W48" s="221" t="str" cm="1">
        <f t="array" ref="W48">_xlfn.IFS(LEFT('Monthly Update'!DO48, 3) = "*((", "", 'Monthly Update'!DO48="", "", TRUE, 'Monthly Update'!DO48)</f>
        <v/>
      </c>
      <c r="X48" s="221" t="str" cm="1">
        <f t="array" ref="X48">_xlfn.IFS(LEFT('Monthly Update'!DP48, 3) = "*((", "", 'Monthly Update'!DP48="", "", TRUE, 'Monthly Update'!DP48)</f>
        <v/>
      </c>
      <c r="Y48" s="221" t="str" cm="1">
        <f t="array" ref="Y48">_xlfn.IFS(LEFT('Monthly Update'!DQ48, 3) = "*((", "", 'Monthly Update'!DQ48="", "", TRUE, 'Monthly Update'!DQ48)</f>
        <v/>
      </c>
      <c r="Z48" s="221" t="str" cm="1">
        <f t="array" ref="Z48">_xlfn.IFS(LEFT('Monthly Update'!DR48, 3) = "*((", "", 'Monthly Update'!DR48="", "", TRUE, 'Monthly Update'!DR48)</f>
        <v/>
      </c>
      <c r="AA48" s="221" t="str" cm="1">
        <f t="array" ref="AA48">_xlfn.IFS(LEFT('Monthly Update'!DS48, 3) = "*((", "", 'Monthly Update'!DS48="", "", TRUE, 'Monthly Update'!DS48)</f>
        <v/>
      </c>
      <c r="AB48" s="221" t="str" cm="1">
        <f t="array" ref="AB48">_xlfn.IFS(LEFT('Monthly Update'!DT48, 3) = "*((", "", 'Monthly Update'!DT48="", "", TRUE, 'Monthly Update'!DT48)</f>
        <v/>
      </c>
      <c r="AC48" s="221" t="str" cm="1">
        <f t="array" ref="AC48">_xlfn.IFS(LEFT('Monthly Update'!DU48, 3) = "*((", "", 'Monthly Update'!DU48="", "", TRUE, 'Monthly Update'!DU48)</f>
        <v/>
      </c>
      <c r="AD48" s="221" t="str" cm="1">
        <f t="array" ref="AD48">_xlfn.IFS(LEFT('Monthly Update'!DV48, 3) = "*((", "", 'Monthly Update'!DV48="", "", TRUE, 'Monthly Update'!DV48)</f>
        <v/>
      </c>
      <c r="AE48" s="221" t="str" cm="1">
        <f t="array" ref="AE48">_xlfn.IFS(LEFT('Monthly Update'!DW48, 3) = "*((", "", 'Monthly Update'!DW48="", "", TRUE, 'Monthly Update'!DW48)</f>
        <v/>
      </c>
      <c r="AF48" s="221" t="str" cm="1">
        <f t="array" ref="AF48">_xlfn.IFS(LEFT('Monthly Update'!DX48, 3) = "*((", "", 'Monthly Update'!DX48="", "", TRUE, 'Monthly Update'!DX48)</f>
        <v/>
      </c>
      <c r="AG48" s="221" t="str" cm="1">
        <f t="array" ref="AG48">_xlfn.IFS(LEFT('Monthly Update'!DY48, 3) = "*((", "", 'Monthly Update'!DY48="", "", TRUE, 'Monthly Update'!DY48)</f>
        <v/>
      </c>
      <c r="AH48" s="221" t="str" cm="1">
        <f t="array" ref="AH48">_xlfn.IFS(LEFT('Monthly Update'!DZ48, 3) = "*((", "", 'Monthly Update'!DZ48="", "", TRUE, 'Monthly Update'!DZ48)</f>
        <v/>
      </c>
      <c r="AI48" s="221" t="str" cm="1">
        <f t="array" ref="AI48">_xlfn.IFS(LEFT('Monthly Update'!EA48, 3) = "*((", "", 'Monthly Update'!EA48="", "", TRUE, 'Monthly Update'!EA48)</f>
        <v/>
      </c>
      <c r="AJ48" s="221" t="str" cm="1">
        <f t="array" ref="AJ48">_xlfn.IFS(LEFT('Monthly Update'!EB48, 3) = "*((", "", 'Monthly Update'!EB48="", "", TRUE, 'Monthly Update'!EB48)</f>
        <v/>
      </c>
      <c r="AK48" s="221" t="str" cm="1">
        <f t="array" ref="AK48">_xlfn.IFS(LEFT('Monthly Update'!EC48, 3) = "*((", "", 'Monthly Update'!EC48="", "", TRUE, 'Monthly Update'!EC48)</f>
        <v/>
      </c>
      <c r="AL48" s="221" t="str" cm="1">
        <f t="array" ref="AL48">_xlfn.IFS(LEFT('Monthly Update'!ED48, 3) = "*((", "", 'Monthly Update'!ED48="", "", TRUE, 'Monthly Update'!ED48)</f>
        <v/>
      </c>
      <c r="AM48" s="221" t="str" cm="1">
        <f t="array" ref="AM48">_xlfn.IFS(LEFT('Monthly Update'!EE48, 3) = "*((", "", 'Monthly Update'!EE48="", "", TRUE, 'Monthly Update'!EE48)</f>
        <v/>
      </c>
      <c r="AN48" s="221" t="str" cm="1">
        <f t="array" ref="AN48">_xlfn.IFS(LEFT('Monthly Update'!EF48, 3) = "*((", "", 'Monthly Update'!EF48="", "", TRUE, 'Monthly Update'!EF48)</f>
        <v/>
      </c>
      <c r="AO48" s="221" t="str" cm="1">
        <f t="array" ref="AO48">_xlfn.IFS(LEFT('Monthly Update'!EG48, 3) = "*((", "", 'Monthly Update'!EG48="", "", TRUE, 'Monthly Update'!EG48)</f>
        <v/>
      </c>
      <c r="AP48" s="221" t="str" cm="1">
        <f t="array" ref="AP48">_xlfn.IFS(LEFT('Monthly Update'!EH48, 3) = "*((", "", 'Monthly Update'!EH48="", "", TRUE, 'Monthly Update'!EH48)</f>
        <v/>
      </c>
      <c r="AQ48" s="221" t="str" cm="1">
        <f t="array" ref="AQ48">_xlfn.IFS(LEFT('Monthly Update'!EI48, 3) = "*((", "", 'Monthly Update'!EI48="", "", TRUE, 'Monthly Update'!EI48)</f>
        <v/>
      </c>
      <c r="AR48" s="221" t="str" cm="1">
        <f t="array" ref="AR48">_xlfn.IFS(LEFT('Monthly Update'!EJ48, 3) = "*((", "", 'Monthly Update'!EJ48="", "", TRUE, 'Monthly Update'!EJ48)</f>
        <v/>
      </c>
      <c r="AS48" s="221" t="str" cm="1">
        <f t="array" ref="AS48">_xlfn.IFS(LEFT('Monthly Update'!EK48, 3) = "*((", "", 'Monthly Update'!EK48="", "", TRUE, 'Monthly Update'!EK48)</f>
        <v/>
      </c>
      <c r="AT48" s="221" t="str" cm="1">
        <f t="array" ref="AT48">_xlfn.IFS(LEFT('Monthly Update'!EL48, 3) = "*((", "", 'Monthly Update'!EL48="", "", TRUE, 'Monthly Update'!EL48)</f>
        <v/>
      </c>
      <c r="AU48" s="221" t="str" cm="1">
        <f t="array" ref="AU48">_xlfn.IFS(LEFT('Monthly Update'!EM48, 3) = "*((", "", 'Monthly Update'!EM48="", "", TRUE, 'Monthly Update'!EM48)</f>
        <v/>
      </c>
      <c r="AV48" s="221" t="str" cm="1">
        <f t="array" ref="AV48">_xlfn.IFS(LEFT('Monthly Update'!EN48, 3) = "*((", "", 'Monthly Update'!EN48="", "", TRUE, 'Monthly Update'!EN48)</f>
        <v/>
      </c>
      <c r="AW48" s="221" t="str" cm="1">
        <f t="array" ref="AW48">_xlfn.IFS(LEFT('Monthly Update'!EO48, 3) = "*((", "", 'Monthly Update'!EO48="", "", TRUE, 'Monthly Update'!EO48)</f>
        <v/>
      </c>
      <c r="NU48" s="252"/>
      <c r="NV48" s="252"/>
      <c r="NW48" s="252"/>
      <c r="NX48" s="252"/>
      <c r="NY48" s="252"/>
      <c r="NZ48" s="252"/>
      <c r="OA48" s="252"/>
      <c r="OB48" s="252"/>
      <c r="OC48" s="252"/>
      <c r="OD48" s="252"/>
      <c r="OE48" s="252"/>
      <c r="OF48" s="252"/>
      <c r="OG48" s="252"/>
      <c r="OH48" s="252"/>
      <c r="OI48" s="252"/>
      <c r="OJ48" s="252"/>
      <c r="OK48" s="252"/>
      <c r="OL48" s="252"/>
      <c r="OM48" s="252"/>
      <c r="ON48" s="252"/>
      <c r="OO48" s="252"/>
      <c r="OP48" s="252"/>
      <c r="OQ48" s="252"/>
      <c r="OR48" s="252"/>
      <c r="OS48" s="252"/>
      <c r="OT48" s="252"/>
      <c r="OU48" s="252"/>
      <c r="OV48" s="252"/>
      <c r="OW48" s="252"/>
      <c r="OX48" s="252"/>
      <c r="OY48" s="252"/>
      <c r="OZ48" s="252"/>
      <c r="PA48" s="252"/>
      <c r="PB48" s="252"/>
      <c r="PC48" s="252"/>
      <c r="PD48" s="252"/>
      <c r="PE48" s="252"/>
      <c r="PF48" s="252"/>
      <c r="PG48" s="252"/>
      <c r="PH48" s="252"/>
      <c r="PI48" s="252"/>
      <c r="PJ48" s="252"/>
      <c r="PK48" s="252"/>
      <c r="PL48" s="252"/>
      <c r="PM48" s="252"/>
      <c r="PN48" s="252"/>
      <c r="PO48" s="252"/>
      <c r="PP48" s="252"/>
      <c r="PQ48" s="252"/>
      <c r="PR48" s="252"/>
      <c r="PS48" s="252"/>
      <c r="PT48" s="252"/>
      <c r="PU48" s="252"/>
      <c r="PV48" s="252"/>
      <c r="PW48" s="252"/>
      <c r="PX48" s="252"/>
      <c r="PY48" s="252"/>
      <c r="PZ48" s="252"/>
      <c r="QA48" s="252"/>
      <c r="QB48" s="252"/>
      <c r="QC48" s="252"/>
      <c r="QD48" s="252"/>
      <c r="QE48" s="252"/>
      <c r="QF48" s="252"/>
      <c r="QG48" s="252"/>
      <c r="QH48" s="252"/>
      <c r="QI48" s="252"/>
      <c r="QJ48" s="252"/>
      <c r="QK48" s="252"/>
      <c r="QL48" s="252"/>
      <c r="QM48" s="252"/>
      <c r="QN48" s="252"/>
      <c r="QO48" s="252"/>
      <c r="QP48" s="252"/>
      <c r="QQ48" s="252"/>
      <c r="QR48" s="252"/>
      <c r="QS48" s="252"/>
      <c r="QT48" s="252"/>
      <c r="QU48" s="252"/>
      <c r="QV48" s="252"/>
      <c r="QW48" s="252"/>
      <c r="QX48" s="252"/>
      <c r="QY48" s="252"/>
      <c r="QZ48" s="252"/>
      <c r="RA48" s="252"/>
      <c r="RB48" s="252"/>
      <c r="RC48" s="252"/>
      <c r="RD48" s="252"/>
      <c r="RE48" s="252"/>
      <c r="RF48" s="252"/>
      <c r="RG48" s="252"/>
      <c r="RH48" s="252"/>
      <c r="RI48" s="252"/>
      <c r="RJ48" s="252"/>
      <c r="RK48" s="252"/>
      <c r="RL48" s="252"/>
      <c r="RM48" s="252"/>
      <c r="RN48" s="252"/>
      <c r="RO48" s="252"/>
      <c r="RP48" s="252"/>
      <c r="RQ48" s="252"/>
      <c r="RR48" s="252"/>
      <c r="RS48" s="252"/>
      <c r="RT48" s="252"/>
      <c r="RU48" s="252"/>
      <c r="RV48" s="252"/>
      <c r="RW48" s="252"/>
      <c r="RX48" s="252"/>
      <c r="RY48" s="252"/>
      <c r="RZ48" s="252"/>
      <c r="SA48" s="252"/>
      <c r="SB48" s="252"/>
      <c r="SC48" s="252"/>
      <c r="SD48" s="252"/>
      <c r="SE48" s="252"/>
      <c r="SF48" s="252"/>
      <c r="SG48" s="252"/>
      <c r="SH48" s="252"/>
      <c r="SI48" s="252"/>
      <c r="SJ48" s="252"/>
      <c r="SK48" s="252"/>
      <c r="SL48" s="252"/>
      <c r="SM48" s="252"/>
      <c r="SN48" s="252"/>
    </row>
    <row r="49" spans="1:508" s="243" customFormat="1" ht="15.6" customHeight="1" x14ac:dyDescent="0.55000000000000004">
      <c r="A49" s="220" t="str" cm="1">
        <f t="array" ref="A49">_xlfn.IFS(LEFT('Monthly Update'!A49, 3) = "*((", "", 'Monthly Update'!A49="", "", TRUE, 'Monthly Update'!A49)</f>
        <v/>
      </c>
      <c r="B49" s="220" t="str" cm="1">
        <f t="array" ref="B49">_xlfn.IFS(LEFT('Monthly Update'!B49, 3) = "*((", "", 'Monthly Update'!B49="", "", TRUE, 'Monthly Update'!B49)</f>
        <v/>
      </c>
      <c r="C49" s="221" t="str" cm="1">
        <f t="array" ref="C49">_xlfn.IFS(LEFT('Monthly Update'!CU49, 3) = "*((", "", 'Monthly Update'!CU49="", "", TRUE, 'Monthly Update'!CU49)</f>
        <v/>
      </c>
      <c r="D49" s="221" t="str" cm="1">
        <f t="array" ref="D49">_xlfn.IFS(LEFT('Monthly Update'!CV49, 3) = "*((", "", 'Monthly Update'!CV49="", "", TRUE, 'Monthly Update'!CV49)</f>
        <v/>
      </c>
      <c r="E49" s="221" t="str" cm="1">
        <f t="array" ref="E49">_xlfn.IFS(LEFT('Monthly Update'!CW49, 3) = "*((", "", 'Monthly Update'!CW49="", "", TRUE, 'Monthly Update'!CW49)</f>
        <v/>
      </c>
      <c r="F49" s="221" t="str" cm="1">
        <f t="array" ref="F49">_xlfn.IFS(LEFT('Monthly Update'!CX49, 3) = "*((", "", 'Monthly Update'!CX49="", "", TRUE, 'Monthly Update'!CX49)</f>
        <v/>
      </c>
      <c r="G49" s="221" t="str" cm="1">
        <f t="array" ref="G49">_xlfn.IFS(LEFT('Monthly Update'!CY49, 3) = "*((", "", 'Monthly Update'!CY49="", "", TRUE, 'Monthly Update'!CY49)</f>
        <v/>
      </c>
      <c r="H49" s="221" t="str" cm="1">
        <f t="array" ref="H49">_xlfn.IFS(LEFT('Monthly Update'!CZ49, 3) = "*((", "", 'Monthly Update'!CZ49="", "", TRUE, 'Monthly Update'!CZ49)</f>
        <v/>
      </c>
      <c r="I49" s="221" t="str" cm="1">
        <f t="array" ref="I49">_xlfn.IFS(LEFT('Monthly Update'!DA49, 3) = "*((", "", 'Monthly Update'!DA49="", "", TRUE, 'Monthly Update'!DA49)</f>
        <v/>
      </c>
      <c r="J49" s="221" t="str" cm="1">
        <f t="array" ref="J49">_xlfn.IFS(LEFT('Monthly Update'!DB49, 3) = "*((", "", 'Monthly Update'!DB49="", "", TRUE, 'Monthly Update'!DB49)</f>
        <v/>
      </c>
      <c r="K49" s="221" t="str" cm="1">
        <f t="array" ref="K49">_xlfn.IFS(LEFT('Monthly Update'!DC49, 3) = "*((", "", 'Monthly Update'!DC49="", "", TRUE, 'Monthly Update'!DC49)</f>
        <v/>
      </c>
      <c r="L49" s="221" t="str" cm="1">
        <f t="array" ref="L49">_xlfn.IFS(LEFT('Monthly Update'!DD49, 3) = "*((", "", 'Monthly Update'!DD49="", "", TRUE, 'Monthly Update'!DD49)</f>
        <v/>
      </c>
      <c r="M49" s="221" t="str" cm="1">
        <f t="array" ref="M49">_xlfn.IFS(LEFT('Monthly Update'!DE49, 3) = "*((", "", 'Monthly Update'!DE49="", "", TRUE, 'Monthly Update'!DE49)</f>
        <v/>
      </c>
      <c r="N49" s="221" t="str" cm="1">
        <f t="array" ref="N49">_xlfn.IFS(LEFT('Monthly Update'!DF49, 3) = "*((", "", 'Monthly Update'!DF49="", "", TRUE, 'Monthly Update'!DF49)</f>
        <v/>
      </c>
      <c r="O49" s="221" t="str" cm="1">
        <f t="array" ref="O49">_xlfn.IFS(LEFT('Monthly Update'!DG49, 3) = "*((", "", 'Monthly Update'!DG49="", "", TRUE, 'Monthly Update'!DG49)</f>
        <v/>
      </c>
      <c r="P49" s="221" t="str" cm="1">
        <f t="array" ref="P49">_xlfn.IFS(LEFT('Monthly Update'!DH49, 3) = "*((", "", 'Monthly Update'!DH49="", "", TRUE, 'Monthly Update'!DH49)</f>
        <v/>
      </c>
      <c r="Q49" s="221" t="str" cm="1">
        <f t="array" ref="Q49">_xlfn.IFS(LEFT('Monthly Update'!DI49, 3) = "*((", "", 'Monthly Update'!DI49="", "", TRUE, 'Monthly Update'!DI49)</f>
        <v/>
      </c>
      <c r="R49" s="221" t="str" cm="1">
        <f t="array" ref="R49">_xlfn.IFS(LEFT('Monthly Update'!DJ49, 3) = "*((", "", 'Monthly Update'!DJ49="", "", TRUE, 'Monthly Update'!DJ49)</f>
        <v/>
      </c>
      <c r="S49" s="221" t="str" cm="1">
        <f t="array" ref="S49">_xlfn.IFS(LEFT('Monthly Update'!DK49, 3) = "*((", "", 'Monthly Update'!DK49="", "", TRUE, 'Monthly Update'!DK49)</f>
        <v/>
      </c>
      <c r="T49" s="221" t="str" cm="1">
        <f t="array" ref="T49">_xlfn.IFS(LEFT('Monthly Update'!DL49, 3) = "*((", "", 'Monthly Update'!DL49="", "", TRUE, 'Monthly Update'!DL49)</f>
        <v/>
      </c>
      <c r="U49" s="221" t="str" cm="1">
        <f t="array" ref="U49">_xlfn.IFS(LEFT('Monthly Update'!DM49, 3) = "*((", "", 'Monthly Update'!DM49="", "", TRUE, 'Monthly Update'!DM49)</f>
        <v/>
      </c>
      <c r="V49" s="221" t="str" cm="1">
        <f t="array" ref="V49">_xlfn.IFS(LEFT('Monthly Update'!DN49, 3) = "*((", "", 'Monthly Update'!DN49="", "", TRUE, 'Monthly Update'!DN49)</f>
        <v/>
      </c>
      <c r="W49" s="221" t="str" cm="1">
        <f t="array" ref="W49">_xlfn.IFS(LEFT('Monthly Update'!DO49, 3) = "*((", "", 'Monthly Update'!DO49="", "", TRUE, 'Monthly Update'!DO49)</f>
        <v/>
      </c>
      <c r="X49" s="221" t="str" cm="1">
        <f t="array" ref="X49">_xlfn.IFS(LEFT('Monthly Update'!DP49, 3) = "*((", "", 'Monthly Update'!DP49="", "", TRUE, 'Monthly Update'!DP49)</f>
        <v/>
      </c>
      <c r="Y49" s="221" t="str" cm="1">
        <f t="array" ref="Y49">_xlfn.IFS(LEFT('Monthly Update'!DQ49, 3) = "*((", "", 'Monthly Update'!DQ49="", "", TRUE, 'Monthly Update'!DQ49)</f>
        <v/>
      </c>
      <c r="Z49" s="221" t="str" cm="1">
        <f t="array" ref="Z49">_xlfn.IFS(LEFT('Monthly Update'!DR49, 3) = "*((", "", 'Monthly Update'!DR49="", "", TRUE, 'Monthly Update'!DR49)</f>
        <v/>
      </c>
      <c r="AA49" s="221" t="str" cm="1">
        <f t="array" ref="AA49">_xlfn.IFS(LEFT('Monthly Update'!DS49, 3) = "*((", "", 'Monthly Update'!DS49="", "", TRUE, 'Monthly Update'!DS49)</f>
        <v/>
      </c>
      <c r="AB49" s="221" t="str" cm="1">
        <f t="array" ref="AB49">_xlfn.IFS(LEFT('Monthly Update'!DT49, 3) = "*((", "", 'Monthly Update'!DT49="", "", TRUE, 'Monthly Update'!DT49)</f>
        <v/>
      </c>
      <c r="AC49" s="221" t="str" cm="1">
        <f t="array" ref="AC49">_xlfn.IFS(LEFT('Monthly Update'!DU49, 3) = "*((", "", 'Monthly Update'!DU49="", "", TRUE, 'Monthly Update'!DU49)</f>
        <v/>
      </c>
      <c r="AD49" s="221" t="str" cm="1">
        <f t="array" ref="AD49">_xlfn.IFS(LEFT('Monthly Update'!DV49, 3) = "*((", "", 'Monthly Update'!DV49="", "", TRUE, 'Monthly Update'!DV49)</f>
        <v/>
      </c>
      <c r="AE49" s="221" t="str" cm="1">
        <f t="array" ref="AE49">_xlfn.IFS(LEFT('Monthly Update'!DW49, 3) = "*((", "", 'Monthly Update'!DW49="", "", TRUE, 'Monthly Update'!DW49)</f>
        <v/>
      </c>
      <c r="AF49" s="221" t="str" cm="1">
        <f t="array" ref="AF49">_xlfn.IFS(LEFT('Monthly Update'!DX49, 3) = "*((", "", 'Monthly Update'!DX49="", "", TRUE, 'Monthly Update'!DX49)</f>
        <v/>
      </c>
      <c r="AG49" s="221" t="str" cm="1">
        <f t="array" ref="AG49">_xlfn.IFS(LEFT('Monthly Update'!DY49, 3) = "*((", "", 'Monthly Update'!DY49="", "", TRUE, 'Monthly Update'!DY49)</f>
        <v/>
      </c>
      <c r="AH49" s="221" t="str" cm="1">
        <f t="array" ref="AH49">_xlfn.IFS(LEFT('Monthly Update'!DZ49, 3) = "*((", "", 'Monthly Update'!DZ49="", "", TRUE, 'Monthly Update'!DZ49)</f>
        <v/>
      </c>
      <c r="AI49" s="221" t="str" cm="1">
        <f t="array" ref="AI49">_xlfn.IFS(LEFT('Monthly Update'!EA49, 3) = "*((", "", 'Monthly Update'!EA49="", "", TRUE, 'Monthly Update'!EA49)</f>
        <v/>
      </c>
      <c r="AJ49" s="221" t="str" cm="1">
        <f t="array" ref="AJ49">_xlfn.IFS(LEFT('Monthly Update'!EB49, 3) = "*((", "", 'Monthly Update'!EB49="", "", TRUE, 'Monthly Update'!EB49)</f>
        <v/>
      </c>
      <c r="AK49" s="221" t="str" cm="1">
        <f t="array" ref="AK49">_xlfn.IFS(LEFT('Monthly Update'!EC49, 3) = "*((", "", 'Monthly Update'!EC49="", "", TRUE, 'Monthly Update'!EC49)</f>
        <v/>
      </c>
      <c r="AL49" s="221" t="str" cm="1">
        <f t="array" ref="AL49">_xlfn.IFS(LEFT('Monthly Update'!ED49, 3) = "*((", "", 'Monthly Update'!ED49="", "", TRUE, 'Monthly Update'!ED49)</f>
        <v/>
      </c>
      <c r="AM49" s="221" t="str" cm="1">
        <f t="array" ref="AM49">_xlfn.IFS(LEFT('Monthly Update'!EE49, 3) = "*((", "", 'Monthly Update'!EE49="", "", TRUE, 'Monthly Update'!EE49)</f>
        <v/>
      </c>
      <c r="AN49" s="221" t="str" cm="1">
        <f t="array" ref="AN49">_xlfn.IFS(LEFT('Monthly Update'!EF49, 3) = "*((", "", 'Monthly Update'!EF49="", "", TRUE, 'Monthly Update'!EF49)</f>
        <v/>
      </c>
      <c r="AO49" s="221" t="str" cm="1">
        <f t="array" ref="AO49">_xlfn.IFS(LEFT('Monthly Update'!EG49, 3) = "*((", "", 'Monthly Update'!EG49="", "", TRUE, 'Monthly Update'!EG49)</f>
        <v/>
      </c>
      <c r="AP49" s="221" t="str" cm="1">
        <f t="array" ref="AP49">_xlfn.IFS(LEFT('Monthly Update'!EH49, 3) = "*((", "", 'Monthly Update'!EH49="", "", TRUE, 'Monthly Update'!EH49)</f>
        <v/>
      </c>
      <c r="AQ49" s="221" t="str" cm="1">
        <f t="array" ref="AQ49">_xlfn.IFS(LEFT('Monthly Update'!EI49, 3) = "*((", "", 'Monthly Update'!EI49="", "", TRUE, 'Monthly Update'!EI49)</f>
        <v/>
      </c>
      <c r="AR49" s="221" t="str" cm="1">
        <f t="array" ref="AR49">_xlfn.IFS(LEFT('Monthly Update'!EJ49, 3) = "*((", "", 'Monthly Update'!EJ49="", "", TRUE, 'Monthly Update'!EJ49)</f>
        <v/>
      </c>
      <c r="AS49" s="221" t="str" cm="1">
        <f t="array" ref="AS49">_xlfn.IFS(LEFT('Monthly Update'!EK49, 3) = "*((", "", 'Monthly Update'!EK49="", "", TRUE, 'Monthly Update'!EK49)</f>
        <v/>
      </c>
      <c r="AT49" s="221" t="str" cm="1">
        <f t="array" ref="AT49">_xlfn.IFS(LEFT('Monthly Update'!EL49, 3) = "*((", "", 'Monthly Update'!EL49="", "", TRUE, 'Monthly Update'!EL49)</f>
        <v/>
      </c>
      <c r="AU49" s="221" t="str" cm="1">
        <f t="array" ref="AU49">_xlfn.IFS(LEFT('Monthly Update'!EM49, 3) = "*((", "", 'Monthly Update'!EM49="", "", TRUE, 'Monthly Update'!EM49)</f>
        <v/>
      </c>
      <c r="AV49" s="221" t="str" cm="1">
        <f t="array" ref="AV49">_xlfn.IFS(LEFT('Monthly Update'!EN49, 3) = "*((", "", 'Monthly Update'!EN49="", "", TRUE, 'Monthly Update'!EN49)</f>
        <v/>
      </c>
      <c r="AW49" s="221" t="str" cm="1">
        <f t="array" ref="AW49">_xlfn.IFS(LEFT('Monthly Update'!EO49, 3) = "*((", "", 'Monthly Update'!EO49="", "", TRUE, 'Monthly Update'!EO49)</f>
        <v/>
      </c>
      <c r="NU49" s="252"/>
      <c r="NV49" s="252"/>
      <c r="NW49" s="252"/>
      <c r="NX49" s="252"/>
      <c r="NY49" s="252"/>
      <c r="NZ49" s="252"/>
      <c r="OA49" s="252"/>
      <c r="OB49" s="252"/>
      <c r="OC49" s="252"/>
      <c r="OD49" s="252"/>
      <c r="OE49" s="252"/>
      <c r="OF49" s="252"/>
      <c r="OG49" s="252"/>
      <c r="OH49" s="252"/>
      <c r="OI49" s="252"/>
      <c r="OJ49" s="252"/>
      <c r="OK49" s="252"/>
      <c r="OL49" s="252"/>
      <c r="OM49" s="252"/>
      <c r="ON49" s="252"/>
      <c r="OO49" s="252"/>
      <c r="OP49" s="252"/>
      <c r="OQ49" s="252"/>
      <c r="OR49" s="252"/>
      <c r="OS49" s="252"/>
      <c r="OT49" s="252"/>
      <c r="OU49" s="252"/>
      <c r="OV49" s="252"/>
      <c r="OW49" s="252"/>
      <c r="OX49" s="252"/>
      <c r="OY49" s="252"/>
      <c r="OZ49" s="252"/>
      <c r="PA49" s="252"/>
      <c r="PB49" s="252"/>
      <c r="PC49" s="252"/>
      <c r="PD49" s="252"/>
      <c r="PE49" s="252"/>
      <c r="PF49" s="252"/>
      <c r="PG49" s="252"/>
      <c r="PH49" s="252"/>
      <c r="PI49" s="252"/>
      <c r="PJ49" s="252"/>
      <c r="PK49" s="252"/>
      <c r="PL49" s="252"/>
      <c r="PM49" s="252"/>
      <c r="PN49" s="252"/>
      <c r="PO49" s="252"/>
      <c r="PP49" s="252"/>
      <c r="PQ49" s="252"/>
      <c r="PR49" s="252"/>
      <c r="PS49" s="252"/>
      <c r="PT49" s="252"/>
      <c r="PU49" s="252"/>
      <c r="PV49" s="252"/>
      <c r="PW49" s="252"/>
      <c r="PX49" s="252"/>
      <c r="PY49" s="252"/>
      <c r="PZ49" s="252"/>
      <c r="QA49" s="252"/>
      <c r="QB49" s="252"/>
      <c r="QC49" s="252"/>
      <c r="QD49" s="252"/>
      <c r="QE49" s="252"/>
      <c r="QF49" s="252"/>
      <c r="QG49" s="252"/>
      <c r="QH49" s="252"/>
      <c r="QI49" s="252"/>
      <c r="QJ49" s="252"/>
      <c r="QK49" s="252"/>
      <c r="QL49" s="252"/>
      <c r="QM49" s="252"/>
      <c r="QN49" s="252"/>
      <c r="QO49" s="252"/>
      <c r="QP49" s="252"/>
      <c r="QQ49" s="252"/>
      <c r="QR49" s="252"/>
      <c r="QS49" s="252"/>
      <c r="QT49" s="252"/>
      <c r="QU49" s="252"/>
      <c r="QV49" s="252"/>
      <c r="QW49" s="252"/>
      <c r="QX49" s="252"/>
      <c r="QY49" s="252"/>
      <c r="QZ49" s="252"/>
      <c r="RA49" s="252"/>
      <c r="RB49" s="252"/>
      <c r="RC49" s="252"/>
      <c r="RD49" s="252"/>
      <c r="RE49" s="252"/>
      <c r="RF49" s="252"/>
      <c r="RG49" s="252"/>
      <c r="RH49" s="252"/>
      <c r="RI49" s="252"/>
      <c r="RJ49" s="252"/>
      <c r="RK49" s="252"/>
      <c r="RL49" s="252"/>
      <c r="RM49" s="252"/>
      <c r="RN49" s="252"/>
      <c r="RO49" s="252"/>
      <c r="RP49" s="252"/>
      <c r="RQ49" s="252"/>
      <c r="RR49" s="252"/>
      <c r="RS49" s="252"/>
      <c r="RT49" s="252"/>
      <c r="RU49" s="252"/>
      <c r="RV49" s="252"/>
      <c r="RW49" s="252"/>
      <c r="RX49" s="252"/>
      <c r="RY49" s="252"/>
      <c r="RZ49" s="252"/>
      <c r="SA49" s="252"/>
      <c r="SB49" s="252"/>
      <c r="SC49" s="252"/>
      <c r="SD49" s="252"/>
      <c r="SE49" s="252"/>
      <c r="SF49" s="252"/>
      <c r="SG49" s="252"/>
      <c r="SH49" s="252"/>
      <c r="SI49" s="252"/>
      <c r="SJ49" s="252"/>
      <c r="SK49" s="252"/>
      <c r="SL49" s="252"/>
      <c r="SM49" s="252"/>
      <c r="SN49" s="252"/>
    </row>
    <row r="50" spans="1:508" s="243" customFormat="1" ht="15.6" customHeight="1" x14ac:dyDescent="0.55000000000000004">
      <c r="A50" s="220" t="str" cm="1">
        <f t="array" ref="A50">_xlfn.IFS(LEFT('Monthly Update'!A50, 3) = "*((", "", 'Monthly Update'!A50="", "", TRUE, 'Monthly Update'!A50)</f>
        <v/>
      </c>
      <c r="B50" s="220" t="str" cm="1">
        <f t="array" ref="B50">_xlfn.IFS(LEFT('Monthly Update'!B50, 3) = "*((", "", 'Monthly Update'!B50="", "", TRUE, 'Monthly Update'!B50)</f>
        <v/>
      </c>
      <c r="C50" s="221" t="str" cm="1">
        <f t="array" ref="C50">_xlfn.IFS(LEFT('Monthly Update'!CU50, 3) = "*((", "", 'Monthly Update'!CU50="", "", TRUE, 'Monthly Update'!CU50)</f>
        <v/>
      </c>
      <c r="D50" s="221" t="str" cm="1">
        <f t="array" ref="D50">_xlfn.IFS(LEFT('Monthly Update'!CV50, 3) = "*((", "", 'Monthly Update'!CV50="", "", TRUE, 'Monthly Update'!CV50)</f>
        <v/>
      </c>
      <c r="E50" s="221" t="str" cm="1">
        <f t="array" ref="E50">_xlfn.IFS(LEFT('Monthly Update'!CW50, 3) = "*((", "", 'Monthly Update'!CW50="", "", TRUE, 'Monthly Update'!CW50)</f>
        <v/>
      </c>
      <c r="F50" s="221" t="str" cm="1">
        <f t="array" ref="F50">_xlfn.IFS(LEFT('Monthly Update'!CX50, 3) = "*((", "", 'Monthly Update'!CX50="", "", TRUE, 'Monthly Update'!CX50)</f>
        <v/>
      </c>
      <c r="G50" s="221" t="str" cm="1">
        <f t="array" ref="G50">_xlfn.IFS(LEFT('Monthly Update'!CY50, 3) = "*((", "", 'Monthly Update'!CY50="", "", TRUE, 'Monthly Update'!CY50)</f>
        <v/>
      </c>
      <c r="H50" s="221" t="str" cm="1">
        <f t="array" ref="H50">_xlfn.IFS(LEFT('Monthly Update'!CZ50, 3) = "*((", "", 'Monthly Update'!CZ50="", "", TRUE, 'Monthly Update'!CZ50)</f>
        <v/>
      </c>
      <c r="I50" s="221" t="str" cm="1">
        <f t="array" ref="I50">_xlfn.IFS(LEFT('Monthly Update'!DA50, 3) = "*((", "", 'Monthly Update'!DA50="", "", TRUE, 'Monthly Update'!DA50)</f>
        <v/>
      </c>
      <c r="J50" s="221" t="str" cm="1">
        <f t="array" ref="J50">_xlfn.IFS(LEFT('Monthly Update'!DB50, 3) = "*((", "", 'Monthly Update'!DB50="", "", TRUE, 'Monthly Update'!DB50)</f>
        <v/>
      </c>
      <c r="K50" s="221" t="str" cm="1">
        <f t="array" ref="K50">_xlfn.IFS(LEFT('Monthly Update'!DC50, 3) = "*((", "", 'Monthly Update'!DC50="", "", TRUE, 'Monthly Update'!DC50)</f>
        <v/>
      </c>
      <c r="L50" s="221" t="str" cm="1">
        <f t="array" ref="L50">_xlfn.IFS(LEFT('Monthly Update'!DD50, 3) = "*((", "", 'Monthly Update'!DD50="", "", TRUE, 'Monthly Update'!DD50)</f>
        <v/>
      </c>
      <c r="M50" s="221" t="str" cm="1">
        <f t="array" ref="M50">_xlfn.IFS(LEFT('Monthly Update'!DE50, 3) = "*((", "", 'Monthly Update'!DE50="", "", TRUE, 'Monthly Update'!DE50)</f>
        <v/>
      </c>
      <c r="N50" s="221" t="str" cm="1">
        <f t="array" ref="N50">_xlfn.IFS(LEFT('Monthly Update'!DF50, 3) = "*((", "", 'Monthly Update'!DF50="", "", TRUE, 'Monthly Update'!DF50)</f>
        <v/>
      </c>
      <c r="O50" s="221" t="str" cm="1">
        <f t="array" ref="O50">_xlfn.IFS(LEFT('Monthly Update'!DG50, 3) = "*((", "", 'Monthly Update'!DG50="", "", TRUE, 'Monthly Update'!DG50)</f>
        <v/>
      </c>
      <c r="P50" s="221" t="str" cm="1">
        <f t="array" ref="P50">_xlfn.IFS(LEFT('Monthly Update'!DH50, 3) = "*((", "", 'Monthly Update'!DH50="", "", TRUE, 'Monthly Update'!DH50)</f>
        <v/>
      </c>
      <c r="Q50" s="221" t="str" cm="1">
        <f t="array" ref="Q50">_xlfn.IFS(LEFT('Monthly Update'!DI50, 3) = "*((", "", 'Monthly Update'!DI50="", "", TRUE, 'Monthly Update'!DI50)</f>
        <v/>
      </c>
      <c r="R50" s="221" t="str" cm="1">
        <f t="array" ref="R50">_xlfn.IFS(LEFT('Monthly Update'!DJ50, 3) = "*((", "", 'Monthly Update'!DJ50="", "", TRUE, 'Monthly Update'!DJ50)</f>
        <v/>
      </c>
      <c r="S50" s="221" t="str" cm="1">
        <f t="array" ref="S50">_xlfn.IFS(LEFT('Monthly Update'!DK50, 3) = "*((", "", 'Monthly Update'!DK50="", "", TRUE, 'Monthly Update'!DK50)</f>
        <v/>
      </c>
      <c r="T50" s="221" t="str" cm="1">
        <f t="array" ref="T50">_xlfn.IFS(LEFT('Monthly Update'!DL50, 3) = "*((", "", 'Monthly Update'!DL50="", "", TRUE, 'Monthly Update'!DL50)</f>
        <v/>
      </c>
      <c r="U50" s="221" t="str" cm="1">
        <f t="array" ref="U50">_xlfn.IFS(LEFT('Monthly Update'!DM50, 3) = "*((", "", 'Monthly Update'!DM50="", "", TRUE, 'Monthly Update'!DM50)</f>
        <v/>
      </c>
      <c r="V50" s="221" t="str" cm="1">
        <f t="array" ref="V50">_xlfn.IFS(LEFT('Monthly Update'!DN50, 3) = "*((", "", 'Monthly Update'!DN50="", "", TRUE, 'Monthly Update'!DN50)</f>
        <v/>
      </c>
      <c r="W50" s="221" t="str" cm="1">
        <f t="array" ref="W50">_xlfn.IFS(LEFT('Monthly Update'!DO50, 3) = "*((", "", 'Monthly Update'!DO50="", "", TRUE, 'Monthly Update'!DO50)</f>
        <v/>
      </c>
      <c r="X50" s="221" t="str" cm="1">
        <f t="array" ref="X50">_xlfn.IFS(LEFT('Monthly Update'!DP50, 3) = "*((", "", 'Monthly Update'!DP50="", "", TRUE, 'Monthly Update'!DP50)</f>
        <v/>
      </c>
      <c r="Y50" s="221" t="str" cm="1">
        <f t="array" ref="Y50">_xlfn.IFS(LEFT('Monthly Update'!DQ50, 3) = "*((", "", 'Monthly Update'!DQ50="", "", TRUE, 'Monthly Update'!DQ50)</f>
        <v/>
      </c>
      <c r="Z50" s="221" t="str" cm="1">
        <f t="array" ref="Z50">_xlfn.IFS(LEFT('Monthly Update'!DR50, 3) = "*((", "", 'Monthly Update'!DR50="", "", TRUE, 'Monthly Update'!DR50)</f>
        <v/>
      </c>
      <c r="AA50" s="221" t="str" cm="1">
        <f t="array" ref="AA50">_xlfn.IFS(LEFT('Monthly Update'!DS50, 3) = "*((", "", 'Monthly Update'!DS50="", "", TRUE, 'Monthly Update'!DS50)</f>
        <v/>
      </c>
      <c r="AB50" s="221" t="str" cm="1">
        <f t="array" ref="AB50">_xlfn.IFS(LEFT('Monthly Update'!DT50, 3) = "*((", "", 'Monthly Update'!DT50="", "", TRUE, 'Monthly Update'!DT50)</f>
        <v/>
      </c>
      <c r="AC50" s="221" t="str" cm="1">
        <f t="array" ref="AC50">_xlfn.IFS(LEFT('Monthly Update'!DU50, 3) = "*((", "", 'Monthly Update'!DU50="", "", TRUE, 'Monthly Update'!DU50)</f>
        <v/>
      </c>
      <c r="AD50" s="221" t="str" cm="1">
        <f t="array" ref="AD50">_xlfn.IFS(LEFT('Monthly Update'!DV50, 3) = "*((", "", 'Monthly Update'!DV50="", "", TRUE, 'Monthly Update'!DV50)</f>
        <v/>
      </c>
      <c r="AE50" s="221" t="str" cm="1">
        <f t="array" ref="AE50">_xlfn.IFS(LEFT('Monthly Update'!DW50, 3) = "*((", "", 'Monthly Update'!DW50="", "", TRUE, 'Monthly Update'!DW50)</f>
        <v/>
      </c>
      <c r="AF50" s="221" t="str" cm="1">
        <f t="array" ref="AF50">_xlfn.IFS(LEFT('Monthly Update'!DX50, 3) = "*((", "", 'Monthly Update'!DX50="", "", TRUE, 'Monthly Update'!DX50)</f>
        <v/>
      </c>
      <c r="AG50" s="221" t="str" cm="1">
        <f t="array" ref="AG50">_xlfn.IFS(LEFT('Monthly Update'!DY50, 3) = "*((", "", 'Monthly Update'!DY50="", "", TRUE, 'Monthly Update'!DY50)</f>
        <v/>
      </c>
      <c r="AH50" s="221" t="str" cm="1">
        <f t="array" ref="AH50">_xlfn.IFS(LEFT('Monthly Update'!DZ50, 3) = "*((", "", 'Monthly Update'!DZ50="", "", TRUE, 'Monthly Update'!DZ50)</f>
        <v/>
      </c>
      <c r="AI50" s="221" t="str" cm="1">
        <f t="array" ref="AI50">_xlfn.IFS(LEFT('Monthly Update'!EA50, 3) = "*((", "", 'Monthly Update'!EA50="", "", TRUE, 'Monthly Update'!EA50)</f>
        <v/>
      </c>
      <c r="AJ50" s="221" t="str" cm="1">
        <f t="array" ref="AJ50">_xlfn.IFS(LEFT('Monthly Update'!EB50, 3) = "*((", "", 'Monthly Update'!EB50="", "", TRUE, 'Monthly Update'!EB50)</f>
        <v/>
      </c>
      <c r="AK50" s="221" t="str" cm="1">
        <f t="array" ref="AK50">_xlfn.IFS(LEFT('Monthly Update'!EC50, 3) = "*((", "", 'Monthly Update'!EC50="", "", TRUE, 'Monthly Update'!EC50)</f>
        <v/>
      </c>
      <c r="AL50" s="221" t="str" cm="1">
        <f t="array" ref="AL50">_xlfn.IFS(LEFT('Monthly Update'!ED50, 3) = "*((", "", 'Monthly Update'!ED50="", "", TRUE, 'Monthly Update'!ED50)</f>
        <v/>
      </c>
      <c r="AM50" s="221" t="str" cm="1">
        <f t="array" ref="AM50">_xlfn.IFS(LEFT('Monthly Update'!EE50, 3) = "*((", "", 'Monthly Update'!EE50="", "", TRUE, 'Monthly Update'!EE50)</f>
        <v/>
      </c>
      <c r="AN50" s="221" t="str" cm="1">
        <f t="array" ref="AN50">_xlfn.IFS(LEFT('Monthly Update'!EF50, 3) = "*((", "", 'Monthly Update'!EF50="", "", TRUE, 'Monthly Update'!EF50)</f>
        <v/>
      </c>
      <c r="AO50" s="221" t="str" cm="1">
        <f t="array" ref="AO50">_xlfn.IFS(LEFT('Monthly Update'!EG50, 3) = "*((", "", 'Monthly Update'!EG50="", "", TRUE, 'Monthly Update'!EG50)</f>
        <v/>
      </c>
      <c r="AP50" s="221" t="str" cm="1">
        <f t="array" ref="AP50">_xlfn.IFS(LEFT('Monthly Update'!EH50, 3) = "*((", "", 'Monthly Update'!EH50="", "", TRUE, 'Monthly Update'!EH50)</f>
        <v/>
      </c>
      <c r="AQ50" s="221" t="str" cm="1">
        <f t="array" ref="AQ50">_xlfn.IFS(LEFT('Monthly Update'!EI50, 3) = "*((", "", 'Monthly Update'!EI50="", "", TRUE, 'Monthly Update'!EI50)</f>
        <v/>
      </c>
      <c r="AR50" s="221" t="str" cm="1">
        <f t="array" ref="AR50">_xlfn.IFS(LEFT('Monthly Update'!EJ50, 3) = "*((", "", 'Monthly Update'!EJ50="", "", TRUE, 'Monthly Update'!EJ50)</f>
        <v/>
      </c>
      <c r="AS50" s="221" t="str" cm="1">
        <f t="array" ref="AS50">_xlfn.IFS(LEFT('Monthly Update'!EK50, 3) = "*((", "", 'Monthly Update'!EK50="", "", TRUE, 'Monthly Update'!EK50)</f>
        <v/>
      </c>
      <c r="AT50" s="221" t="str" cm="1">
        <f t="array" ref="AT50">_xlfn.IFS(LEFT('Monthly Update'!EL50, 3) = "*((", "", 'Monthly Update'!EL50="", "", TRUE, 'Monthly Update'!EL50)</f>
        <v/>
      </c>
      <c r="AU50" s="221" t="str" cm="1">
        <f t="array" ref="AU50">_xlfn.IFS(LEFT('Monthly Update'!EM50, 3) = "*((", "", 'Monthly Update'!EM50="", "", TRUE, 'Monthly Update'!EM50)</f>
        <v/>
      </c>
      <c r="AV50" s="221" t="str" cm="1">
        <f t="array" ref="AV50">_xlfn.IFS(LEFT('Monthly Update'!EN50, 3) = "*((", "", 'Monthly Update'!EN50="", "", TRUE, 'Monthly Update'!EN50)</f>
        <v/>
      </c>
      <c r="AW50" s="221" t="str" cm="1">
        <f t="array" ref="AW50">_xlfn.IFS(LEFT('Monthly Update'!EO50, 3) = "*((", "", 'Monthly Update'!EO50="", "", TRUE, 'Monthly Update'!EO50)</f>
        <v/>
      </c>
      <c r="NU50" s="252"/>
      <c r="NV50" s="252"/>
      <c r="NW50" s="252"/>
      <c r="NX50" s="252"/>
      <c r="NY50" s="252"/>
      <c r="NZ50" s="252"/>
      <c r="OA50" s="252"/>
      <c r="OB50" s="252"/>
      <c r="OC50" s="252"/>
      <c r="OD50" s="252"/>
      <c r="OE50" s="252"/>
      <c r="OF50" s="252"/>
      <c r="OG50" s="252"/>
      <c r="OH50" s="252"/>
      <c r="OI50" s="252"/>
      <c r="OJ50" s="252"/>
      <c r="OK50" s="252"/>
      <c r="OL50" s="252"/>
      <c r="OM50" s="252"/>
      <c r="ON50" s="252"/>
      <c r="OO50" s="252"/>
      <c r="OP50" s="252"/>
      <c r="OQ50" s="252"/>
      <c r="OR50" s="252"/>
      <c r="OS50" s="252"/>
      <c r="OT50" s="252"/>
      <c r="OU50" s="252"/>
      <c r="OV50" s="252"/>
      <c r="OW50" s="252"/>
      <c r="OX50" s="252"/>
      <c r="OY50" s="252"/>
      <c r="OZ50" s="252"/>
      <c r="PA50" s="252"/>
      <c r="PB50" s="252"/>
      <c r="PC50" s="252"/>
      <c r="PD50" s="252"/>
      <c r="PE50" s="252"/>
      <c r="PF50" s="252"/>
      <c r="PG50" s="252"/>
      <c r="PH50" s="252"/>
      <c r="PI50" s="252"/>
      <c r="PJ50" s="252"/>
      <c r="PK50" s="252"/>
      <c r="PL50" s="252"/>
      <c r="PM50" s="252"/>
      <c r="PN50" s="252"/>
      <c r="PO50" s="252"/>
      <c r="PP50" s="252"/>
      <c r="PQ50" s="252"/>
      <c r="PR50" s="252"/>
      <c r="PS50" s="252"/>
      <c r="PT50" s="252"/>
      <c r="PU50" s="252"/>
      <c r="PV50" s="252"/>
      <c r="PW50" s="252"/>
      <c r="PX50" s="252"/>
      <c r="PY50" s="252"/>
      <c r="PZ50" s="252"/>
      <c r="QA50" s="252"/>
      <c r="QB50" s="252"/>
      <c r="QC50" s="252"/>
      <c r="QD50" s="252"/>
      <c r="QE50" s="252"/>
      <c r="QF50" s="252"/>
      <c r="QG50" s="252"/>
      <c r="QH50" s="252"/>
      <c r="QI50" s="252"/>
      <c r="QJ50" s="252"/>
      <c r="QK50" s="252"/>
      <c r="QL50" s="252"/>
      <c r="QM50" s="252"/>
      <c r="QN50" s="252"/>
      <c r="QO50" s="252"/>
      <c r="QP50" s="252"/>
      <c r="QQ50" s="252"/>
      <c r="QR50" s="252"/>
      <c r="QS50" s="252"/>
      <c r="QT50" s="252"/>
      <c r="QU50" s="252"/>
      <c r="QV50" s="252"/>
      <c r="QW50" s="252"/>
      <c r="QX50" s="252"/>
      <c r="QY50" s="252"/>
      <c r="QZ50" s="252"/>
      <c r="RA50" s="252"/>
      <c r="RB50" s="252"/>
      <c r="RC50" s="252"/>
      <c r="RD50" s="252"/>
      <c r="RE50" s="252"/>
      <c r="RF50" s="252"/>
      <c r="RG50" s="252"/>
      <c r="RH50" s="252"/>
      <c r="RI50" s="252"/>
      <c r="RJ50" s="252"/>
      <c r="RK50" s="252"/>
      <c r="RL50" s="252"/>
      <c r="RM50" s="252"/>
      <c r="RN50" s="252"/>
      <c r="RO50" s="252"/>
      <c r="RP50" s="252"/>
      <c r="RQ50" s="252"/>
      <c r="RR50" s="252"/>
      <c r="RS50" s="252"/>
      <c r="RT50" s="252"/>
      <c r="RU50" s="252"/>
      <c r="RV50" s="252"/>
      <c r="RW50" s="252"/>
      <c r="RX50" s="252"/>
      <c r="RY50" s="252"/>
      <c r="RZ50" s="252"/>
      <c r="SA50" s="252"/>
      <c r="SB50" s="252"/>
      <c r="SC50" s="252"/>
      <c r="SD50" s="252"/>
      <c r="SE50" s="252"/>
      <c r="SF50" s="252"/>
      <c r="SG50" s="252"/>
      <c r="SH50" s="252"/>
      <c r="SI50" s="252"/>
      <c r="SJ50" s="252"/>
      <c r="SK50" s="252"/>
      <c r="SL50" s="252"/>
      <c r="SM50" s="252"/>
      <c r="SN50" s="252"/>
    </row>
    <row r="51" spans="1:508" s="243" customFormat="1" ht="15.6" customHeight="1" x14ac:dyDescent="0.55000000000000004">
      <c r="A51" s="220" t="str" cm="1">
        <f t="array" ref="A51">_xlfn.IFS(LEFT('Monthly Update'!A51, 3) = "*((", "", 'Monthly Update'!A51="", "", TRUE, 'Monthly Update'!A51)</f>
        <v/>
      </c>
      <c r="B51" s="220" t="str" cm="1">
        <f t="array" ref="B51">_xlfn.IFS(LEFT('Monthly Update'!B51, 3) = "*((", "", 'Monthly Update'!B51="", "", TRUE, 'Monthly Update'!B51)</f>
        <v/>
      </c>
      <c r="C51" s="221" t="str" cm="1">
        <f t="array" ref="C51">_xlfn.IFS(LEFT('Monthly Update'!CU51, 3) = "*((", "", 'Monthly Update'!CU51="", "", TRUE, 'Monthly Update'!CU51)</f>
        <v/>
      </c>
      <c r="D51" s="221" t="str" cm="1">
        <f t="array" ref="D51">_xlfn.IFS(LEFT('Monthly Update'!CV51, 3) = "*((", "", 'Monthly Update'!CV51="", "", TRUE, 'Monthly Update'!CV51)</f>
        <v/>
      </c>
      <c r="E51" s="221" t="str" cm="1">
        <f t="array" ref="E51">_xlfn.IFS(LEFT('Monthly Update'!CW51, 3) = "*((", "", 'Monthly Update'!CW51="", "", TRUE, 'Monthly Update'!CW51)</f>
        <v/>
      </c>
      <c r="F51" s="221" t="str" cm="1">
        <f t="array" ref="F51">_xlfn.IFS(LEFT('Monthly Update'!CX51, 3) = "*((", "", 'Monthly Update'!CX51="", "", TRUE, 'Monthly Update'!CX51)</f>
        <v/>
      </c>
      <c r="G51" s="221" t="str" cm="1">
        <f t="array" ref="G51">_xlfn.IFS(LEFT('Monthly Update'!CY51, 3) = "*((", "", 'Monthly Update'!CY51="", "", TRUE, 'Monthly Update'!CY51)</f>
        <v/>
      </c>
      <c r="H51" s="221" t="str" cm="1">
        <f t="array" ref="H51">_xlfn.IFS(LEFT('Monthly Update'!CZ51, 3) = "*((", "", 'Monthly Update'!CZ51="", "", TRUE, 'Monthly Update'!CZ51)</f>
        <v/>
      </c>
      <c r="I51" s="221" t="str" cm="1">
        <f t="array" ref="I51">_xlfn.IFS(LEFT('Monthly Update'!DA51, 3) = "*((", "", 'Monthly Update'!DA51="", "", TRUE, 'Monthly Update'!DA51)</f>
        <v/>
      </c>
      <c r="J51" s="221" t="str" cm="1">
        <f t="array" ref="J51">_xlfn.IFS(LEFT('Monthly Update'!DB51, 3) = "*((", "", 'Monthly Update'!DB51="", "", TRUE, 'Monthly Update'!DB51)</f>
        <v/>
      </c>
      <c r="K51" s="221" t="str" cm="1">
        <f t="array" ref="K51">_xlfn.IFS(LEFT('Monthly Update'!DC51, 3) = "*((", "", 'Monthly Update'!DC51="", "", TRUE, 'Monthly Update'!DC51)</f>
        <v/>
      </c>
      <c r="L51" s="221" t="str" cm="1">
        <f t="array" ref="L51">_xlfn.IFS(LEFT('Monthly Update'!DD51, 3) = "*((", "", 'Monthly Update'!DD51="", "", TRUE, 'Monthly Update'!DD51)</f>
        <v/>
      </c>
      <c r="M51" s="221" t="str" cm="1">
        <f t="array" ref="M51">_xlfn.IFS(LEFT('Monthly Update'!DE51, 3) = "*((", "", 'Monthly Update'!DE51="", "", TRUE, 'Monthly Update'!DE51)</f>
        <v/>
      </c>
      <c r="N51" s="221" t="str" cm="1">
        <f t="array" ref="N51">_xlfn.IFS(LEFT('Monthly Update'!DF51, 3) = "*((", "", 'Monthly Update'!DF51="", "", TRUE, 'Monthly Update'!DF51)</f>
        <v/>
      </c>
      <c r="O51" s="221" t="str" cm="1">
        <f t="array" ref="O51">_xlfn.IFS(LEFT('Monthly Update'!DG51, 3) = "*((", "", 'Monthly Update'!DG51="", "", TRUE, 'Monthly Update'!DG51)</f>
        <v/>
      </c>
      <c r="P51" s="221" t="str" cm="1">
        <f t="array" ref="P51">_xlfn.IFS(LEFT('Monthly Update'!DH51, 3) = "*((", "", 'Monthly Update'!DH51="", "", TRUE, 'Monthly Update'!DH51)</f>
        <v/>
      </c>
      <c r="Q51" s="221" t="str" cm="1">
        <f t="array" ref="Q51">_xlfn.IFS(LEFT('Monthly Update'!DI51, 3) = "*((", "", 'Monthly Update'!DI51="", "", TRUE, 'Monthly Update'!DI51)</f>
        <v/>
      </c>
      <c r="R51" s="221" t="str" cm="1">
        <f t="array" ref="R51">_xlfn.IFS(LEFT('Monthly Update'!DJ51, 3) = "*((", "", 'Monthly Update'!DJ51="", "", TRUE, 'Monthly Update'!DJ51)</f>
        <v/>
      </c>
      <c r="S51" s="221" t="str" cm="1">
        <f t="array" ref="S51">_xlfn.IFS(LEFT('Monthly Update'!DK51, 3) = "*((", "", 'Monthly Update'!DK51="", "", TRUE, 'Monthly Update'!DK51)</f>
        <v/>
      </c>
      <c r="T51" s="221" t="str" cm="1">
        <f t="array" ref="T51">_xlfn.IFS(LEFT('Monthly Update'!DL51, 3) = "*((", "", 'Monthly Update'!DL51="", "", TRUE, 'Monthly Update'!DL51)</f>
        <v/>
      </c>
      <c r="U51" s="221" t="str" cm="1">
        <f t="array" ref="U51">_xlfn.IFS(LEFT('Monthly Update'!DM51, 3) = "*((", "", 'Monthly Update'!DM51="", "", TRUE, 'Monthly Update'!DM51)</f>
        <v/>
      </c>
      <c r="V51" s="221" t="str" cm="1">
        <f t="array" ref="V51">_xlfn.IFS(LEFT('Monthly Update'!DN51, 3) = "*((", "", 'Monthly Update'!DN51="", "", TRUE, 'Monthly Update'!DN51)</f>
        <v/>
      </c>
      <c r="W51" s="221" t="str" cm="1">
        <f t="array" ref="W51">_xlfn.IFS(LEFT('Monthly Update'!DO51, 3) = "*((", "", 'Monthly Update'!DO51="", "", TRUE, 'Monthly Update'!DO51)</f>
        <v/>
      </c>
      <c r="X51" s="221" t="str" cm="1">
        <f t="array" ref="X51">_xlfn.IFS(LEFT('Monthly Update'!DP51, 3) = "*((", "", 'Monthly Update'!DP51="", "", TRUE, 'Monthly Update'!DP51)</f>
        <v/>
      </c>
      <c r="Y51" s="221" t="str" cm="1">
        <f t="array" ref="Y51">_xlfn.IFS(LEFT('Monthly Update'!DQ51, 3) = "*((", "", 'Monthly Update'!DQ51="", "", TRUE, 'Monthly Update'!DQ51)</f>
        <v/>
      </c>
      <c r="Z51" s="221" t="str" cm="1">
        <f t="array" ref="Z51">_xlfn.IFS(LEFT('Monthly Update'!DR51, 3) = "*((", "", 'Monthly Update'!DR51="", "", TRUE, 'Monthly Update'!DR51)</f>
        <v/>
      </c>
      <c r="AA51" s="221" t="str" cm="1">
        <f t="array" ref="AA51">_xlfn.IFS(LEFT('Monthly Update'!DS51, 3) = "*((", "", 'Monthly Update'!DS51="", "", TRUE, 'Monthly Update'!DS51)</f>
        <v/>
      </c>
      <c r="AB51" s="221" t="str" cm="1">
        <f t="array" ref="AB51">_xlfn.IFS(LEFT('Monthly Update'!DT51, 3) = "*((", "", 'Monthly Update'!DT51="", "", TRUE, 'Monthly Update'!DT51)</f>
        <v/>
      </c>
      <c r="AC51" s="221" t="str" cm="1">
        <f t="array" ref="AC51">_xlfn.IFS(LEFT('Monthly Update'!DU51, 3) = "*((", "", 'Monthly Update'!DU51="", "", TRUE, 'Monthly Update'!DU51)</f>
        <v/>
      </c>
      <c r="AD51" s="221" t="str" cm="1">
        <f t="array" ref="AD51">_xlfn.IFS(LEFT('Monthly Update'!DV51, 3) = "*((", "", 'Monthly Update'!DV51="", "", TRUE, 'Monthly Update'!DV51)</f>
        <v/>
      </c>
      <c r="AE51" s="221" t="str" cm="1">
        <f t="array" ref="AE51">_xlfn.IFS(LEFT('Monthly Update'!DW51, 3) = "*((", "", 'Monthly Update'!DW51="", "", TRUE, 'Monthly Update'!DW51)</f>
        <v/>
      </c>
      <c r="AF51" s="221" t="str" cm="1">
        <f t="array" ref="AF51">_xlfn.IFS(LEFT('Monthly Update'!DX51, 3) = "*((", "", 'Monthly Update'!DX51="", "", TRUE, 'Monthly Update'!DX51)</f>
        <v/>
      </c>
      <c r="AG51" s="221" t="str" cm="1">
        <f t="array" ref="AG51">_xlfn.IFS(LEFT('Monthly Update'!DY51, 3) = "*((", "", 'Monthly Update'!DY51="", "", TRUE, 'Monthly Update'!DY51)</f>
        <v/>
      </c>
      <c r="AH51" s="221" t="str" cm="1">
        <f t="array" ref="AH51">_xlfn.IFS(LEFT('Monthly Update'!DZ51, 3) = "*((", "", 'Monthly Update'!DZ51="", "", TRUE, 'Monthly Update'!DZ51)</f>
        <v/>
      </c>
      <c r="AI51" s="221" t="str" cm="1">
        <f t="array" ref="AI51">_xlfn.IFS(LEFT('Monthly Update'!EA51, 3) = "*((", "", 'Monthly Update'!EA51="", "", TRUE, 'Monthly Update'!EA51)</f>
        <v/>
      </c>
      <c r="AJ51" s="221" t="str" cm="1">
        <f t="array" ref="AJ51">_xlfn.IFS(LEFT('Monthly Update'!EB51, 3) = "*((", "", 'Monthly Update'!EB51="", "", TRUE, 'Monthly Update'!EB51)</f>
        <v/>
      </c>
      <c r="AK51" s="221" t="str" cm="1">
        <f t="array" ref="AK51">_xlfn.IFS(LEFT('Monthly Update'!EC51, 3) = "*((", "", 'Monthly Update'!EC51="", "", TRUE, 'Monthly Update'!EC51)</f>
        <v/>
      </c>
      <c r="AL51" s="221" t="str" cm="1">
        <f t="array" ref="AL51">_xlfn.IFS(LEFT('Monthly Update'!ED51, 3) = "*((", "", 'Monthly Update'!ED51="", "", TRUE, 'Monthly Update'!ED51)</f>
        <v/>
      </c>
      <c r="AM51" s="221" t="str" cm="1">
        <f t="array" ref="AM51">_xlfn.IFS(LEFT('Monthly Update'!EE51, 3) = "*((", "", 'Monthly Update'!EE51="", "", TRUE, 'Monthly Update'!EE51)</f>
        <v/>
      </c>
      <c r="AN51" s="221" t="str" cm="1">
        <f t="array" ref="AN51">_xlfn.IFS(LEFT('Monthly Update'!EF51, 3) = "*((", "", 'Monthly Update'!EF51="", "", TRUE, 'Monthly Update'!EF51)</f>
        <v/>
      </c>
      <c r="AO51" s="221" t="str" cm="1">
        <f t="array" ref="AO51">_xlfn.IFS(LEFT('Monthly Update'!EG51, 3) = "*((", "", 'Monthly Update'!EG51="", "", TRUE, 'Monthly Update'!EG51)</f>
        <v/>
      </c>
      <c r="AP51" s="221" t="str" cm="1">
        <f t="array" ref="AP51">_xlfn.IFS(LEFT('Monthly Update'!EH51, 3) = "*((", "", 'Monthly Update'!EH51="", "", TRUE, 'Monthly Update'!EH51)</f>
        <v/>
      </c>
      <c r="AQ51" s="221" t="str" cm="1">
        <f t="array" ref="AQ51">_xlfn.IFS(LEFT('Monthly Update'!EI51, 3) = "*((", "", 'Monthly Update'!EI51="", "", TRUE, 'Monthly Update'!EI51)</f>
        <v/>
      </c>
      <c r="AR51" s="221" t="str" cm="1">
        <f t="array" ref="AR51">_xlfn.IFS(LEFT('Monthly Update'!EJ51, 3) = "*((", "", 'Monthly Update'!EJ51="", "", TRUE, 'Monthly Update'!EJ51)</f>
        <v/>
      </c>
      <c r="AS51" s="221" t="str" cm="1">
        <f t="array" ref="AS51">_xlfn.IFS(LEFT('Monthly Update'!EK51, 3) = "*((", "", 'Monthly Update'!EK51="", "", TRUE, 'Monthly Update'!EK51)</f>
        <v/>
      </c>
      <c r="AT51" s="221" t="str" cm="1">
        <f t="array" ref="AT51">_xlfn.IFS(LEFT('Monthly Update'!EL51, 3) = "*((", "", 'Monthly Update'!EL51="", "", TRUE, 'Monthly Update'!EL51)</f>
        <v/>
      </c>
      <c r="AU51" s="221" t="str" cm="1">
        <f t="array" ref="AU51">_xlfn.IFS(LEFT('Monthly Update'!EM51, 3) = "*((", "", 'Monthly Update'!EM51="", "", TRUE, 'Monthly Update'!EM51)</f>
        <v/>
      </c>
      <c r="AV51" s="221" t="str" cm="1">
        <f t="array" ref="AV51">_xlfn.IFS(LEFT('Monthly Update'!EN51, 3) = "*((", "", 'Monthly Update'!EN51="", "", TRUE, 'Monthly Update'!EN51)</f>
        <v/>
      </c>
      <c r="AW51" s="221" t="str" cm="1">
        <f t="array" ref="AW51">_xlfn.IFS(LEFT('Monthly Update'!EO51, 3) = "*((", "", 'Monthly Update'!EO51="", "", TRUE, 'Monthly Update'!EO51)</f>
        <v/>
      </c>
      <c r="NU51" s="252"/>
      <c r="NV51" s="252"/>
      <c r="NW51" s="252"/>
      <c r="NX51" s="252"/>
      <c r="NY51" s="252"/>
      <c r="NZ51" s="252"/>
      <c r="OA51" s="252"/>
      <c r="OB51" s="252"/>
      <c r="OC51" s="252"/>
      <c r="OD51" s="252"/>
      <c r="OE51" s="252"/>
      <c r="OF51" s="252"/>
      <c r="OG51" s="252"/>
      <c r="OH51" s="252"/>
      <c r="OI51" s="252"/>
      <c r="OJ51" s="252"/>
      <c r="OK51" s="252"/>
      <c r="OL51" s="252"/>
      <c r="OM51" s="252"/>
      <c r="ON51" s="252"/>
      <c r="OO51" s="252"/>
      <c r="OP51" s="252"/>
      <c r="OQ51" s="252"/>
      <c r="OR51" s="252"/>
      <c r="OS51" s="252"/>
      <c r="OT51" s="252"/>
      <c r="OU51" s="252"/>
      <c r="OV51" s="252"/>
      <c r="OW51" s="252"/>
      <c r="OX51" s="252"/>
      <c r="OY51" s="252"/>
      <c r="OZ51" s="252"/>
      <c r="PA51" s="252"/>
      <c r="PB51" s="252"/>
      <c r="PC51" s="252"/>
      <c r="PD51" s="252"/>
      <c r="PE51" s="252"/>
      <c r="PF51" s="252"/>
      <c r="PG51" s="252"/>
      <c r="PH51" s="252"/>
      <c r="PI51" s="252"/>
      <c r="PJ51" s="252"/>
      <c r="PK51" s="252"/>
      <c r="PL51" s="252"/>
      <c r="PM51" s="252"/>
      <c r="PN51" s="252"/>
      <c r="PO51" s="252"/>
      <c r="PP51" s="252"/>
      <c r="PQ51" s="252"/>
      <c r="PR51" s="252"/>
      <c r="PS51" s="252"/>
      <c r="PT51" s="252"/>
      <c r="PU51" s="252"/>
      <c r="PV51" s="252"/>
      <c r="PW51" s="252"/>
      <c r="PX51" s="252"/>
      <c r="PY51" s="252"/>
      <c r="PZ51" s="252"/>
      <c r="QA51" s="252"/>
      <c r="QB51" s="252"/>
      <c r="QC51" s="252"/>
      <c r="QD51" s="252"/>
      <c r="QE51" s="252"/>
      <c r="QF51" s="252"/>
      <c r="QG51" s="252"/>
      <c r="QH51" s="252"/>
      <c r="QI51" s="252"/>
      <c r="QJ51" s="252"/>
      <c r="QK51" s="252"/>
      <c r="QL51" s="252"/>
      <c r="QM51" s="252"/>
      <c r="QN51" s="252"/>
      <c r="QO51" s="252"/>
      <c r="QP51" s="252"/>
      <c r="QQ51" s="252"/>
      <c r="QR51" s="252"/>
      <c r="QS51" s="252"/>
      <c r="QT51" s="252"/>
      <c r="QU51" s="252"/>
      <c r="QV51" s="252"/>
      <c r="QW51" s="252"/>
      <c r="QX51" s="252"/>
      <c r="QY51" s="252"/>
      <c r="QZ51" s="252"/>
      <c r="RA51" s="252"/>
      <c r="RB51" s="252"/>
      <c r="RC51" s="252"/>
      <c r="RD51" s="252"/>
      <c r="RE51" s="252"/>
      <c r="RF51" s="252"/>
      <c r="RG51" s="252"/>
      <c r="RH51" s="252"/>
      <c r="RI51" s="252"/>
      <c r="RJ51" s="252"/>
      <c r="RK51" s="252"/>
      <c r="RL51" s="252"/>
      <c r="RM51" s="252"/>
      <c r="RN51" s="252"/>
      <c r="RO51" s="252"/>
      <c r="RP51" s="252"/>
      <c r="RQ51" s="252"/>
      <c r="RR51" s="252"/>
      <c r="RS51" s="252"/>
      <c r="RT51" s="252"/>
      <c r="RU51" s="252"/>
      <c r="RV51" s="252"/>
      <c r="RW51" s="252"/>
      <c r="RX51" s="252"/>
      <c r="RY51" s="252"/>
      <c r="RZ51" s="252"/>
      <c r="SA51" s="252"/>
      <c r="SB51" s="252"/>
      <c r="SC51" s="252"/>
      <c r="SD51" s="252"/>
      <c r="SE51" s="252"/>
      <c r="SF51" s="252"/>
      <c r="SG51" s="252"/>
      <c r="SH51" s="252"/>
      <c r="SI51" s="252"/>
      <c r="SJ51" s="252"/>
      <c r="SK51" s="252"/>
      <c r="SL51" s="252"/>
      <c r="SM51" s="252"/>
      <c r="SN51" s="252"/>
    </row>
    <row r="52" spans="1:508" s="243" customFormat="1" ht="15.6" customHeight="1" x14ac:dyDescent="0.55000000000000004">
      <c r="A52" s="220" t="str" cm="1">
        <f t="array" ref="A52">_xlfn.IFS(LEFT('Monthly Update'!A52, 3) = "*((", "", 'Monthly Update'!A52="", "", TRUE, 'Monthly Update'!A52)</f>
        <v/>
      </c>
      <c r="B52" s="220" t="str" cm="1">
        <f t="array" ref="B52">_xlfn.IFS(LEFT('Monthly Update'!B52, 3) = "*((", "", 'Monthly Update'!B52="", "", TRUE, 'Monthly Update'!B52)</f>
        <v/>
      </c>
      <c r="C52" s="221" t="str" cm="1">
        <f t="array" ref="C52">_xlfn.IFS(LEFT('Monthly Update'!CU52, 3) = "*((", "", 'Monthly Update'!CU52="", "", TRUE, 'Monthly Update'!CU52)</f>
        <v/>
      </c>
      <c r="D52" s="221" t="str" cm="1">
        <f t="array" ref="D52">_xlfn.IFS(LEFT('Monthly Update'!CV52, 3) = "*((", "", 'Monthly Update'!CV52="", "", TRUE, 'Monthly Update'!CV52)</f>
        <v/>
      </c>
      <c r="E52" s="221" t="str" cm="1">
        <f t="array" ref="E52">_xlfn.IFS(LEFT('Monthly Update'!CW52, 3) = "*((", "", 'Monthly Update'!CW52="", "", TRUE, 'Monthly Update'!CW52)</f>
        <v/>
      </c>
      <c r="F52" s="221" t="str" cm="1">
        <f t="array" ref="F52">_xlfn.IFS(LEFT('Monthly Update'!CX52, 3) = "*((", "", 'Monthly Update'!CX52="", "", TRUE, 'Monthly Update'!CX52)</f>
        <v/>
      </c>
      <c r="G52" s="221" t="str" cm="1">
        <f t="array" ref="G52">_xlfn.IFS(LEFT('Monthly Update'!CY52, 3) = "*((", "", 'Monthly Update'!CY52="", "", TRUE, 'Monthly Update'!CY52)</f>
        <v/>
      </c>
      <c r="H52" s="221" t="str" cm="1">
        <f t="array" ref="H52">_xlfn.IFS(LEFT('Monthly Update'!CZ52, 3) = "*((", "", 'Monthly Update'!CZ52="", "", TRUE, 'Monthly Update'!CZ52)</f>
        <v/>
      </c>
      <c r="I52" s="221" t="str" cm="1">
        <f t="array" ref="I52">_xlfn.IFS(LEFT('Monthly Update'!DA52, 3) = "*((", "", 'Monthly Update'!DA52="", "", TRUE, 'Monthly Update'!DA52)</f>
        <v/>
      </c>
      <c r="J52" s="221" t="str" cm="1">
        <f t="array" ref="J52">_xlfn.IFS(LEFT('Monthly Update'!DB52, 3) = "*((", "", 'Monthly Update'!DB52="", "", TRUE, 'Monthly Update'!DB52)</f>
        <v/>
      </c>
      <c r="K52" s="221" t="str" cm="1">
        <f t="array" ref="K52">_xlfn.IFS(LEFT('Monthly Update'!DC52, 3) = "*((", "", 'Monthly Update'!DC52="", "", TRUE, 'Monthly Update'!DC52)</f>
        <v/>
      </c>
      <c r="L52" s="221" t="str" cm="1">
        <f t="array" ref="L52">_xlfn.IFS(LEFT('Monthly Update'!DD52, 3) = "*((", "", 'Monthly Update'!DD52="", "", TRUE, 'Monthly Update'!DD52)</f>
        <v/>
      </c>
      <c r="M52" s="221" t="str" cm="1">
        <f t="array" ref="M52">_xlfn.IFS(LEFT('Monthly Update'!DE52, 3) = "*((", "", 'Monthly Update'!DE52="", "", TRUE, 'Monthly Update'!DE52)</f>
        <v/>
      </c>
      <c r="N52" s="221" t="str" cm="1">
        <f t="array" ref="N52">_xlfn.IFS(LEFT('Monthly Update'!DF52, 3) = "*((", "", 'Monthly Update'!DF52="", "", TRUE, 'Monthly Update'!DF52)</f>
        <v/>
      </c>
      <c r="O52" s="221" t="str" cm="1">
        <f t="array" ref="O52">_xlfn.IFS(LEFT('Monthly Update'!DG52, 3) = "*((", "", 'Monthly Update'!DG52="", "", TRUE, 'Monthly Update'!DG52)</f>
        <v/>
      </c>
      <c r="P52" s="221" t="str" cm="1">
        <f t="array" ref="P52">_xlfn.IFS(LEFT('Monthly Update'!DH52, 3) = "*((", "", 'Monthly Update'!DH52="", "", TRUE, 'Monthly Update'!DH52)</f>
        <v/>
      </c>
      <c r="Q52" s="221" t="str" cm="1">
        <f t="array" ref="Q52">_xlfn.IFS(LEFT('Monthly Update'!DI52, 3) = "*((", "", 'Monthly Update'!DI52="", "", TRUE, 'Monthly Update'!DI52)</f>
        <v/>
      </c>
      <c r="R52" s="221" t="str" cm="1">
        <f t="array" ref="R52">_xlfn.IFS(LEFT('Monthly Update'!DJ52, 3) = "*((", "", 'Monthly Update'!DJ52="", "", TRUE, 'Monthly Update'!DJ52)</f>
        <v/>
      </c>
      <c r="S52" s="221" t="str" cm="1">
        <f t="array" ref="S52">_xlfn.IFS(LEFT('Monthly Update'!DK52, 3) = "*((", "", 'Monthly Update'!DK52="", "", TRUE, 'Monthly Update'!DK52)</f>
        <v/>
      </c>
      <c r="T52" s="221" t="str" cm="1">
        <f t="array" ref="T52">_xlfn.IFS(LEFT('Monthly Update'!DL52, 3) = "*((", "", 'Monthly Update'!DL52="", "", TRUE, 'Monthly Update'!DL52)</f>
        <v/>
      </c>
      <c r="U52" s="221" t="str" cm="1">
        <f t="array" ref="U52">_xlfn.IFS(LEFT('Monthly Update'!DM52, 3) = "*((", "", 'Monthly Update'!DM52="", "", TRUE, 'Monthly Update'!DM52)</f>
        <v/>
      </c>
      <c r="V52" s="221" t="str" cm="1">
        <f t="array" ref="V52">_xlfn.IFS(LEFT('Monthly Update'!DN52, 3) = "*((", "", 'Monthly Update'!DN52="", "", TRUE, 'Monthly Update'!DN52)</f>
        <v/>
      </c>
      <c r="W52" s="221" t="str" cm="1">
        <f t="array" ref="W52">_xlfn.IFS(LEFT('Monthly Update'!DO52, 3) = "*((", "", 'Monthly Update'!DO52="", "", TRUE, 'Monthly Update'!DO52)</f>
        <v/>
      </c>
      <c r="X52" s="221" t="str" cm="1">
        <f t="array" ref="X52">_xlfn.IFS(LEFT('Monthly Update'!DP52, 3) = "*((", "", 'Monthly Update'!DP52="", "", TRUE, 'Monthly Update'!DP52)</f>
        <v/>
      </c>
      <c r="Y52" s="221" t="str" cm="1">
        <f t="array" ref="Y52">_xlfn.IFS(LEFT('Monthly Update'!DQ52, 3) = "*((", "", 'Monthly Update'!DQ52="", "", TRUE, 'Monthly Update'!DQ52)</f>
        <v/>
      </c>
      <c r="Z52" s="221" t="str" cm="1">
        <f t="array" ref="Z52">_xlfn.IFS(LEFT('Monthly Update'!DR52, 3) = "*((", "", 'Monthly Update'!DR52="", "", TRUE, 'Monthly Update'!DR52)</f>
        <v/>
      </c>
      <c r="AA52" s="221" t="str" cm="1">
        <f t="array" ref="AA52">_xlfn.IFS(LEFT('Monthly Update'!DS52, 3) = "*((", "", 'Monthly Update'!DS52="", "", TRUE, 'Monthly Update'!DS52)</f>
        <v/>
      </c>
      <c r="AB52" s="221" t="str" cm="1">
        <f t="array" ref="AB52">_xlfn.IFS(LEFT('Monthly Update'!DT52, 3) = "*((", "", 'Monthly Update'!DT52="", "", TRUE, 'Monthly Update'!DT52)</f>
        <v/>
      </c>
      <c r="AC52" s="221" t="str" cm="1">
        <f t="array" ref="AC52">_xlfn.IFS(LEFT('Monthly Update'!DU52, 3) = "*((", "", 'Monthly Update'!DU52="", "", TRUE, 'Monthly Update'!DU52)</f>
        <v/>
      </c>
      <c r="AD52" s="221" t="str" cm="1">
        <f t="array" ref="AD52">_xlfn.IFS(LEFT('Monthly Update'!DV52, 3) = "*((", "", 'Monthly Update'!DV52="", "", TRUE, 'Monthly Update'!DV52)</f>
        <v/>
      </c>
      <c r="AE52" s="221" t="str" cm="1">
        <f t="array" ref="AE52">_xlfn.IFS(LEFT('Monthly Update'!DW52, 3) = "*((", "", 'Monthly Update'!DW52="", "", TRUE, 'Monthly Update'!DW52)</f>
        <v/>
      </c>
      <c r="AF52" s="221" t="str" cm="1">
        <f t="array" ref="AF52">_xlfn.IFS(LEFT('Monthly Update'!DX52, 3) = "*((", "", 'Monthly Update'!DX52="", "", TRUE, 'Monthly Update'!DX52)</f>
        <v/>
      </c>
      <c r="AG52" s="221" t="str" cm="1">
        <f t="array" ref="AG52">_xlfn.IFS(LEFT('Monthly Update'!DY52, 3) = "*((", "", 'Monthly Update'!DY52="", "", TRUE, 'Monthly Update'!DY52)</f>
        <v/>
      </c>
      <c r="AH52" s="221" t="str" cm="1">
        <f t="array" ref="AH52">_xlfn.IFS(LEFT('Monthly Update'!DZ52, 3) = "*((", "", 'Monthly Update'!DZ52="", "", TRUE, 'Monthly Update'!DZ52)</f>
        <v/>
      </c>
      <c r="AI52" s="221" t="str" cm="1">
        <f t="array" ref="AI52">_xlfn.IFS(LEFT('Monthly Update'!EA52, 3) = "*((", "", 'Monthly Update'!EA52="", "", TRUE, 'Monthly Update'!EA52)</f>
        <v/>
      </c>
      <c r="AJ52" s="221" t="str" cm="1">
        <f t="array" ref="AJ52">_xlfn.IFS(LEFT('Monthly Update'!EB52, 3) = "*((", "", 'Monthly Update'!EB52="", "", TRUE, 'Monthly Update'!EB52)</f>
        <v/>
      </c>
      <c r="AK52" s="221" t="str" cm="1">
        <f t="array" ref="AK52">_xlfn.IFS(LEFT('Monthly Update'!EC52, 3) = "*((", "", 'Monthly Update'!EC52="", "", TRUE, 'Monthly Update'!EC52)</f>
        <v/>
      </c>
      <c r="AL52" s="221" t="str" cm="1">
        <f t="array" ref="AL52">_xlfn.IFS(LEFT('Monthly Update'!ED52, 3) = "*((", "", 'Monthly Update'!ED52="", "", TRUE, 'Monthly Update'!ED52)</f>
        <v/>
      </c>
      <c r="AM52" s="221" t="str" cm="1">
        <f t="array" ref="AM52">_xlfn.IFS(LEFT('Monthly Update'!EE52, 3) = "*((", "", 'Monthly Update'!EE52="", "", TRUE, 'Monthly Update'!EE52)</f>
        <v/>
      </c>
      <c r="AN52" s="221" t="str" cm="1">
        <f t="array" ref="AN52">_xlfn.IFS(LEFT('Monthly Update'!EF52, 3) = "*((", "", 'Monthly Update'!EF52="", "", TRUE, 'Monthly Update'!EF52)</f>
        <v/>
      </c>
      <c r="AO52" s="221" t="str" cm="1">
        <f t="array" ref="AO52">_xlfn.IFS(LEFT('Monthly Update'!EG52, 3) = "*((", "", 'Monthly Update'!EG52="", "", TRUE, 'Monthly Update'!EG52)</f>
        <v/>
      </c>
      <c r="AP52" s="221" t="str" cm="1">
        <f t="array" ref="AP52">_xlfn.IFS(LEFT('Monthly Update'!EH52, 3) = "*((", "", 'Monthly Update'!EH52="", "", TRUE, 'Monthly Update'!EH52)</f>
        <v/>
      </c>
      <c r="AQ52" s="221" t="str" cm="1">
        <f t="array" ref="AQ52">_xlfn.IFS(LEFT('Monthly Update'!EI52, 3) = "*((", "", 'Monthly Update'!EI52="", "", TRUE, 'Monthly Update'!EI52)</f>
        <v/>
      </c>
      <c r="AR52" s="221" t="str" cm="1">
        <f t="array" ref="AR52">_xlfn.IFS(LEFT('Monthly Update'!EJ52, 3) = "*((", "", 'Monthly Update'!EJ52="", "", TRUE, 'Monthly Update'!EJ52)</f>
        <v/>
      </c>
      <c r="AS52" s="221" t="str" cm="1">
        <f t="array" ref="AS52">_xlfn.IFS(LEFT('Monthly Update'!EK52, 3) = "*((", "", 'Monthly Update'!EK52="", "", TRUE, 'Monthly Update'!EK52)</f>
        <v/>
      </c>
      <c r="AT52" s="221" t="str" cm="1">
        <f t="array" ref="AT52">_xlfn.IFS(LEFT('Monthly Update'!EL52, 3) = "*((", "", 'Monthly Update'!EL52="", "", TRUE, 'Monthly Update'!EL52)</f>
        <v/>
      </c>
      <c r="AU52" s="221" t="str" cm="1">
        <f t="array" ref="AU52">_xlfn.IFS(LEFT('Monthly Update'!EM52, 3) = "*((", "", 'Monthly Update'!EM52="", "", TRUE, 'Monthly Update'!EM52)</f>
        <v/>
      </c>
      <c r="AV52" s="221" t="str" cm="1">
        <f t="array" ref="AV52">_xlfn.IFS(LEFT('Monthly Update'!EN52, 3) = "*((", "", 'Monthly Update'!EN52="", "", TRUE, 'Monthly Update'!EN52)</f>
        <v/>
      </c>
      <c r="AW52" s="221" t="str" cm="1">
        <f t="array" ref="AW52">_xlfn.IFS(LEFT('Monthly Update'!EO52, 3) = "*((", "", 'Monthly Update'!EO52="", "", TRUE, 'Monthly Update'!EO52)</f>
        <v/>
      </c>
      <c r="NU52" s="252"/>
      <c r="NV52" s="252"/>
      <c r="NW52" s="252"/>
      <c r="NX52" s="252"/>
      <c r="NY52" s="252"/>
      <c r="NZ52" s="252"/>
      <c r="OA52" s="252"/>
      <c r="OB52" s="252"/>
      <c r="OC52" s="252"/>
      <c r="OD52" s="252"/>
      <c r="OE52" s="252"/>
      <c r="OF52" s="252"/>
      <c r="OG52" s="252"/>
      <c r="OH52" s="252"/>
      <c r="OI52" s="252"/>
      <c r="OJ52" s="252"/>
      <c r="OK52" s="252"/>
      <c r="OL52" s="252"/>
      <c r="OM52" s="252"/>
      <c r="ON52" s="252"/>
      <c r="OO52" s="252"/>
      <c r="OP52" s="252"/>
      <c r="OQ52" s="252"/>
      <c r="OR52" s="252"/>
      <c r="OS52" s="252"/>
      <c r="OT52" s="252"/>
      <c r="OU52" s="252"/>
      <c r="OV52" s="252"/>
      <c r="OW52" s="252"/>
      <c r="OX52" s="252"/>
      <c r="OY52" s="252"/>
      <c r="OZ52" s="252"/>
      <c r="PA52" s="252"/>
      <c r="PB52" s="252"/>
      <c r="PC52" s="252"/>
      <c r="PD52" s="252"/>
      <c r="PE52" s="252"/>
      <c r="PF52" s="252"/>
      <c r="PG52" s="252"/>
      <c r="PH52" s="252"/>
      <c r="PI52" s="252"/>
      <c r="PJ52" s="252"/>
      <c r="PK52" s="252"/>
      <c r="PL52" s="252"/>
      <c r="PM52" s="252"/>
      <c r="PN52" s="252"/>
      <c r="PO52" s="252"/>
      <c r="PP52" s="252"/>
      <c r="PQ52" s="252"/>
      <c r="PR52" s="252"/>
      <c r="PS52" s="252"/>
      <c r="PT52" s="252"/>
      <c r="PU52" s="252"/>
      <c r="PV52" s="252"/>
      <c r="PW52" s="252"/>
      <c r="PX52" s="252"/>
      <c r="PY52" s="252"/>
      <c r="PZ52" s="252"/>
      <c r="QA52" s="252"/>
      <c r="QB52" s="252"/>
      <c r="QC52" s="252"/>
      <c r="QD52" s="252"/>
      <c r="QE52" s="252"/>
      <c r="QF52" s="252"/>
      <c r="QG52" s="252"/>
      <c r="QH52" s="252"/>
      <c r="QI52" s="252"/>
      <c r="QJ52" s="252"/>
      <c r="QK52" s="252"/>
      <c r="QL52" s="252"/>
      <c r="QM52" s="252"/>
      <c r="QN52" s="252"/>
      <c r="QO52" s="252"/>
      <c r="QP52" s="252"/>
      <c r="QQ52" s="252"/>
      <c r="QR52" s="252"/>
      <c r="QS52" s="252"/>
      <c r="QT52" s="252"/>
      <c r="QU52" s="252"/>
      <c r="QV52" s="252"/>
      <c r="QW52" s="252"/>
      <c r="QX52" s="252"/>
      <c r="QY52" s="252"/>
      <c r="QZ52" s="252"/>
      <c r="RA52" s="252"/>
      <c r="RB52" s="252"/>
      <c r="RC52" s="252"/>
      <c r="RD52" s="252"/>
      <c r="RE52" s="252"/>
      <c r="RF52" s="252"/>
      <c r="RG52" s="252"/>
      <c r="RH52" s="252"/>
      <c r="RI52" s="252"/>
      <c r="RJ52" s="252"/>
      <c r="RK52" s="252"/>
      <c r="RL52" s="252"/>
      <c r="RM52" s="252"/>
      <c r="RN52" s="252"/>
      <c r="RO52" s="252"/>
      <c r="RP52" s="252"/>
      <c r="RQ52" s="252"/>
      <c r="RR52" s="252"/>
      <c r="RS52" s="252"/>
      <c r="RT52" s="252"/>
      <c r="RU52" s="252"/>
      <c r="RV52" s="252"/>
      <c r="RW52" s="252"/>
      <c r="RX52" s="252"/>
      <c r="RY52" s="252"/>
      <c r="RZ52" s="252"/>
      <c r="SA52" s="252"/>
      <c r="SB52" s="252"/>
      <c r="SC52" s="252"/>
      <c r="SD52" s="252"/>
      <c r="SE52" s="252"/>
      <c r="SF52" s="252"/>
      <c r="SG52" s="252"/>
      <c r="SH52" s="252"/>
      <c r="SI52" s="252"/>
      <c r="SJ52" s="252"/>
      <c r="SK52" s="252"/>
      <c r="SL52" s="252"/>
      <c r="SM52" s="252"/>
      <c r="SN52" s="252"/>
    </row>
    <row r="53" spans="1:508" s="243" customFormat="1" ht="15.6" customHeight="1" x14ac:dyDescent="0.55000000000000004">
      <c r="A53" s="220" t="str" cm="1">
        <f t="array" ref="A53">_xlfn.IFS(LEFT('Monthly Update'!A53, 3) = "*((", "", 'Monthly Update'!A53="", "", TRUE, 'Monthly Update'!A53)</f>
        <v/>
      </c>
      <c r="B53" s="220" t="str" cm="1">
        <f t="array" ref="B53">_xlfn.IFS(LEFT('Monthly Update'!B53, 3) = "*((", "", 'Monthly Update'!B53="", "", TRUE, 'Monthly Update'!B53)</f>
        <v/>
      </c>
      <c r="C53" s="221" t="str" cm="1">
        <f t="array" ref="C53">_xlfn.IFS(LEFT('Monthly Update'!CU53, 3) = "*((", "", 'Monthly Update'!CU53="", "", TRUE, 'Monthly Update'!CU53)</f>
        <v/>
      </c>
      <c r="D53" s="221" t="str" cm="1">
        <f t="array" ref="D53">_xlfn.IFS(LEFT('Monthly Update'!CV53, 3) = "*((", "", 'Monthly Update'!CV53="", "", TRUE, 'Monthly Update'!CV53)</f>
        <v/>
      </c>
      <c r="E53" s="221" t="str" cm="1">
        <f t="array" ref="E53">_xlfn.IFS(LEFT('Monthly Update'!CW53, 3) = "*((", "", 'Monthly Update'!CW53="", "", TRUE, 'Monthly Update'!CW53)</f>
        <v/>
      </c>
      <c r="F53" s="221" t="str" cm="1">
        <f t="array" ref="F53">_xlfn.IFS(LEFT('Monthly Update'!CX53, 3) = "*((", "", 'Monthly Update'!CX53="", "", TRUE, 'Monthly Update'!CX53)</f>
        <v/>
      </c>
      <c r="G53" s="221" t="str" cm="1">
        <f t="array" ref="G53">_xlfn.IFS(LEFT('Monthly Update'!CY53, 3) = "*((", "", 'Monthly Update'!CY53="", "", TRUE, 'Monthly Update'!CY53)</f>
        <v/>
      </c>
      <c r="H53" s="221" t="str" cm="1">
        <f t="array" ref="H53">_xlfn.IFS(LEFT('Monthly Update'!CZ53, 3) = "*((", "", 'Monthly Update'!CZ53="", "", TRUE, 'Monthly Update'!CZ53)</f>
        <v/>
      </c>
      <c r="I53" s="221" t="str" cm="1">
        <f t="array" ref="I53">_xlfn.IFS(LEFT('Monthly Update'!DA53, 3) = "*((", "", 'Monthly Update'!DA53="", "", TRUE, 'Monthly Update'!DA53)</f>
        <v/>
      </c>
      <c r="J53" s="221" t="str" cm="1">
        <f t="array" ref="J53">_xlfn.IFS(LEFT('Monthly Update'!DB53, 3) = "*((", "", 'Monthly Update'!DB53="", "", TRUE, 'Monthly Update'!DB53)</f>
        <v/>
      </c>
      <c r="K53" s="221" t="str" cm="1">
        <f t="array" ref="K53">_xlfn.IFS(LEFT('Monthly Update'!DC53, 3) = "*((", "", 'Monthly Update'!DC53="", "", TRUE, 'Monthly Update'!DC53)</f>
        <v/>
      </c>
      <c r="L53" s="221" t="str" cm="1">
        <f t="array" ref="L53">_xlfn.IFS(LEFT('Monthly Update'!DD53, 3) = "*((", "", 'Monthly Update'!DD53="", "", TRUE, 'Monthly Update'!DD53)</f>
        <v/>
      </c>
      <c r="M53" s="221" t="str" cm="1">
        <f t="array" ref="M53">_xlfn.IFS(LEFT('Monthly Update'!DE53, 3) = "*((", "", 'Monthly Update'!DE53="", "", TRUE, 'Monthly Update'!DE53)</f>
        <v/>
      </c>
      <c r="N53" s="221" t="str" cm="1">
        <f t="array" ref="N53">_xlfn.IFS(LEFT('Monthly Update'!DF53, 3) = "*((", "", 'Monthly Update'!DF53="", "", TRUE, 'Monthly Update'!DF53)</f>
        <v/>
      </c>
      <c r="O53" s="221" t="str" cm="1">
        <f t="array" ref="O53">_xlfn.IFS(LEFT('Monthly Update'!DG53, 3) = "*((", "", 'Monthly Update'!DG53="", "", TRUE, 'Monthly Update'!DG53)</f>
        <v/>
      </c>
      <c r="P53" s="221" t="str" cm="1">
        <f t="array" ref="P53">_xlfn.IFS(LEFT('Monthly Update'!DH53, 3) = "*((", "", 'Monthly Update'!DH53="", "", TRUE, 'Monthly Update'!DH53)</f>
        <v/>
      </c>
      <c r="Q53" s="221" t="str" cm="1">
        <f t="array" ref="Q53">_xlfn.IFS(LEFT('Monthly Update'!DI53, 3) = "*((", "", 'Monthly Update'!DI53="", "", TRUE, 'Monthly Update'!DI53)</f>
        <v/>
      </c>
      <c r="R53" s="221" t="str" cm="1">
        <f t="array" ref="R53">_xlfn.IFS(LEFT('Monthly Update'!DJ53, 3) = "*((", "", 'Monthly Update'!DJ53="", "", TRUE, 'Monthly Update'!DJ53)</f>
        <v/>
      </c>
      <c r="S53" s="221" t="str" cm="1">
        <f t="array" ref="S53">_xlfn.IFS(LEFT('Monthly Update'!DK53, 3) = "*((", "", 'Monthly Update'!DK53="", "", TRUE, 'Monthly Update'!DK53)</f>
        <v/>
      </c>
      <c r="T53" s="221" t="str" cm="1">
        <f t="array" ref="T53">_xlfn.IFS(LEFT('Monthly Update'!DL53, 3) = "*((", "", 'Monthly Update'!DL53="", "", TRUE, 'Monthly Update'!DL53)</f>
        <v/>
      </c>
      <c r="U53" s="221" t="str" cm="1">
        <f t="array" ref="U53">_xlfn.IFS(LEFT('Monthly Update'!DM53, 3) = "*((", "", 'Monthly Update'!DM53="", "", TRUE, 'Monthly Update'!DM53)</f>
        <v/>
      </c>
      <c r="V53" s="221" t="str" cm="1">
        <f t="array" ref="V53">_xlfn.IFS(LEFT('Monthly Update'!DN53, 3) = "*((", "", 'Monthly Update'!DN53="", "", TRUE, 'Monthly Update'!DN53)</f>
        <v/>
      </c>
      <c r="W53" s="221" t="str" cm="1">
        <f t="array" ref="W53">_xlfn.IFS(LEFT('Monthly Update'!DO53, 3) = "*((", "", 'Monthly Update'!DO53="", "", TRUE, 'Monthly Update'!DO53)</f>
        <v/>
      </c>
      <c r="X53" s="221" t="str" cm="1">
        <f t="array" ref="X53">_xlfn.IFS(LEFT('Monthly Update'!DP53, 3) = "*((", "", 'Monthly Update'!DP53="", "", TRUE, 'Monthly Update'!DP53)</f>
        <v/>
      </c>
      <c r="Y53" s="221" t="str" cm="1">
        <f t="array" ref="Y53">_xlfn.IFS(LEFT('Monthly Update'!DQ53, 3) = "*((", "", 'Monthly Update'!DQ53="", "", TRUE, 'Monthly Update'!DQ53)</f>
        <v/>
      </c>
      <c r="Z53" s="221" t="str" cm="1">
        <f t="array" ref="Z53">_xlfn.IFS(LEFT('Monthly Update'!DR53, 3) = "*((", "", 'Monthly Update'!DR53="", "", TRUE, 'Monthly Update'!DR53)</f>
        <v/>
      </c>
      <c r="AA53" s="221" t="str" cm="1">
        <f t="array" ref="AA53">_xlfn.IFS(LEFT('Monthly Update'!DS53, 3) = "*((", "", 'Monthly Update'!DS53="", "", TRUE, 'Monthly Update'!DS53)</f>
        <v/>
      </c>
      <c r="AB53" s="221" t="str" cm="1">
        <f t="array" ref="AB53">_xlfn.IFS(LEFT('Monthly Update'!DT53, 3) = "*((", "", 'Monthly Update'!DT53="", "", TRUE, 'Monthly Update'!DT53)</f>
        <v/>
      </c>
      <c r="AC53" s="221" t="str" cm="1">
        <f t="array" ref="AC53">_xlfn.IFS(LEFT('Monthly Update'!DU53, 3) = "*((", "", 'Monthly Update'!DU53="", "", TRUE, 'Monthly Update'!DU53)</f>
        <v/>
      </c>
      <c r="AD53" s="221" t="str" cm="1">
        <f t="array" ref="AD53">_xlfn.IFS(LEFT('Monthly Update'!DV53, 3) = "*((", "", 'Monthly Update'!DV53="", "", TRUE, 'Monthly Update'!DV53)</f>
        <v/>
      </c>
      <c r="AE53" s="221" t="str" cm="1">
        <f t="array" ref="AE53">_xlfn.IFS(LEFT('Monthly Update'!DW53, 3) = "*((", "", 'Monthly Update'!DW53="", "", TRUE, 'Monthly Update'!DW53)</f>
        <v/>
      </c>
      <c r="AF53" s="221" t="str" cm="1">
        <f t="array" ref="AF53">_xlfn.IFS(LEFT('Monthly Update'!DX53, 3) = "*((", "", 'Monthly Update'!DX53="", "", TRUE, 'Monthly Update'!DX53)</f>
        <v/>
      </c>
      <c r="AG53" s="221" t="str" cm="1">
        <f t="array" ref="AG53">_xlfn.IFS(LEFT('Monthly Update'!DY53, 3) = "*((", "", 'Monthly Update'!DY53="", "", TRUE, 'Monthly Update'!DY53)</f>
        <v/>
      </c>
      <c r="AH53" s="221" t="str" cm="1">
        <f t="array" ref="AH53">_xlfn.IFS(LEFT('Monthly Update'!DZ53, 3) = "*((", "", 'Monthly Update'!DZ53="", "", TRUE, 'Monthly Update'!DZ53)</f>
        <v/>
      </c>
      <c r="AI53" s="221" t="str" cm="1">
        <f t="array" ref="AI53">_xlfn.IFS(LEFT('Monthly Update'!EA53, 3) = "*((", "", 'Monthly Update'!EA53="", "", TRUE, 'Monthly Update'!EA53)</f>
        <v/>
      </c>
      <c r="AJ53" s="221" t="str" cm="1">
        <f t="array" ref="AJ53">_xlfn.IFS(LEFT('Monthly Update'!EB53, 3) = "*((", "", 'Monthly Update'!EB53="", "", TRUE, 'Monthly Update'!EB53)</f>
        <v/>
      </c>
      <c r="AK53" s="221" t="str" cm="1">
        <f t="array" ref="AK53">_xlfn.IFS(LEFT('Monthly Update'!EC53, 3) = "*((", "", 'Monthly Update'!EC53="", "", TRUE, 'Monthly Update'!EC53)</f>
        <v/>
      </c>
      <c r="AL53" s="221" t="str" cm="1">
        <f t="array" ref="AL53">_xlfn.IFS(LEFT('Monthly Update'!ED53, 3) = "*((", "", 'Monthly Update'!ED53="", "", TRUE, 'Monthly Update'!ED53)</f>
        <v/>
      </c>
      <c r="AM53" s="221" t="str" cm="1">
        <f t="array" ref="AM53">_xlfn.IFS(LEFT('Monthly Update'!EE53, 3) = "*((", "", 'Monthly Update'!EE53="", "", TRUE, 'Monthly Update'!EE53)</f>
        <v/>
      </c>
      <c r="AN53" s="221" t="str" cm="1">
        <f t="array" ref="AN53">_xlfn.IFS(LEFT('Monthly Update'!EF53, 3) = "*((", "", 'Monthly Update'!EF53="", "", TRUE, 'Monthly Update'!EF53)</f>
        <v/>
      </c>
      <c r="AO53" s="221" t="str" cm="1">
        <f t="array" ref="AO53">_xlfn.IFS(LEFT('Monthly Update'!EG53, 3) = "*((", "", 'Monthly Update'!EG53="", "", TRUE, 'Monthly Update'!EG53)</f>
        <v/>
      </c>
      <c r="AP53" s="221" t="str" cm="1">
        <f t="array" ref="AP53">_xlfn.IFS(LEFT('Monthly Update'!EH53, 3) = "*((", "", 'Monthly Update'!EH53="", "", TRUE, 'Monthly Update'!EH53)</f>
        <v/>
      </c>
      <c r="AQ53" s="221" t="str" cm="1">
        <f t="array" ref="AQ53">_xlfn.IFS(LEFT('Monthly Update'!EI53, 3) = "*((", "", 'Monthly Update'!EI53="", "", TRUE, 'Monthly Update'!EI53)</f>
        <v/>
      </c>
      <c r="AR53" s="221" t="str" cm="1">
        <f t="array" ref="AR53">_xlfn.IFS(LEFT('Monthly Update'!EJ53, 3) = "*((", "", 'Monthly Update'!EJ53="", "", TRUE, 'Monthly Update'!EJ53)</f>
        <v/>
      </c>
      <c r="AS53" s="221" t="str" cm="1">
        <f t="array" ref="AS53">_xlfn.IFS(LEFT('Monthly Update'!EK53, 3) = "*((", "", 'Monthly Update'!EK53="", "", TRUE, 'Monthly Update'!EK53)</f>
        <v/>
      </c>
      <c r="AT53" s="221" t="str" cm="1">
        <f t="array" ref="AT53">_xlfn.IFS(LEFT('Monthly Update'!EL53, 3) = "*((", "", 'Monthly Update'!EL53="", "", TRUE, 'Monthly Update'!EL53)</f>
        <v/>
      </c>
      <c r="AU53" s="221" t="str" cm="1">
        <f t="array" ref="AU53">_xlfn.IFS(LEFT('Monthly Update'!EM53, 3) = "*((", "", 'Monthly Update'!EM53="", "", TRUE, 'Monthly Update'!EM53)</f>
        <v/>
      </c>
      <c r="AV53" s="221" t="str" cm="1">
        <f t="array" ref="AV53">_xlfn.IFS(LEFT('Monthly Update'!EN53, 3) = "*((", "", 'Monthly Update'!EN53="", "", TRUE, 'Monthly Update'!EN53)</f>
        <v/>
      </c>
      <c r="AW53" s="221" t="str" cm="1">
        <f t="array" ref="AW53">_xlfn.IFS(LEFT('Monthly Update'!EO53, 3) = "*((", "", 'Monthly Update'!EO53="", "", TRUE, 'Monthly Update'!EO53)</f>
        <v/>
      </c>
      <c r="NU53" s="252"/>
      <c r="NV53" s="252"/>
      <c r="NW53" s="252"/>
      <c r="NX53" s="252"/>
      <c r="NY53" s="252"/>
      <c r="NZ53" s="252"/>
      <c r="OA53" s="252"/>
      <c r="OB53" s="252"/>
      <c r="OC53" s="252"/>
      <c r="OD53" s="252"/>
      <c r="OE53" s="252"/>
      <c r="OF53" s="252"/>
      <c r="OG53" s="252"/>
      <c r="OH53" s="252"/>
      <c r="OI53" s="252"/>
      <c r="OJ53" s="252"/>
      <c r="OK53" s="252"/>
      <c r="OL53" s="252"/>
      <c r="OM53" s="252"/>
      <c r="ON53" s="252"/>
      <c r="OO53" s="252"/>
      <c r="OP53" s="252"/>
      <c r="OQ53" s="252"/>
      <c r="OR53" s="252"/>
      <c r="OS53" s="252"/>
      <c r="OT53" s="252"/>
      <c r="OU53" s="252"/>
      <c r="OV53" s="252"/>
      <c r="OW53" s="252"/>
      <c r="OX53" s="252"/>
      <c r="OY53" s="252"/>
      <c r="OZ53" s="252"/>
      <c r="PA53" s="252"/>
      <c r="PB53" s="252"/>
      <c r="PC53" s="252"/>
      <c r="PD53" s="252"/>
      <c r="PE53" s="252"/>
      <c r="PF53" s="252"/>
      <c r="PG53" s="252"/>
      <c r="PH53" s="252"/>
      <c r="PI53" s="252"/>
      <c r="PJ53" s="252"/>
      <c r="PK53" s="252"/>
      <c r="PL53" s="252"/>
      <c r="PM53" s="252"/>
      <c r="PN53" s="252"/>
      <c r="PO53" s="252"/>
      <c r="PP53" s="252"/>
      <c r="PQ53" s="252"/>
      <c r="PR53" s="252"/>
      <c r="PS53" s="252"/>
      <c r="PT53" s="252"/>
      <c r="PU53" s="252"/>
      <c r="PV53" s="252"/>
      <c r="PW53" s="252"/>
      <c r="PX53" s="252"/>
      <c r="PY53" s="252"/>
      <c r="PZ53" s="252"/>
      <c r="QA53" s="252"/>
      <c r="QB53" s="252"/>
      <c r="QC53" s="252"/>
      <c r="QD53" s="252"/>
      <c r="QE53" s="252"/>
      <c r="QF53" s="252"/>
      <c r="QG53" s="252"/>
      <c r="QH53" s="252"/>
      <c r="QI53" s="252"/>
      <c r="QJ53" s="252"/>
      <c r="QK53" s="252"/>
      <c r="QL53" s="252"/>
      <c r="QM53" s="252"/>
      <c r="QN53" s="252"/>
      <c r="QO53" s="252"/>
      <c r="QP53" s="252"/>
      <c r="QQ53" s="252"/>
      <c r="QR53" s="252"/>
      <c r="QS53" s="252"/>
      <c r="QT53" s="252"/>
      <c r="QU53" s="252"/>
      <c r="QV53" s="252"/>
      <c r="QW53" s="252"/>
      <c r="QX53" s="252"/>
      <c r="QY53" s="252"/>
      <c r="QZ53" s="252"/>
      <c r="RA53" s="252"/>
      <c r="RB53" s="252"/>
      <c r="RC53" s="252"/>
      <c r="RD53" s="252"/>
      <c r="RE53" s="252"/>
      <c r="RF53" s="252"/>
      <c r="RG53" s="252"/>
      <c r="RH53" s="252"/>
      <c r="RI53" s="252"/>
      <c r="RJ53" s="252"/>
      <c r="RK53" s="252"/>
      <c r="RL53" s="252"/>
      <c r="RM53" s="252"/>
      <c r="RN53" s="252"/>
      <c r="RO53" s="252"/>
      <c r="RP53" s="252"/>
      <c r="RQ53" s="252"/>
      <c r="RR53" s="252"/>
      <c r="RS53" s="252"/>
      <c r="RT53" s="252"/>
      <c r="RU53" s="252"/>
      <c r="RV53" s="252"/>
      <c r="RW53" s="252"/>
      <c r="RX53" s="252"/>
      <c r="RY53" s="252"/>
      <c r="RZ53" s="252"/>
      <c r="SA53" s="252"/>
      <c r="SB53" s="252"/>
      <c r="SC53" s="252"/>
      <c r="SD53" s="252"/>
      <c r="SE53" s="252"/>
      <c r="SF53" s="252"/>
      <c r="SG53" s="252"/>
      <c r="SH53" s="252"/>
      <c r="SI53" s="252"/>
      <c r="SJ53" s="252"/>
      <c r="SK53" s="252"/>
      <c r="SL53" s="252"/>
      <c r="SM53" s="252"/>
      <c r="SN53" s="252"/>
    </row>
    <row r="54" spans="1:508" s="243" customFormat="1" ht="15.6" customHeight="1" x14ac:dyDescent="0.55000000000000004">
      <c r="A54" s="220" t="str" cm="1">
        <f t="array" ref="A54">_xlfn.IFS(LEFT('Monthly Update'!A54, 3) = "*((", "", 'Monthly Update'!A54="", "", TRUE, 'Monthly Update'!A54)</f>
        <v/>
      </c>
      <c r="B54" s="220" t="str" cm="1">
        <f t="array" ref="B54">_xlfn.IFS(LEFT('Monthly Update'!B54, 3) = "*((", "", 'Monthly Update'!B54="", "", TRUE, 'Monthly Update'!B54)</f>
        <v/>
      </c>
      <c r="C54" s="221" t="str" cm="1">
        <f t="array" ref="C54">_xlfn.IFS(LEFT('Monthly Update'!CU54, 3) = "*((", "", 'Monthly Update'!CU54="", "", TRUE, 'Monthly Update'!CU54)</f>
        <v/>
      </c>
      <c r="D54" s="221" t="str" cm="1">
        <f t="array" ref="D54">_xlfn.IFS(LEFT('Monthly Update'!CV54, 3) = "*((", "", 'Monthly Update'!CV54="", "", TRUE, 'Monthly Update'!CV54)</f>
        <v/>
      </c>
      <c r="E54" s="221" t="str" cm="1">
        <f t="array" ref="E54">_xlfn.IFS(LEFT('Monthly Update'!CW54, 3) = "*((", "", 'Monthly Update'!CW54="", "", TRUE, 'Monthly Update'!CW54)</f>
        <v/>
      </c>
      <c r="F54" s="221" t="str" cm="1">
        <f t="array" ref="F54">_xlfn.IFS(LEFT('Monthly Update'!CX54, 3) = "*((", "", 'Monthly Update'!CX54="", "", TRUE, 'Monthly Update'!CX54)</f>
        <v/>
      </c>
      <c r="G54" s="221" t="str" cm="1">
        <f t="array" ref="G54">_xlfn.IFS(LEFT('Monthly Update'!CY54, 3) = "*((", "", 'Monthly Update'!CY54="", "", TRUE, 'Monthly Update'!CY54)</f>
        <v/>
      </c>
      <c r="H54" s="221" t="str" cm="1">
        <f t="array" ref="H54">_xlfn.IFS(LEFT('Monthly Update'!CZ54, 3) = "*((", "", 'Monthly Update'!CZ54="", "", TRUE, 'Monthly Update'!CZ54)</f>
        <v/>
      </c>
      <c r="I54" s="221" t="str" cm="1">
        <f t="array" ref="I54">_xlfn.IFS(LEFT('Monthly Update'!DA54, 3) = "*((", "", 'Monthly Update'!DA54="", "", TRUE, 'Monthly Update'!DA54)</f>
        <v/>
      </c>
      <c r="J54" s="221" t="str" cm="1">
        <f t="array" ref="J54">_xlfn.IFS(LEFT('Monthly Update'!DB54, 3) = "*((", "", 'Monthly Update'!DB54="", "", TRUE, 'Monthly Update'!DB54)</f>
        <v/>
      </c>
      <c r="K54" s="221" t="str" cm="1">
        <f t="array" ref="K54">_xlfn.IFS(LEFT('Monthly Update'!DC54, 3) = "*((", "", 'Monthly Update'!DC54="", "", TRUE, 'Monthly Update'!DC54)</f>
        <v/>
      </c>
      <c r="L54" s="221" t="str" cm="1">
        <f t="array" ref="L54">_xlfn.IFS(LEFT('Monthly Update'!DD54, 3) = "*((", "", 'Monthly Update'!DD54="", "", TRUE, 'Monthly Update'!DD54)</f>
        <v/>
      </c>
      <c r="M54" s="221" t="str" cm="1">
        <f t="array" ref="M54">_xlfn.IFS(LEFT('Monthly Update'!DE54, 3) = "*((", "", 'Monthly Update'!DE54="", "", TRUE, 'Monthly Update'!DE54)</f>
        <v/>
      </c>
      <c r="N54" s="221" t="str" cm="1">
        <f t="array" ref="N54">_xlfn.IFS(LEFT('Monthly Update'!DF54, 3) = "*((", "", 'Monthly Update'!DF54="", "", TRUE, 'Monthly Update'!DF54)</f>
        <v/>
      </c>
      <c r="O54" s="221" t="str" cm="1">
        <f t="array" ref="O54">_xlfn.IFS(LEFT('Monthly Update'!DG54, 3) = "*((", "", 'Monthly Update'!DG54="", "", TRUE, 'Monthly Update'!DG54)</f>
        <v/>
      </c>
      <c r="P54" s="221" t="str" cm="1">
        <f t="array" ref="P54">_xlfn.IFS(LEFT('Monthly Update'!DH54, 3) = "*((", "", 'Monthly Update'!DH54="", "", TRUE, 'Monthly Update'!DH54)</f>
        <v/>
      </c>
      <c r="Q54" s="221" t="str" cm="1">
        <f t="array" ref="Q54">_xlfn.IFS(LEFT('Monthly Update'!DI54, 3) = "*((", "", 'Monthly Update'!DI54="", "", TRUE, 'Monthly Update'!DI54)</f>
        <v/>
      </c>
      <c r="R54" s="221" t="str" cm="1">
        <f t="array" ref="R54">_xlfn.IFS(LEFT('Monthly Update'!DJ54, 3) = "*((", "", 'Monthly Update'!DJ54="", "", TRUE, 'Monthly Update'!DJ54)</f>
        <v/>
      </c>
      <c r="S54" s="221" t="str" cm="1">
        <f t="array" ref="S54">_xlfn.IFS(LEFT('Monthly Update'!DK54, 3) = "*((", "", 'Monthly Update'!DK54="", "", TRUE, 'Monthly Update'!DK54)</f>
        <v/>
      </c>
      <c r="T54" s="221" t="str" cm="1">
        <f t="array" ref="T54">_xlfn.IFS(LEFT('Monthly Update'!DL54, 3) = "*((", "", 'Monthly Update'!DL54="", "", TRUE, 'Monthly Update'!DL54)</f>
        <v/>
      </c>
      <c r="U54" s="221" t="str" cm="1">
        <f t="array" ref="U54">_xlfn.IFS(LEFT('Monthly Update'!DM54, 3) = "*((", "", 'Monthly Update'!DM54="", "", TRUE, 'Monthly Update'!DM54)</f>
        <v/>
      </c>
      <c r="V54" s="221" t="str" cm="1">
        <f t="array" ref="V54">_xlfn.IFS(LEFT('Monthly Update'!DN54, 3) = "*((", "", 'Monthly Update'!DN54="", "", TRUE, 'Monthly Update'!DN54)</f>
        <v/>
      </c>
      <c r="W54" s="221" t="str" cm="1">
        <f t="array" ref="W54">_xlfn.IFS(LEFT('Monthly Update'!DO54, 3) = "*((", "", 'Monthly Update'!DO54="", "", TRUE, 'Monthly Update'!DO54)</f>
        <v/>
      </c>
      <c r="X54" s="221" t="str" cm="1">
        <f t="array" ref="X54">_xlfn.IFS(LEFT('Monthly Update'!DP54, 3) = "*((", "", 'Monthly Update'!DP54="", "", TRUE, 'Monthly Update'!DP54)</f>
        <v/>
      </c>
      <c r="Y54" s="221" t="str" cm="1">
        <f t="array" ref="Y54">_xlfn.IFS(LEFT('Monthly Update'!DQ54, 3) = "*((", "", 'Monthly Update'!DQ54="", "", TRUE, 'Monthly Update'!DQ54)</f>
        <v/>
      </c>
      <c r="Z54" s="221" t="str" cm="1">
        <f t="array" ref="Z54">_xlfn.IFS(LEFT('Monthly Update'!DR54, 3) = "*((", "", 'Monthly Update'!DR54="", "", TRUE, 'Monthly Update'!DR54)</f>
        <v/>
      </c>
      <c r="AA54" s="221" t="str" cm="1">
        <f t="array" ref="AA54">_xlfn.IFS(LEFT('Monthly Update'!DS54, 3) = "*((", "", 'Monthly Update'!DS54="", "", TRUE, 'Monthly Update'!DS54)</f>
        <v/>
      </c>
      <c r="AB54" s="221" t="str" cm="1">
        <f t="array" ref="AB54">_xlfn.IFS(LEFT('Monthly Update'!DT54, 3) = "*((", "", 'Monthly Update'!DT54="", "", TRUE, 'Monthly Update'!DT54)</f>
        <v/>
      </c>
      <c r="AC54" s="221" t="str" cm="1">
        <f t="array" ref="AC54">_xlfn.IFS(LEFT('Monthly Update'!DU54, 3) = "*((", "", 'Monthly Update'!DU54="", "", TRUE, 'Monthly Update'!DU54)</f>
        <v/>
      </c>
      <c r="AD54" s="221" t="str" cm="1">
        <f t="array" ref="AD54">_xlfn.IFS(LEFT('Monthly Update'!DV54, 3) = "*((", "", 'Monthly Update'!DV54="", "", TRUE, 'Monthly Update'!DV54)</f>
        <v/>
      </c>
      <c r="AE54" s="221" t="str" cm="1">
        <f t="array" ref="AE54">_xlfn.IFS(LEFT('Monthly Update'!DW54, 3) = "*((", "", 'Monthly Update'!DW54="", "", TRUE, 'Monthly Update'!DW54)</f>
        <v/>
      </c>
      <c r="AF54" s="221" t="str" cm="1">
        <f t="array" ref="AF54">_xlfn.IFS(LEFT('Monthly Update'!DX54, 3) = "*((", "", 'Monthly Update'!DX54="", "", TRUE, 'Monthly Update'!DX54)</f>
        <v/>
      </c>
      <c r="AG54" s="221" t="str" cm="1">
        <f t="array" ref="AG54">_xlfn.IFS(LEFT('Monthly Update'!DY54, 3) = "*((", "", 'Monthly Update'!DY54="", "", TRUE, 'Monthly Update'!DY54)</f>
        <v/>
      </c>
      <c r="AH54" s="221" t="str" cm="1">
        <f t="array" ref="AH54">_xlfn.IFS(LEFT('Monthly Update'!DZ54, 3) = "*((", "", 'Monthly Update'!DZ54="", "", TRUE, 'Monthly Update'!DZ54)</f>
        <v/>
      </c>
      <c r="AI54" s="221" t="str" cm="1">
        <f t="array" ref="AI54">_xlfn.IFS(LEFT('Monthly Update'!EA54, 3) = "*((", "", 'Monthly Update'!EA54="", "", TRUE, 'Monthly Update'!EA54)</f>
        <v/>
      </c>
      <c r="AJ54" s="221" t="str" cm="1">
        <f t="array" ref="AJ54">_xlfn.IFS(LEFT('Monthly Update'!EB54, 3) = "*((", "", 'Monthly Update'!EB54="", "", TRUE, 'Monthly Update'!EB54)</f>
        <v/>
      </c>
      <c r="AK54" s="221" t="str" cm="1">
        <f t="array" ref="AK54">_xlfn.IFS(LEFT('Monthly Update'!EC54, 3) = "*((", "", 'Monthly Update'!EC54="", "", TRUE, 'Monthly Update'!EC54)</f>
        <v/>
      </c>
      <c r="AL54" s="221" t="str" cm="1">
        <f t="array" ref="AL54">_xlfn.IFS(LEFT('Monthly Update'!ED54, 3) = "*((", "", 'Monthly Update'!ED54="", "", TRUE, 'Monthly Update'!ED54)</f>
        <v/>
      </c>
      <c r="AM54" s="221" t="str" cm="1">
        <f t="array" ref="AM54">_xlfn.IFS(LEFT('Monthly Update'!EE54, 3) = "*((", "", 'Monthly Update'!EE54="", "", TRUE, 'Monthly Update'!EE54)</f>
        <v/>
      </c>
      <c r="AN54" s="221" t="str" cm="1">
        <f t="array" ref="AN54">_xlfn.IFS(LEFT('Monthly Update'!EF54, 3) = "*((", "", 'Monthly Update'!EF54="", "", TRUE, 'Monthly Update'!EF54)</f>
        <v/>
      </c>
      <c r="AO54" s="221" t="str" cm="1">
        <f t="array" ref="AO54">_xlfn.IFS(LEFT('Monthly Update'!EG54, 3) = "*((", "", 'Monthly Update'!EG54="", "", TRUE, 'Monthly Update'!EG54)</f>
        <v/>
      </c>
      <c r="AP54" s="221" t="str" cm="1">
        <f t="array" ref="AP54">_xlfn.IFS(LEFT('Monthly Update'!EH54, 3) = "*((", "", 'Monthly Update'!EH54="", "", TRUE, 'Monthly Update'!EH54)</f>
        <v/>
      </c>
      <c r="AQ54" s="221" t="str" cm="1">
        <f t="array" ref="AQ54">_xlfn.IFS(LEFT('Monthly Update'!EI54, 3) = "*((", "", 'Monthly Update'!EI54="", "", TRUE, 'Monthly Update'!EI54)</f>
        <v/>
      </c>
      <c r="AR54" s="221" t="str" cm="1">
        <f t="array" ref="AR54">_xlfn.IFS(LEFT('Monthly Update'!EJ54, 3) = "*((", "", 'Monthly Update'!EJ54="", "", TRUE, 'Monthly Update'!EJ54)</f>
        <v/>
      </c>
      <c r="AS54" s="221" t="str" cm="1">
        <f t="array" ref="AS54">_xlfn.IFS(LEFT('Monthly Update'!EK54, 3) = "*((", "", 'Monthly Update'!EK54="", "", TRUE, 'Monthly Update'!EK54)</f>
        <v/>
      </c>
      <c r="AT54" s="221" t="str" cm="1">
        <f t="array" ref="AT54">_xlfn.IFS(LEFT('Monthly Update'!EL54, 3) = "*((", "", 'Monthly Update'!EL54="", "", TRUE, 'Monthly Update'!EL54)</f>
        <v/>
      </c>
      <c r="AU54" s="221" t="str" cm="1">
        <f t="array" ref="AU54">_xlfn.IFS(LEFT('Monthly Update'!EM54, 3) = "*((", "", 'Monthly Update'!EM54="", "", TRUE, 'Monthly Update'!EM54)</f>
        <v/>
      </c>
      <c r="AV54" s="221" t="str" cm="1">
        <f t="array" ref="AV54">_xlfn.IFS(LEFT('Monthly Update'!EN54, 3) = "*((", "", 'Monthly Update'!EN54="", "", TRUE, 'Monthly Update'!EN54)</f>
        <v/>
      </c>
      <c r="AW54" s="221" t="str" cm="1">
        <f t="array" ref="AW54">_xlfn.IFS(LEFT('Monthly Update'!EO54, 3) = "*((", "", 'Monthly Update'!EO54="", "", TRUE, 'Monthly Update'!EO54)</f>
        <v/>
      </c>
      <c r="NU54" s="252"/>
      <c r="NV54" s="252"/>
      <c r="NW54" s="252"/>
      <c r="NX54" s="252"/>
      <c r="NY54" s="252"/>
      <c r="NZ54" s="252"/>
      <c r="OA54" s="252"/>
      <c r="OB54" s="252"/>
      <c r="OC54" s="252"/>
      <c r="OD54" s="252"/>
      <c r="OE54" s="252"/>
      <c r="OF54" s="252"/>
      <c r="OG54" s="252"/>
      <c r="OH54" s="252"/>
      <c r="OI54" s="252"/>
      <c r="OJ54" s="252"/>
      <c r="OK54" s="252"/>
      <c r="OL54" s="252"/>
      <c r="OM54" s="252"/>
      <c r="ON54" s="252"/>
      <c r="OO54" s="252"/>
      <c r="OP54" s="252"/>
      <c r="OQ54" s="252"/>
      <c r="OR54" s="252"/>
      <c r="OS54" s="252"/>
      <c r="OT54" s="252"/>
      <c r="OU54" s="252"/>
      <c r="OV54" s="252"/>
      <c r="OW54" s="252"/>
      <c r="OX54" s="252"/>
      <c r="OY54" s="252"/>
      <c r="OZ54" s="252"/>
      <c r="PA54" s="252"/>
      <c r="PB54" s="252"/>
      <c r="PC54" s="252"/>
      <c r="PD54" s="252"/>
      <c r="PE54" s="252"/>
      <c r="PF54" s="252"/>
      <c r="PG54" s="252"/>
      <c r="PH54" s="252"/>
      <c r="PI54" s="252"/>
      <c r="PJ54" s="252"/>
      <c r="PK54" s="252"/>
      <c r="PL54" s="252"/>
      <c r="PM54" s="252"/>
      <c r="PN54" s="252"/>
      <c r="PO54" s="252"/>
      <c r="PP54" s="252"/>
      <c r="PQ54" s="252"/>
      <c r="PR54" s="252"/>
      <c r="PS54" s="252"/>
      <c r="PT54" s="252"/>
      <c r="PU54" s="252"/>
      <c r="PV54" s="252"/>
      <c r="PW54" s="252"/>
      <c r="PX54" s="252"/>
      <c r="PY54" s="252"/>
      <c r="PZ54" s="252"/>
      <c r="QA54" s="252"/>
      <c r="QB54" s="252"/>
      <c r="QC54" s="252"/>
      <c r="QD54" s="252"/>
      <c r="QE54" s="252"/>
      <c r="QF54" s="252"/>
      <c r="QG54" s="252"/>
      <c r="QH54" s="252"/>
      <c r="QI54" s="252"/>
      <c r="QJ54" s="252"/>
      <c r="QK54" s="252"/>
      <c r="QL54" s="252"/>
      <c r="QM54" s="252"/>
      <c r="QN54" s="252"/>
      <c r="QO54" s="252"/>
      <c r="QP54" s="252"/>
      <c r="QQ54" s="252"/>
      <c r="QR54" s="252"/>
      <c r="QS54" s="252"/>
      <c r="QT54" s="252"/>
      <c r="QU54" s="252"/>
      <c r="QV54" s="252"/>
      <c r="QW54" s="252"/>
      <c r="QX54" s="252"/>
      <c r="QY54" s="252"/>
      <c r="QZ54" s="252"/>
      <c r="RA54" s="252"/>
      <c r="RB54" s="252"/>
      <c r="RC54" s="252"/>
      <c r="RD54" s="252"/>
      <c r="RE54" s="252"/>
      <c r="RF54" s="252"/>
      <c r="RG54" s="252"/>
      <c r="RH54" s="252"/>
      <c r="RI54" s="252"/>
      <c r="RJ54" s="252"/>
      <c r="RK54" s="252"/>
      <c r="RL54" s="252"/>
      <c r="RM54" s="252"/>
      <c r="RN54" s="252"/>
      <c r="RO54" s="252"/>
      <c r="RP54" s="252"/>
      <c r="RQ54" s="252"/>
      <c r="RR54" s="252"/>
      <c r="RS54" s="252"/>
      <c r="RT54" s="252"/>
      <c r="RU54" s="252"/>
      <c r="RV54" s="252"/>
      <c r="RW54" s="252"/>
      <c r="RX54" s="252"/>
      <c r="RY54" s="252"/>
      <c r="RZ54" s="252"/>
      <c r="SA54" s="252"/>
      <c r="SB54" s="252"/>
      <c r="SC54" s="252"/>
      <c r="SD54" s="252"/>
      <c r="SE54" s="252"/>
      <c r="SF54" s="252"/>
      <c r="SG54" s="252"/>
      <c r="SH54" s="252"/>
      <c r="SI54" s="252"/>
      <c r="SJ54" s="252"/>
      <c r="SK54" s="252"/>
      <c r="SL54" s="252"/>
      <c r="SM54" s="252"/>
      <c r="SN54" s="252"/>
    </row>
    <row r="55" spans="1:508" s="243" customFormat="1" ht="15.6" customHeight="1" x14ac:dyDescent="0.55000000000000004">
      <c r="A55" s="220" t="str" cm="1">
        <f t="array" ref="A55">_xlfn.IFS(LEFT('Monthly Update'!A55, 3) = "*((", "", 'Monthly Update'!A55="", "", TRUE, 'Monthly Update'!A55)</f>
        <v/>
      </c>
      <c r="B55" s="220" t="str" cm="1">
        <f t="array" ref="B55">_xlfn.IFS(LEFT('Monthly Update'!B55, 3) = "*((", "", 'Monthly Update'!B55="", "", TRUE, 'Monthly Update'!B55)</f>
        <v/>
      </c>
      <c r="C55" s="221" t="str" cm="1">
        <f t="array" ref="C55">_xlfn.IFS(LEFT('Monthly Update'!CU55, 3) = "*((", "", 'Monthly Update'!CU55="", "", TRUE, 'Monthly Update'!CU55)</f>
        <v/>
      </c>
      <c r="D55" s="221" t="str" cm="1">
        <f t="array" ref="D55">_xlfn.IFS(LEFT('Monthly Update'!CV55, 3) = "*((", "", 'Monthly Update'!CV55="", "", TRUE, 'Monthly Update'!CV55)</f>
        <v/>
      </c>
      <c r="E55" s="221" t="str" cm="1">
        <f t="array" ref="E55">_xlfn.IFS(LEFT('Monthly Update'!CW55, 3) = "*((", "", 'Monthly Update'!CW55="", "", TRUE, 'Monthly Update'!CW55)</f>
        <v/>
      </c>
      <c r="F55" s="221" t="str" cm="1">
        <f t="array" ref="F55">_xlfn.IFS(LEFT('Monthly Update'!CX55, 3) = "*((", "", 'Monthly Update'!CX55="", "", TRUE, 'Monthly Update'!CX55)</f>
        <v/>
      </c>
      <c r="G55" s="221" t="str" cm="1">
        <f t="array" ref="G55">_xlfn.IFS(LEFT('Monthly Update'!CY55, 3) = "*((", "", 'Monthly Update'!CY55="", "", TRUE, 'Monthly Update'!CY55)</f>
        <v/>
      </c>
      <c r="H55" s="221" t="str" cm="1">
        <f t="array" ref="H55">_xlfn.IFS(LEFT('Monthly Update'!CZ55, 3) = "*((", "", 'Monthly Update'!CZ55="", "", TRUE, 'Monthly Update'!CZ55)</f>
        <v/>
      </c>
      <c r="I55" s="221" t="str" cm="1">
        <f t="array" ref="I55">_xlfn.IFS(LEFT('Monthly Update'!DA55, 3) = "*((", "", 'Monthly Update'!DA55="", "", TRUE, 'Monthly Update'!DA55)</f>
        <v/>
      </c>
      <c r="J55" s="221" t="str" cm="1">
        <f t="array" ref="J55">_xlfn.IFS(LEFT('Monthly Update'!DB55, 3) = "*((", "", 'Monthly Update'!DB55="", "", TRUE, 'Monthly Update'!DB55)</f>
        <v/>
      </c>
      <c r="K55" s="221" t="str" cm="1">
        <f t="array" ref="K55">_xlfn.IFS(LEFT('Monthly Update'!DC55, 3) = "*((", "", 'Monthly Update'!DC55="", "", TRUE, 'Monthly Update'!DC55)</f>
        <v/>
      </c>
      <c r="L55" s="221" t="str" cm="1">
        <f t="array" ref="L55">_xlfn.IFS(LEFT('Monthly Update'!DD55, 3) = "*((", "", 'Monthly Update'!DD55="", "", TRUE, 'Monthly Update'!DD55)</f>
        <v/>
      </c>
      <c r="M55" s="221" t="str" cm="1">
        <f t="array" ref="M55">_xlfn.IFS(LEFT('Monthly Update'!DE55, 3) = "*((", "", 'Monthly Update'!DE55="", "", TRUE, 'Monthly Update'!DE55)</f>
        <v/>
      </c>
      <c r="N55" s="221" t="str" cm="1">
        <f t="array" ref="N55">_xlfn.IFS(LEFT('Monthly Update'!DF55, 3) = "*((", "", 'Monthly Update'!DF55="", "", TRUE, 'Monthly Update'!DF55)</f>
        <v/>
      </c>
      <c r="O55" s="221" t="str" cm="1">
        <f t="array" ref="O55">_xlfn.IFS(LEFT('Monthly Update'!DG55, 3) = "*((", "", 'Monthly Update'!DG55="", "", TRUE, 'Monthly Update'!DG55)</f>
        <v/>
      </c>
      <c r="P55" s="221" t="str" cm="1">
        <f t="array" ref="P55">_xlfn.IFS(LEFT('Monthly Update'!DH55, 3) = "*((", "", 'Monthly Update'!DH55="", "", TRUE, 'Monthly Update'!DH55)</f>
        <v/>
      </c>
      <c r="Q55" s="221" t="str" cm="1">
        <f t="array" ref="Q55">_xlfn.IFS(LEFT('Monthly Update'!DI55, 3) = "*((", "", 'Monthly Update'!DI55="", "", TRUE, 'Monthly Update'!DI55)</f>
        <v/>
      </c>
      <c r="R55" s="221" t="str" cm="1">
        <f t="array" ref="R55">_xlfn.IFS(LEFT('Monthly Update'!DJ55, 3) = "*((", "", 'Monthly Update'!DJ55="", "", TRUE, 'Monthly Update'!DJ55)</f>
        <v/>
      </c>
      <c r="S55" s="221" t="str" cm="1">
        <f t="array" ref="S55">_xlfn.IFS(LEFT('Monthly Update'!DK55, 3) = "*((", "", 'Monthly Update'!DK55="", "", TRUE, 'Monthly Update'!DK55)</f>
        <v/>
      </c>
      <c r="T55" s="221" t="str" cm="1">
        <f t="array" ref="T55">_xlfn.IFS(LEFT('Monthly Update'!DL55, 3) = "*((", "", 'Monthly Update'!DL55="", "", TRUE, 'Monthly Update'!DL55)</f>
        <v/>
      </c>
      <c r="U55" s="221" t="str" cm="1">
        <f t="array" ref="U55">_xlfn.IFS(LEFT('Monthly Update'!DM55, 3) = "*((", "", 'Monthly Update'!DM55="", "", TRUE, 'Monthly Update'!DM55)</f>
        <v/>
      </c>
      <c r="V55" s="221" t="str" cm="1">
        <f t="array" ref="V55">_xlfn.IFS(LEFT('Monthly Update'!DN55, 3) = "*((", "", 'Monthly Update'!DN55="", "", TRUE, 'Monthly Update'!DN55)</f>
        <v/>
      </c>
      <c r="W55" s="221" t="str" cm="1">
        <f t="array" ref="W55">_xlfn.IFS(LEFT('Monthly Update'!DO55, 3) = "*((", "", 'Monthly Update'!DO55="", "", TRUE, 'Monthly Update'!DO55)</f>
        <v/>
      </c>
      <c r="X55" s="221" t="str" cm="1">
        <f t="array" ref="X55">_xlfn.IFS(LEFT('Monthly Update'!DP55, 3) = "*((", "", 'Monthly Update'!DP55="", "", TRUE, 'Monthly Update'!DP55)</f>
        <v/>
      </c>
      <c r="Y55" s="221" t="str" cm="1">
        <f t="array" ref="Y55">_xlfn.IFS(LEFT('Monthly Update'!DQ55, 3) = "*((", "", 'Monthly Update'!DQ55="", "", TRUE, 'Monthly Update'!DQ55)</f>
        <v/>
      </c>
      <c r="Z55" s="221" t="str" cm="1">
        <f t="array" ref="Z55">_xlfn.IFS(LEFT('Monthly Update'!DR55, 3) = "*((", "", 'Monthly Update'!DR55="", "", TRUE, 'Monthly Update'!DR55)</f>
        <v/>
      </c>
      <c r="AA55" s="221" t="str" cm="1">
        <f t="array" ref="AA55">_xlfn.IFS(LEFT('Monthly Update'!DS55, 3) = "*((", "", 'Monthly Update'!DS55="", "", TRUE, 'Monthly Update'!DS55)</f>
        <v/>
      </c>
      <c r="AB55" s="221" t="str" cm="1">
        <f t="array" ref="AB55">_xlfn.IFS(LEFT('Monthly Update'!DT55, 3) = "*((", "", 'Monthly Update'!DT55="", "", TRUE, 'Monthly Update'!DT55)</f>
        <v/>
      </c>
      <c r="AC55" s="221" t="str" cm="1">
        <f t="array" ref="AC55">_xlfn.IFS(LEFT('Monthly Update'!DU55, 3) = "*((", "", 'Monthly Update'!DU55="", "", TRUE, 'Monthly Update'!DU55)</f>
        <v/>
      </c>
      <c r="AD55" s="221" t="str" cm="1">
        <f t="array" ref="AD55">_xlfn.IFS(LEFT('Monthly Update'!DV55, 3) = "*((", "", 'Monthly Update'!DV55="", "", TRUE, 'Monthly Update'!DV55)</f>
        <v/>
      </c>
      <c r="AE55" s="221" t="str" cm="1">
        <f t="array" ref="AE55">_xlfn.IFS(LEFT('Monthly Update'!DW55, 3) = "*((", "", 'Monthly Update'!DW55="", "", TRUE, 'Monthly Update'!DW55)</f>
        <v/>
      </c>
      <c r="AF55" s="221" t="str" cm="1">
        <f t="array" ref="AF55">_xlfn.IFS(LEFT('Monthly Update'!DX55, 3) = "*((", "", 'Monthly Update'!DX55="", "", TRUE, 'Monthly Update'!DX55)</f>
        <v/>
      </c>
      <c r="AG55" s="221" t="str" cm="1">
        <f t="array" ref="AG55">_xlfn.IFS(LEFT('Monthly Update'!DY55, 3) = "*((", "", 'Monthly Update'!DY55="", "", TRUE, 'Monthly Update'!DY55)</f>
        <v/>
      </c>
      <c r="AH55" s="221" t="str" cm="1">
        <f t="array" ref="AH55">_xlfn.IFS(LEFT('Monthly Update'!DZ55, 3) = "*((", "", 'Monthly Update'!DZ55="", "", TRUE, 'Monthly Update'!DZ55)</f>
        <v/>
      </c>
      <c r="AI55" s="221" t="str" cm="1">
        <f t="array" ref="AI55">_xlfn.IFS(LEFT('Monthly Update'!EA55, 3) = "*((", "", 'Monthly Update'!EA55="", "", TRUE, 'Monthly Update'!EA55)</f>
        <v/>
      </c>
      <c r="AJ55" s="221" t="str" cm="1">
        <f t="array" ref="AJ55">_xlfn.IFS(LEFT('Monthly Update'!EB55, 3) = "*((", "", 'Monthly Update'!EB55="", "", TRUE, 'Monthly Update'!EB55)</f>
        <v/>
      </c>
      <c r="AK55" s="221" t="str" cm="1">
        <f t="array" ref="AK55">_xlfn.IFS(LEFT('Monthly Update'!EC55, 3) = "*((", "", 'Monthly Update'!EC55="", "", TRUE, 'Monthly Update'!EC55)</f>
        <v/>
      </c>
      <c r="AL55" s="221" t="str" cm="1">
        <f t="array" ref="AL55">_xlfn.IFS(LEFT('Monthly Update'!ED55, 3) = "*((", "", 'Monthly Update'!ED55="", "", TRUE, 'Monthly Update'!ED55)</f>
        <v/>
      </c>
      <c r="AM55" s="221" t="str" cm="1">
        <f t="array" ref="AM55">_xlfn.IFS(LEFT('Monthly Update'!EE55, 3) = "*((", "", 'Monthly Update'!EE55="", "", TRUE, 'Monthly Update'!EE55)</f>
        <v/>
      </c>
      <c r="AN55" s="221" t="str" cm="1">
        <f t="array" ref="AN55">_xlfn.IFS(LEFT('Monthly Update'!EF55, 3) = "*((", "", 'Monthly Update'!EF55="", "", TRUE, 'Monthly Update'!EF55)</f>
        <v/>
      </c>
      <c r="AO55" s="221" t="str" cm="1">
        <f t="array" ref="AO55">_xlfn.IFS(LEFT('Monthly Update'!EG55, 3) = "*((", "", 'Monthly Update'!EG55="", "", TRUE, 'Monthly Update'!EG55)</f>
        <v/>
      </c>
      <c r="AP55" s="221" t="str" cm="1">
        <f t="array" ref="AP55">_xlfn.IFS(LEFT('Monthly Update'!EH55, 3) = "*((", "", 'Monthly Update'!EH55="", "", TRUE, 'Monthly Update'!EH55)</f>
        <v/>
      </c>
      <c r="AQ55" s="221" t="str" cm="1">
        <f t="array" ref="AQ55">_xlfn.IFS(LEFT('Monthly Update'!EI55, 3) = "*((", "", 'Monthly Update'!EI55="", "", TRUE, 'Monthly Update'!EI55)</f>
        <v/>
      </c>
      <c r="AR55" s="221" t="str" cm="1">
        <f t="array" ref="AR55">_xlfn.IFS(LEFT('Monthly Update'!EJ55, 3) = "*((", "", 'Monthly Update'!EJ55="", "", TRUE, 'Monthly Update'!EJ55)</f>
        <v/>
      </c>
      <c r="AS55" s="221" t="str" cm="1">
        <f t="array" ref="AS55">_xlfn.IFS(LEFT('Monthly Update'!EK55, 3) = "*((", "", 'Monthly Update'!EK55="", "", TRUE, 'Monthly Update'!EK55)</f>
        <v/>
      </c>
      <c r="AT55" s="221" t="str" cm="1">
        <f t="array" ref="AT55">_xlfn.IFS(LEFT('Monthly Update'!EL55, 3) = "*((", "", 'Monthly Update'!EL55="", "", TRUE, 'Monthly Update'!EL55)</f>
        <v/>
      </c>
      <c r="AU55" s="221" t="str" cm="1">
        <f t="array" ref="AU55">_xlfn.IFS(LEFT('Monthly Update'!EM55, 3) = "*((", "", 'Monthly Update'!EM55="", "", TRUE, 'Monthly Update'!EM55)</f>
        <v/>
      </c>
      <c r="AV55" s="221" t="str" cm="1">
        <f t="array" ref="AV55">_xlfn.IFS(LEFT('Monthly Update'!EN55, 3) = "*((", "", 'Monthly Update'!EN55="", "", TRUE, 'Monthly Update'!EN55)</f>
        <v/>
      </c>
      <c r="AW55" s="221" t="str" cm="1">
        <f t="array" ref="AW55">_xlfn.IFS(LEFT('Monthly Update'!EO55, 3) = "*((", "", 'Monthly Update'!EO55="", "", TRUE, 'Monthly Update'!EO55)</f>
        <v/>
      </c>
      <c r="NU55" s="252"/>
      <c r="NV55" s="252"/>
      <c r="NW55" s="252"/>
      <c r="NX55" s="252"/>
      <c r="NY55" s="252"/>
      <c r="NZ55" s="252"/>
      <c r="OA55" s="252"/>
      <c r="OB55" s="252"/>
      <c r="OC55" s="252"/>
      <c r="OD55" s="252"/>
      <c r="OE55" s="252"/>
      <c r="OF55" s="252"/>
      <c r="OG55" s="252"/>
      <c r="OH55" s="252"/>
      <c r="OI55" s="252"/>
      <c r="OJ55" s="252"/>
      <c r="OK55" s="252"/>
      <c r="OL55" s="252"/>
      <c r="OM55" s="252"/>
      <c r="ON55" s="252"/>
      <c r="OO55" s="252"/>
      <c r="OP55" s="252"/>
      <c r="OQ55" s="252"/>
      <c r="OR55" s="252"/>
      <c r="OS55" s="252"/>
      <c r="OT55" s="252"/>
      <c r="OU55" s="252"/>
      <c r="OV55" s="252"/>
      <c r="OW55" s="252"/>
      <c r="OX55" s="252"/>
      <c r="OY55" s="252"/>
      <c r="OZ55" s="252"/>
      <c r="PA55" s="252"/>
      <c r="PB55" s="252"/>
      <c r="PC55" s="252"/>
      <c r="PD55" s="252"/>
      <c r="PE55" s="252"/>
      <c r="PF55" s="252"/>
      <c r="PG55" s="252"/>
      <c r="PH55" s="252"/>
      <c r="PI55" s="252"/>
      <c r="PJ55" s="252"/>
      <c r="PK55" s="252"/>
      <c r="PL55" s="252"/>
      <c r="PM55" s="252"/>
      <c r="PN55" s="252"/>
      <c r="PO55" s="252"/>
      <c r="PP55" s="252"/>
      <c r="PQ55" s="252"/>
      <c r="PR55" s="252"/>
      <c r="PS55" s="252"/>
      <c r="PT55" s="252"/>
      <c r="PU55" s="252"/>
      <c r="PV55" s="252"/>
      <c r="PW55" s="252"/>
      <c r="PX55" s="252"/>
      <c r="PY55" s="252"/>
      <c r="PZ55" s="252"/>
      <c r="QA55" s="252"/>
      <c r="QB55" s="252"/>
      <c r="QC55" s="252"/>
      <c r="QD55" s="252"/>
      <c r="QE55" s="252"/>
      <c r="QF55" s="252"/>
      <c r="QG55" s="252"/>
      <c r="QH55" s="252"/>
      <c r="QI55" s="252"/>
      <c r="QJ55" s="252"/>
      <c r="QK55" s="252"/>
      <c r="QL55" s="252"/>
      <c r="QM55" s="252"/>
      <c r="QN55" s="252"/>
      <c r="QO55" s="252"/>
      <c r="QP55" s="252"/>
      <c r="QQ55" s="252"/>
      <c r="QR55" s="252"/>
      <c r="QS55" s="252"/>
      <c r="QT55" s="252"/>
      <c r="QU55" s="252"/>
      <c r="QV55" s="252"/>
      <c r="QW55" s="252"/>
      <c r="QX55" s="252"/>
      <c r="QY55" s="252"/>
      <c r="QZ55" s="252"/>
      <c r="RA55" s="252"/>
      <c r="RB55" s="252"/>
      <c r="RC55" s="252"/>
      <c r="RD55" s="252"/>
      <c r="RE55" s="252"/>
      <c r="RF55" s="252"/>
      <c r="RG55" s="252"/>
      <c r="RH55" s="252"/>
      <c r="RI55" s="252"/>
      <c r="RJ55" s="252"/>
      <c r="RK55" s="252"/>
      <c r="RL55" s="252"/>
      <c r="RM55" s="252"/>
      <c r="RN55" s="252"/>
      <c r="RO55" s="252"/>
      <c r="RP55" s="252"/>
      <c r="RQ55" s="252"/>
      <c r="RR55" s="252"/>
      <c r="RS55" s="252"/>
      <c r="RT55" s="252"/>
      <c r="RU55" s="252"/>
      <c r="RV55" s="252"/>
      <c r="RW55" s="252"/>
      <c r="RX55" s="252"/>
      <c r="RY55" s="252"/>
      <c r="RZ55" s="252"/>
      <c r="SA55" s="252"/>
      <c r="SB55" s="252"/>
      <c r="SC55" s="252"/>
      <c r="SD55" s="252"/>
      <c r="SE55" s="252"/>
      <c r="SF55" s="252"/>
      <c r="SG55" s="252"/>
      <c r="SH55" s="252"/>
      <c r="SI55" s="252"/>
      <c r="SJ55" s="252"/>
      <c r="SK55" s="252"/>
      <c r="SL55" s="252"/>
      <c r="SM55" s="252"/>
      <c r="SN55" s="252"/>
    </row>
    <row r="56" spans="1:508" s="243" customFormat="1" ht="15.6" customHeight="1" x14ac:dyDescent="0.55000000000000004">
      <c r="A56" s="220" t="str" cm="1">
        <f t="array" ref="A56">_xlfn.IFS(LEFT('Monthly Update'!A56, 3) = "*((", "", 'Monthly Update'!A56="", "", TRUE, 'Monthly Update'!A56)</f>
        <v/>
      </c>
      <c r="B56" s="220" t="str" cm="1">
        <f t="array" ref="B56">_xlfn.IFS(LEFT('Monthly Update'!B56, 3) = "*((", "", 'Monthly Update'!B56="", "", TRUE, 'Monthly Update'!B56)</f>
        <v/>
      </c>
      <c r="C56" s="221" t="str" cm="1">
        <f t="array" ref="C56">_xlfn.IFS(LEFT('Monthly Update'!CU56, 3) = "*((", "", 'Monthly Update'!CU56="", "", TRUE, 'Monthly Update'!CU56)</f>
        <v/>
      </c>
      <c r="D56" s="221" t="str" cm="1">
        <f t="array" ref="D56">_xlfn.IFS(LEFT('Monthly Update'!CV56, 3) = "*((", "", 'Monthly Update'!CV56="", "", TRUE, 'Monthly Update'!CV56)</f>
        <v/>
      </c>
      <c r="E56" s="221" t="str" cm="1">
        <f t="array" ref="E56">_xlfn.IFS(LEFT('Monthly Update'!CW56, 3) = "*((", "", 'Monthly Update'!CW56="", "", TRUE, 'Monthly Update'!CW56)</f>
        <v/>
      </c>
      <c r="F56" s="221" t="str" cm="1">
        <f t="array" ref="F56">_xlfn.IFS(LEFT('Monthly Update'!CX56, 3) = "*((", "", 'Monthly Update'!CX56="", "", TRUE, 'Monthly Update'!CX56)</f>
        <v/>
      </c>
      <c r="G56" s="221" t="str" cm="1">
        <f t="array" ref="G56">_xlfn.IFS(LEFT('Monthly Update'!CY56, 3) = "*((", "", 'Monthly Update'!CY56="", "", TRUE, 'Monthly Update'!CY56)</f>
        <v/>
      </c>
      <c r="H56" s="221" t="str" cm="1">
        <f t="array" ref="H56">_xlfn.IFS(LEFT('Monthly Update'!CZ56, 3) = "*((", "", 'Monthly Update'!CZ56="", "", TRUE, 'Monthly Update'!CZ56)</f>
        <v/>
      </c>
      <c r="I56" s="221" t="str" cm="1">
        <f t="array" ref="I56">_xlfn.IFS(LEFT('Monthly Update'!DA56, 3) = "*((", "", 'Monthly Update'!DA56="", "", TRUE, 'Monthly Update'!DA56)</f>
        <v/>
      </c>
      <c r="J56" s="221" t="str" cm="1">
        <f t="array" ref="J56">_xlfn.IFS(LEFT('Monthly Update'!DB56, 3) = "*((", "", 'Monthly Update'!DB56="", "", TRUE, 'Monthly Update'!DB56)</f>
        <v/>
      </c>
      <c r="K56" s="221" t="str" cm="1">
        <f t="array" ref="K56">_xlfn.IFS(LEFT('Monthly Update'!DC56, 3) = "*((", "", 'Monthly Update'!DC56="", "", TRUE, 'Monthly Update'!DC56)</f>
        <v/>
      </c>
      <c r="L56" s="221" t="str" cm="1">
        <f t="array" ref="L56">_xlfn.IFS(LEFT('Monthly Update'!DD56, 3) = "*((", "", 'Monthly Update'!DD56="", "", TRUE, 'Monthly Update'!DD56)</f>
        <v/>
      </c>
      <c r="M56" s="221" t="str" cm="1">
        <f t="array" ref="M56">_xlfn.IFS(LEFT('Monthly Update'!DE56, 3) = "*((", "", 'Monthly Update'!DE56="", "", TRUE, 'Monthly Update'!DE56)</f>
        <v/>
      </c>
      <c r="N56" s="221" t="str" cm="1">
        <f t="array" ref="N56">_xlfn.IFS(LEFT('Monthly Update'!DF56, 3) = "*((", "", 'Monthly Update'!DF56="", "", TRUE, 'Monthly Update'!DF56)</f>
        <v/>
      </c>
      <c r="O56" s="221" t="str" cm="1">
        <f t="array" ref="O56">_xlfn.IFS(LEFT('Monthly Update'!DG56, 3) = "*((", "", 'Monthly Update'!DG56="", "", TRUE, 'Monthly Update'!DG56)</f>
        <v/>
      </c>
      <c r="P56" s="221" t="str" cm="1">
        <f t="array" ref="P56">_xlfn.IFS(LEFT('Monthly Update'!DH56, 3) = "*((", "", 'Monthly Update'!DH56="", "", TRUE, 'Monthly Update'!DH56)</f>
        <v/>
      </c>
      <c r="Q56" s="221" t="str" cm="1">
        <f t="array" ref="Q56">_xlfn.IFS(LEFT('Monthly Update'!DI56, 3) = "*((", "", 'Monthly Update'!DI56="", "", TRUE, 'Monthly Update'!DI56)</f>
        <v/>
      </c>
      <c r="R56" s="221" t="str" cm="1">
        <f t="array" ref="R56">_xlfn.IFS(LEFT('Monthly Update'!DJ56, 3) = "*((", "", 'Monthly Update'!DJ56="", "", TRUE, 'Monthly Update'!DJ56)</f>
        <v/>
      </c>
      <c r="S56" s="221" t="str" cm="1">
        <f t="array" ref="S56">_xlfn.IFS(LEFT('Monthly Update'!DK56, 3) = "*((", "", 'Monthly Update'!DK56="", "", TRUE, 'Monthly Update'!DK56)</f>
        <v/>
      </c>
      <c r="T56" s="221" t="str" cm="1">
        <f t="array" ref="T56">_xlfn.IFS(LEFT('Monthly Update'!DL56, 3) = "*((", "", 'Monthly Update'!DL56="", "", TRUE, 'Monthly Update'!DL56)</f>
        <v/>
      </c>
      <c r="U56" s="221" t="str" cm="1">
        <f t="array" ref="U56">_xlfn.IFS(LEFT('Monthly Update'!DM56, 3) = "*((", "", 'Monthly Update'!DM56="", "", TRUE, 'Monthly Update'!DM56)</f>
        <v/>
      </c>
      <c r="V56" s="221" t="str" cm="1">
        <f t="array" ref="V56">_xlfn.IFS(LEFT('Monthly Update'!DN56, 3) = "*((", "", 'Monthly Update'!DN56="", "", TRUE, 'Monthly Update'!DN56)</f>
        <v/>
      </c>
      <c r="W56" s="221" t="str" cm="1">
        <f t="array" ref="W56">_xlfn.IFS(LEFT('Monthly Update'!DO56, 3) = "*((", "", 'Monthly Update'!DO56="", "", TRUE, 'Monthly Update'!DO56)</f>
        <v/>
      </c>
      <c r="X56" s="221" t="str" cm="1">
        <f t="array" ref="X56">_xlfn.IFS(LEFT('Monthly Update'!DP56, 3) = "*((", "", 'Monthly Update'!DP56="", "", TRUE, 'Monthly Update'!DP56)</f>
        <v/>
      </c>
      <c r="Y56" s="221" t="str" cm="1">
        <f t="array" ref="Y56">_xlfn.IFS(LEFT('Monthly Update'!DQ56, 3) = "*((", "", 'Monthly Update'!DQ56="", "", TRUE, 'Monthly Update'!DQ56)</f>
        <v/>
      </c>
      <c r="Z56" s="221" t="str" cm="1">
        <f t="array" ref="Z56">_xlfn.IFS(LEFT('Monthly Update'!DR56, 3) = "*((", "", 'Monthly Update'!DR56="", "", TRUE, 'Monthly Update'!DR56)</f>
        <v/>
      </c>
      <c r="AA56" s="221" t="str" cm="1">
        <f t="array" ref="AA56">_xlfn.IFS(LEFT('Monthly Update'!DS56, 3) = "*((", "", 'Monthly Update'!DS56="", "", TRUE, 'Monthly Update'!DS56)</f>
        <v/>
      </c>
      <c r="AB56" s="221" t="str" cm="1">
        <f t="array" ref="AB56">_xlfn.IFS(LEFT('Monthly Update'!DT56, 3) = "*((", "", 'Monthly Update'!DT56="", "", TRUE, 'Monthly Update'!DT56)</f>
        <v/>
      </c>
      <c r="AC56" s="221" t="str" cm="1">
        <f t="array" ref="AC56">_xlfn.IFS(LEFT('Monthly Update'!DU56, 3) = "*((", "", 'Monthly Update'!DU56="", "", TRUE, 'Monthly Update'!DU56)</f>
        <v/>
      </c>
      <c r="AD56" s="221" t="str" cm="1">
        <f t="array" ref="AD56">_xlfn.IFS(LEFT('Monthly Update'!DV56, 3) = "*((", "", 'Monthly Update'!DV56="", "", TRUE, 'Monthly Update'!DV56)</f>
        <v/>
      </c>
      <c r="AE56" s="221" t="str" cm="1">
        <f t="array" ref="AE56">_xlfn.IFS(LEFT('Monthly Update'!DW56, 3) = "*((", "", 'Monthly Update'!DW56="", "", TRUE, 'Monthly Update'!DW56)</f>
        <v/>
      </c>
      <c r="AF56" s="221" t="str" cm="1">
        <f t="array" ref="AF56">_xlfn.IFS(LEFT('Monthly Update'!DX56, 3) = "*((", "", 'Monthly Update'!DX56="", "", TRUE, 'Monthly Update'!DX56)</f>
        <v/>
      </c>
      <c r="AG56" s="221" t="str" cm="1">
        <f t="array" ref="AG56">_xlfn.IFS(LEFT('Monthly Update'!DY56, 3) = "*((", "", 'Monthly Update'!DY56="", "", TRUE, 'Monthly Update'!DY56)</f>
        <v/>
      </c>
      <c r="AH56" s="221" t="str" cm="1">
        <f t="array" ref="AH56">_xlfn.IFS(LEFT('Monthly Update'!DZ56, 3) = "*((", "", 'Monthly Update'!DZ56="", "", TRUE, 'Monthly Update'!DZ56)</f>
        <v/>
      </c>
      <c r="AI56" s="221" t="str" cm="1">
        <f t="array" ref="AI56">_xlfn.IFS(LEFT('Monthly Update'!EA56, 3) = "*((", "", 'Monthly Update'!EA56="", "", TRUE, 'Monthly Update'!EA56)</f>
        <v/>
      </c>
      <c r="AJ56" s="221" t="str" cm="1">
        <f t="array" ref="AJ56">_xlfn.IFS(LEFT('Monthly Update'!EB56, 3) = "*((", "", 'Monthly Update'!EB56="", "", TRUE, 'Monthly Update'!EB56)</f>
        <v/>
      </c>
      <c r="AK56" s="221" t="str" cm="1">
        <f t="array" ref="AK56">_xlfn.IFS(LEFT('Monthly Update'!EC56, 3) = "*((", "", 'Monthly Update'!EC56="", "", TRUE, 'Monthly Update'!EC56)</f>
        <v/>
      </c>
      <c r="AL56" s="221" t="str" cm="1">
        <f t="array" ref="AL56">_xlfn.IFS(LEFT('Monthly Update'!ED56, 3) = "*((", "", 'Monthly Update'!ED56="", "", TRUE, 'Monthly Update'!ED56)</f>
        <v/>
      </c>
      <c r="AM56" s="221" t="str" cm="1">
        <f t="array" ref="AM56">_xlfn.IFS(LEFT('Monthly Update'!EE56, 3) = "*((", "", 'Monthly Update'!EE56="", "", TRUE, 'Monthly Update'!EE56)</f>
        <v/>
      </c>
      <c r="AN56" s="221" t="str" cm="1">
        <f t="array" ref="AN56">_xlfn.IFS(LEFT('Monthly Update'!EF56, 3) = "*((", "", 'Monthly Update'!EF56="", "", TRUE, 'Monthly Update'!EF56)</f>
        <v/>
      </c>
      <c r="AO56" s="221" t="str" cm="1">
        <f t="array" ref="AO56">_xlfn.IFS(LEFT('Monthly Update'!EG56, 3) = "*((", "", 'Monthly Update'!EG56="", "", TRUE, 'Monthly Update'!EG56)</f>
        <v/>
      </c>
      <c r="AP56" s="221" t="str" cm="1">
        <f t="array" ref="AP56">_xlfn.IFS(LEFT('Monthly Update'!EH56, 3) = "*((", "", 'Monthly Update'!EH56="", "", TRUE, 'Monthly Update'!EH56)</f>
        <v/>
      </c>
      <c r="AQ56" s="221" t="str" cm="1">
        <f t="array" ref="AQ56">_xlfn.IFS(LEFT('Monthly Update'!EI56, 3) = "*((", "", 'Monthly Update'!EI56="", "", TRUE, 'Monthly Update'!EI56)</f>
        <v/>
      </c>
      <c r="AR56" s="221" t="str" cm="1">
        <f t="array" ref="AR56">_xlfn.IFS(LEFT('Monthly Update'!EJ56, 3) = "*((", "", 'Monthly Update'!EJ56="", "", TRUE, 'Monthly Update'!EJ56)</f>
        <v/>
      </c>
      <c r="AS56" s="221" t="str" cm="1">
        <f t="array" ref="AS56">_xlfn.IFS(LEFT('Monthly Update'!EK56, 3) = "*((", "", 'Monthly Update'!EK56="", "", TRUE, 'Monthly Update'!EK56)</f>
        <v/>
      </c>
      <c r="AT56" s="221" t="str" cm="1">
        <f t="array" ref="AT56">_xlfn.IFS(LEFT('Monthly Update'!EL56, 3) = "*((", "", 'Monthly Update'!EL56="", "", TRUE, 'Monthly Update'!EL56)</f>
        <v/>
      </c>
      <c r="AU56" s="221" t="str" cm="1">
        <f t="array" ref="AU56">_xlfn.IFS(LEFT('Monthly Update'!EM56, 3) = "*((", "", 'Monthly Update'!EM56="", "", TRUE, 'Monthly Update'!EM56)</f>
        <v/>
      </c>
      <c r="AV56" s="221" t="str" cm="1">
        <f t="array" ref="AV56">_xlfn.IFS(LEFT('Monthly Update'!EN56, 3) = "*((", "", 'Monthly Update'!EN56="", "", TRUE, 'Monthly Update'!EN56)</f>
        <v/>
      </c>
      <c r="AW56" s="221" t="str" cm="1">
        <f t="array" ref="AW56">_xlfn.IFS(LEFT('Monthly Update'!EO56, 3) = "*((", "", 'Monthly Update'!EO56="", "", TRUE, 'Monthly Update'!EO56)</f>
        <v/>
      </c>
      <c r="NU56" s="252"/>
      <c r="NV56" s="252"/>
      <c r="NW56" s="252"/>
      <c r="NX56" s="252"/>
      <c r="NY56" s="252"/>
      <c r="NZ56" s="252"/>
      <c r="OA56" s="252"/>
      <c r="OB56" s="252"/>
      <c r="OC56" s="252"/>
      <c r="OD56" s="252"/>
      <c r="OE56" s="252"/>
      <c r="OF56" s="252"/>
      <c r="OG56" s="252"/>
      <c r="OH56" s="252"/>
      <c r="OI56" s="252"/>
      <c r="OJ56" s="252"/>
      <c r="OK56" s="252"/>
      <c r="OL56" s="252"/>
      <c r="OM56" s="252"/>
      <c r="ON56" s="252"/>
      <c r="OO56" s="252"/>
      <c r="OP56" s="252"/>
      <c r="OQ56" s="252"/>
      <c r="OR56" s="252"/>
      <c r="OS56" s="252"/>
      <c r="OT56" s="252"/>
      <c r="OU56" s="252"/>
      <c r="OV56" s="252"/>
      <c r="OW56" s="252"/>
      <c r="OX56" s="252"/>
      <c r="OY56" s="252"/>
      <c r="OZ56" s="252"/>
      <c r="PA56" s="252"/>
      <c r="PB56" s="252"/>
      <c r="PC56" s="252"/>
      <c r="PD56" s="252"/>
      <c r="PE56" s="252"/>
      <c r="PF56" s="252"/>
      <c r="PG56" s="252"/>
      <c r="PH56" s="252"/>
      <c r="PI56" s="252"/>
      <c r="PJ56" s="252"/>
      <c r="PK56" s="252"/>
      <c r="PL56" s="252"/>
      <c r="PM56" s="252"/>
      <c r="PN56" s="252"/>
      <c r="PO56" s="252"/>
      <c r="PP56" s="252"/>
      <c r="PQ56" s="252"/>
      <c r="PR56" s="252"/>
      <c r="PS56" s="252"/>
      <c r="PT56" s="252"/>
      <c r="PU56" s="252"/>
      <c r="PV56" s="252"/>
      <c r="PW56" s="252"/>
      <c r="PX56" s="252"/>
      <c r="PY56" s="252"/>
      <c r="PZ56" s="252"/>
      <c r="QA56" s="252"/>
      <c r="QB56" s="252"/>
      <c r="QC56" s="252"/>
      <c r="QD56" s="252"/>
      <c r="QE56" s="252"/>
      <c r="QF56" s="252"/>
      <c r="QG56" s="252"/>
      <c r="QH56" s="252"/>
      <c r="QI56" s="252"/>
      <c r="QJ56" s="252"/>
      <c r="QK56" s="252"/>
      <c r="QL56" s="252"/>
      <c r="QM56" s="252"/>
      <c r="QN56" s="252"/>
      <c r="QO56" s="252"/>
      <c r="QP56" s="252"/>
      <c r="QQ56" s="252"/>
      <c r="QR56" s="252"/>
      <c r="QS56" s="252"/>
      <c r="QT56" s="252"/>
      <c r="QU56" s="252"/>
      <c r="QV56" s="252"/>
      <c r="QW56" s="252"/>
      <c r="QX56" s="252"/>
      <c r="QY56" s="252"/>
      <c r="QZ56" s="252"/>
      <c r="RA56" s="252"/>
      <c r="RB56" s="252"/>
      <c r="RC56" s="252"/>
      <c r="RD56" s="252"/>
      <c r="RE56" s="252"/>
      <c r="RF56" s="252"/>
      <c r="RG56" s="252"/>
      <c r="RH56" s="252"/>
      <c r="RI56" s="252"/>
      <c r="RJ56" s="252"/>
      <c r="RK56" s="252"/>
      <c r="RL56" s="252"/>
      <c r="RM56" s="252"/>
      <c r="RN56" s="252"/>
      <c r="RO56" s="252"/>
      <c r="RP56" s="252"/>
      <c r="RQ56" s="252"/>
      <c r="RR56" s="252"/>
      <c r="RS56" s="252"/>
      <c r="RT56" s="252"/>
      <c r="RU56" s="252"/>
      <c r="RV56" s="252"/>
      <c r="RW56" s="252"/>
      <c r="RX56" s="252"/>
      <c r="RY56" s="252"/>
      <c r="RZ56" s="252"/>
      <c r="SA56" s="252"/>
      <c r="SB56" s="252"/>
      <c r="SC56" s="252"/>
      <c r="SD56" s="252"/>
      <c r="SE56" s="252"/>
      <c r="SF56" s="252"/>
      <c r="SG56" s="252"/>
      <c r="SH56" s="252"/>
      <c r="SI56" s="252"/>
      <c r="SJ56" s="252"/>
      <c r="SK56" s="252"/>
      <c r="SL56" s="252"/>
      <c r="SM56" s="252"/>
      <c r="SN56" s="252"/>
    </row>
    <row r="57" spans="1:508" s="243" customFormat="1" ht="15.6" customHeight="1" x14ac:dyDescent="0.55000000000000004">
      <c r="A57" s="220" t="str" cm="1">
        <f t="array" ref="A57">_xlfn.IFS(LEFT('Monthly Update'!A57, 3) = "*((", "", 'Monthly Update'!A57="", "", TRUE, 'Monthly Update'!A57)</f>
        <v/>
      </c>
      <c r="B57" s="220" t="str" cm="1">
        <f t="array" ref="B57">_xlfn.IFS(LEFT('Monthly Update'!B57, 3) = "*((", "", 'Monthly Update'!B57="", "", TRUE, 'Monthly Update'!B57)</f>
        <v/>
      </c>
      <c r="C57" s="221" t="str" cm="1">
        <f t="array" ref="C57">_xlfn.IFS(LEFT('Monthly Update'!CU57, 3) = "*((", "", 'Monthly Update'!CU57="", "", TRUE, 'Monthly Update'!CU57)</f>
        <v/>
      </c>
      <c r="D57" s="221" t="str" cm="1">
        <f t="array" ref="D57">_xlfn.IFS(LEFT('Monthly Update'!CV57, 3) = "*((", "", 'Monthly Update'!CV57="", "", TRUE, 'Monthly Update'!CV57)</f>
        <v/>
      </c>
      <c r="E57" s="221" t="str" cm="1">
        <f t="array" ref="E57">_xlfn.IFS(LEFT('Monthly Update'!CW57, 3) = "*((", "", 'Monthly Update'!CW57="", "", TRUE, 'Monthly Update'!CW57)</f>
        <v/>
      </c>
      <c r="F57" s="221" t="str" cm="1">
        <f t="array" ref="F57">_xlfn.IFS(LEFT('Monthly Update'!CX57, 3) = "*((", "", 'Monthly Update'!CX57="", "", TRUE, 'Monthly Update'!CX57)</f>
        <v/>
      </c>
      <c r="G57" s="221" t="str" cm="1">
        <f t="array" ref="G57">_xlfn.IFS(LEFT('Monthly Update'!CY57, 3) = "*((", "", 'Monthly Update'!CY57="", "", TRUE, 'Monthly Update'!CY57)</f>
        <v/>
      </c>
      <c r="H57" s="221" t="str" cm="1">
        <f t="array" ref="H57">_xlfn.IFS(LEFT('Monthly Update'!CZ57, 3) = "*((", "", 'Monthly Update'!CZ57="", "", TRUE, 'Monthly Update'!CZ57)</f>
        <v/>
      </c>
      <c r="I57" s="221" t="str" cm="1">
        <f t="array" ref="I57">_xlfn.IFS(LEFT('Monthly Update'!DA57, 3) = "*((", "", 'Monthly Update'!DA57="", "", TRUE, 'Monthly Update'!DA57)</f>
        <v/>
      </c>
      <c r="J57" s="221" t="str" cm="1">
        <f t="array" ref="J57">_xlfn.IFS(LEFT('Monthly Update'!DB57, 3) = "*((", "", 'Monthly Update'!DB57="", "", TRUE, 'Monthly Update'!DB57)</f>
        <v/>
      </c>
      <c r="K57" s="221" t="str" cm="1">
        <f t="array" ref="K57">_xlfn.IFS(LEFT('Monthly Update'!DC57, 3) = "*((", "", 'Monthly Update'!DC57="", "", TRUE, 'Monthly Update'!DC57)</f>
        <v/>
      </c>
      <c r="L57" s="221" t="str" cm="1">
        <f t="array" ref="L57">_xlfn.IFS(LEFT('Monthly Update'!DD57, 3) = "*((", "", 'Monthly Update'!DD57="", "", TRUE, 'Monthly Update'!DD57)</f>
        <v/>
      </c>
      <c r="M57" s="221" t="str" cm="1">
        <f t="array" ref="M57">_xlfn.IFS(LEFT('Monthly Update'!DE57, 3) = "*((", "", 'Monthly Update'!DE57="", "", TRUE, 'Monthly Update'!DE57)</f>
        <v/>
      </c>
      <c r="N57" s="221" t="str" cm="1">
        <f t="array" ref="N57">_xlfn.IFS(LEFT('Monthly Update'!DF57, 3) = "*((", "", 'Monthly Update'!DF57="", "", TRUE, 'Monthly Update'!DF57)</f>
        <v/>
      </c>
      <c r="O57" s="221" t="str" cm="1">
        <f t="array" ref="O57">_xlfn.IFS(LEFT('Monthly Update'!DG57, 3) = "*((", "", 'Monthly Update'!DG57="", "", TRUE, 'Monthly Update'!DG57)</f>
        <v/>
      </c>
      <c r="P57" s="221" t="str" cm="1">
        <f t="array" ref="P57">_xlfn.IFS(LEFT('Monthly Update'!DH57, 3) = "*((", "", 'Monthly Update'!DH57="", "", TRUE, 'Monthly Update'!DH57)</f>
        <v/>
      </c>
      <c r="Q57" s="221" t="str" cm="1">
        <f t="array" ref="Q57">_xlfn.IFS(LEFT('Monthly Update'!DI57, 3) = "*((", "", 'Monthly Update'!DI57="", "", TRUE, 'Monthly Update'!DI57)</f>
        <v/>
      </c>
      <c r="R57" s="221" t="str" cm="1">
        <f t="array" ref="R57">_xlfn.IFS(LEFT('Monthly Update'!DJ57, 3) = "*((", "", 'Monthly Update'!DJ57="", "", TRUE, 'Monthly Update'!DJ57)</f>
        <v/>
      </c>
      <c r="S57" s="221" t="str" cm="1">
        <f t="array" ref="S57">_xlfn.IFS(LEFT('Monthly Update'!DK57, 3) = "*((", "", 'Monthly Update'!DK57="", "", TRUE, 'Monthly Update'!DK57)</f>
        <v/>
      </c>
      <c r="T57" s="221" t="str" cm="1">
        <f t="array" ref="T57">_xlfn.IFS(LEFT('Monthly Update'!DL57, 3) = "*((", "", 'Monthly Update'!DL57="", "", TRUE, 'Monthly Update'!DL57)</f>
        <v/>
      </c>
      <c r="U57" s="221" t="str" cm="1">
        <f t="array" ref="U57">_xlfn.IFS(LEFT('Monthly Update'!DM57, 3) = "*((", "", 'Monthly Update'!DM57="", "", TRUE, 'Monthly Update'!DM57)</f>
        <v/>
      </c>
      <c r="V57" s="221" t="str" cm="1">
        <f t="array" ref="V57">_xlfn.IFS(LEFT('Monthly Update'!DN57, 3) = "*((", "", 'Monthly Update'!DN57="", "", TRUE, 'Monthly Update'!DN57)</f>
        <v/>
      </c>
      <c r="W57" s="221" t="str" cm="1">
        <f t="array" ref="W57">_xlfn.IFS(LEFT('Monthly Update'!DO57, 3) = "*((", "", 'Monthly Update'!DO57="", "", TRUE, 'Monthly Update'!DO57)</f>
        <v/>
      </c>
      <c r="X57" s="221" t="str" cm="1">
        <f t="array" ref="X57">_xlfn.IFS(LEFT('Monthly Update'!DP57, 3) = "*((", "", 'Monthly Update'!DP57="", "", TRUE, 'Monthly Update'!DP57)</f>
        <v/>
      </c>
      <c r="Y57" s="221" t="str" cm="1">
        <f t="array" ref="Y57">_xlfn.IFS(LEFT('Monthly Update'!DQ57, 3) = "*((", "", 'Monthly Update'!DQ57="", "", TRUE, 'Monthly Update'!DQ57)</f>
        <v/>
      </c>
      <c r="Z57" s="221" t="str" cm="1">
        <f t="array" ref="Z57">_xlfn.IFS(LEFT('Monthly Update'!DR57, 3) = "*((", "", 'Monthly Update'!DR57="", "", TRUE, 'Monthly Update'!DR57)</f>
        <v/>
      </c>
      <c r="AA57" s="221" t="str" cm="1">
        <f t="array" ref="AA57">_xlfn.IFS(LEFT('Monthly Update'!DS57, 3) = "*((", "", 'Monthly Update'!DS57="", "", TRUE, 'Monthly Update'!DS57)</f>
        <v/>
      </c>
      <c r="AB57" s="221" t="str" cm="1">
        <f t="array" ref="AB57">_xlfn.IFS(LEFT('Monthly Update'!DT57, 3) = "*((", "", 'Monthly Update'!DT57="", "", TRUE, 'Monthly Update'!DT57)</f>
        <v/>
      </c>
      <c r="AC57" s="221" t="str" cm="1">
        <f t="array" ref="AC57">_xlfn.IFS(LEFT('Monthly Update'!DU57, 3) = "*((", "", 'Monthly Update'!DU57="", "", TRUE, 'Monthly Update'!DU57)</f>
        <v/>
      </c>
      <c r="AD57" s="221" t="str" cm="1">
        <f t="array" ref="AD57">_xlfn.IFS(LEFT('Monthly Update'!DV57, 3) = "*((", "", 'Monthly Update'!DV57="", "", TRUE, 'Monthly Update'!DV57)</f>
        <v/>
      </c>
      <c r="AE57" s="221" t="str" cm="1">
        <f t="array" ref="AE57">_xlfn.IFS(LEFT('Monthly Update'!DW57, 3) = "*((", "", 'Monthly Update'!DW57="", "", TRUE, 'Monthly Update'!DW57)</f>
        <v/>
      </c>
      <c r="AF57" s="221" t="str" cm="1">
        <f t="array" ref="AF57">_xlfn.IFS(LEFT('Monthly Update'!DX57, 3) = "*((", "", 'Monthly Update'!DX57="", "", TRUE, 'Monthly Update'!DX57)</f>
        <v/>
      </c>
      <c r="AG57" s="221" t="str" cm="1">
        <f t="array" ref="AG57">_xlfn.IFS(LEFT('Monthly Update'!DY57, 3) = "*((", "", 'Monthly Update'!DY57="", "", TRUE, 'Monthly Update'!DY57)</f>
        <v/>
      </c>
      <c r="AH57" s="221" t="str" cm="1">
        <f t="array" ref="AH57">_xlfn.IFS(LEFT('Monthly Update'!DZ57, 3) = "*((", "", 'Monthly Update'!DZ57="", "", TRUE, 'Monthly Update'!DZ57)</f>
        <v/>
      </c>
      <c r="AI57" s="221" t="str" cm="1">
        <f t="array" ref="AI57">_xlfn.IFS(LEFT('Monthly Update'!EA57, 3) = "*((", "", 'Monthly Update'!EA57="", "", TRUE, 'Monthly Update'!EA57)</f>
        <v/>
      </c>
      <c r="AJ57" s="221" t="str" cm="1">
        <f t="array" ref="AJ57">_xlfn.IFS(LEFT('Monthly Update'!EB57, 3) = "*((", "", 'Monthly Update'!EB57="", "", TRUE, 'Monthly Update'!EB57)</f>
        <v/>
      </c>
      <c r="AK57" s="221" t="str" cm="1">
        <f t="array" ref="AK57">_xlfn.IFS(LEFT('Monthly Update'!EC57, 3) = "*((", "", 'Monthly Update'!EC57="", "", TRUE, 'Monthly Update'!EC57)</f>
        <v/>
      </c>
      <c r="AL57" s="221" t="str" cm="1">
        <f t="array" ref="AL57">_xlfn.IFS(LEFT('Monthly Update'!ED57, 3) = "*((", "", 'Monthly Update'!ED57="", "", TRUE, 'Monthly Update'!ED57)</f>
        <v/>
      </c>
      <c r="AM57" s="221" t="str" cm="1">
        <f t="array" ref="AM57">_xlfn.IFS(LEFT('Monthly Update'!EE57, 3) = "*((", "", 'Monthly Update'!EE57="", "", TRUE, 'Monthly Update'!EE57)</f>
        <v/>
      </c>
      <c r="AN57" s="221" t="str" cm="1">
        <f t="array" ref="AN57">_xlfn.IFS(LEFT('Monthly Update'!EF57, 3) = "*((", "", 'Monthly Update'!EF57="", "", TRUE, 'Monthly Update'!EF57)</f>
        <v/>
      </c>
      <c r="AO57" s="221" t="str" cm="1">
        <f t="array" ref="AO57">_xlfn.IFS(LEFT('Monthly Update'!EG57, 3) = "*((", "", 'Monthly Update'!EG57="", "", TRUE, 'Monthly Update'!EG57)</f>
        <v/>
      </c>
      <c r="AP57" s="221" t="str" cm="1">
        <f t="array" ref="AP57">_xlfn.IFS(LEFT('Monthly Update'!EH57, 3) = "*((", "", 'Monthly Update'!EH57="", "", TRUE, 'Monthly Update'!EH57)</f>
        <v/>
      </c>
      <c r="AQ57" s="221" t="str" cm="1">
        <f t="array" ref="AQ57">_xlfn.IFS(LEFT('Monthly Update'!EI57, 3) = "*((", "", 'Monthly Update'!EI57="", "", TRUE, 'Monthly Update'!EI57)</f>
        <v/>
      </c>
      <c r="AR57" s="221" t="str" cm="1">
        <f t="array" ref="AR57">_xlfn.IFS(LEFT('Monthly Update'!EJ57, 3) = "*((", "", 'Monthly Update'!EJ57="", "", TRUE, 'Monthly Update'!EJ57)</f>
        <v/>
      </c>
      <c r="AS57" s="221" t="str" cm="1">
        <f t="array" ref="AS57">_xlfn.IFS(LEFT('Monthly Update'!EK57, 3) = "*((", "", 'Monthly Update'!EK57="", "", TRUE, 'Monthly Update'!EK57)</f>
        <v/>
      </c>
      <c r="AT57" s="221" t="str" cm="1">
        <f t="array" ref="AT57">_xlfn.IFS(LEFT('Monthly Update'!EL57, 3) = "*((", "", 'Monthly Update'!EL57="", "", TRUE, 'Monthly Update'!EL57)</f>
        <v/>
      </c>
      <c r="AU57" s="221" t="str" cm="1">
        <f t="array" ref="AU57">_xlfn.IFS(LEFT('Monthly Update'!EM57, 3) = "*((", "", 'Monthly Update'!EM57="", "", TRUE, 'Monthly Update'!EM57)</f>
        <v/>
      </c>
      <c r="AV57" s="221" t="str" cm="1">
        <f t="array" ref="AV57">_xlfn.IFS(LEFT('Monthly Update'!EN57, 3) = "*((", "", 'Monthly Update'!EN57="", "", TRUE, 'Monthly Update'!EN57)</f>
        <v/>
      </c>
      <c r="AW57" s="221" t="str" cm="1">
        <f t="array" ref="AW57">_xlfn.IFS(LEFT('Monthly Update'!EO57, 3) = "*((", "", 'Monthly Update'!EO57="", "", TRUE, 'Monthly Update'!EO57)</f>
        <v/>
      </c>
      <c r="NU57" s="252"/>
      <c r="NV57" s="252"/>
      <c r="NW57" s="252"/>
      <c r="NX57" s="252"/>
      <c r="NY57" s="252"/>
      <c r="NZ57" s="252"/>
      <c r="OA57" s="252"/>
      <c r="OB57" s="252"/>
      <c r="OC57" s="252"/>
      <c r="OD57" s="252"/>
      <c r="OE57" s="252"/>
      <c r="OF57" s="252"/>
      <c r="OG57" s="252"/>
      <c r="OH57" s="252"/>
      <c r="OI57" s="252"/>
      <c r="OJ57" s="252"/>
      <c r="OK57" s="252"/>
      <c r="OL57" s="252"/>
      <c r="OM57" s="252"/>
      <c r="ON57" s="252"/>
      <c r="OO57" s="252"/>
      <c r="OP57" s="252"/>
      <c r="OQ57" s="252"/>
      <c r="OR57" s="252"/>
      <c r="OS57" s="252"/>
      <c r="OT57" s="252"/>
      <c r="OU57" s="252"/>
      <c r="OV57" s="252"/>
      <c r="OW57" s="252"/>
      <c r="OX57" s="252"/>
      <c r="OY57" s="252"/>
      <c r="OZ57" s="252"/>
      <c r="PA57" s="252"/>
      <c r="PB57" s="252"/>
      <c r="PC57" s="252"/>
      <c r="PD57" s="252"/>
      <c r="PE57" s="252"/>
      <c r="PF57" s="252"/>
      <c r="PG57" s="252"/>
      <c r="PH57" s="252"/>
      <c r="PI57" s="252"/>
      <c r="PJ57" s="252"/>
      <c r="PK57" s="252"/>
      <c r="PL57" s="252"/>
      <c r="PM57" s="252"/>
      <c r="PN57" s="252"/>
      <c r="PO57" s="252"/>
      <c r="PP57" s="252"/>
      <c r="PQ57" s="252"/>
      <c r="PR57" s="252"/>
      <c r="PS57" s="252"/>
      <c r="PT57" s="252"/>
      <c r="PU57" s="252"/>
      <c r="PV57" s="252"/>
      <c r="PW57" s="252"/>
      <c r="PX57" s="252"/>
      <c r="PY57" s="252"/>
      <c r="PZ57" s="252"/>
      <c r="QA57" s="252"/>
      <c r="QB57" s="252"/>
      <c r="QC57" s="252"/>
      <c r="QD57" s="252"/>
      <c r="QE57" s="252"/>
      <c r="QF57" s="252"/>
      <c r="QG57" s="252"/>
      <c r="QH57" s="252"/>
      <c r="QI57" s="252"/>
      <c r="QJ57" s="252"/>
      <c r="QK57" s="252"/>
      <c r="QL57" s="252"/>
      <c r="QM57" s="252"/>
      <c r="QN57" s="252"/>
      <c r="QO57" s="252"/>
      <c r="QP57" s="252"/>
      <c r="QQ57" s="252"/>
      <c r="QR57" s="252"/>
      <c r="QS57" s="252"/>
      <c r="QT57" s="252"/>
      <c r="QU57" s="252"/>
      <c r="QV57" s="252"/>
      <c r="QW57" s="252"/>
      <c r="QX57" s="252"/>
      <c r="QY57" s="252"/>
      <c r="QZ57" s="252"/>
      <c r="RA57" s="252"/>
      <c r="RB57" s="252"/>
      <c r="RC57" s="252"/>
      <c r="RD57" s="252"/>
      <c r="RE57" s="252"/>
      <c r="RF57" s="252"/>
      <c r="RG57" s="252"/>
      <c r="RH57" s="252"/>
      <c r="RI57" s="252"/>
      <c r="RJ57" s="252"/>
      <c r="RK57" s="252"/>
      <c r="RL57" s="252"/>
      <c r="RM57" s="252"/>
      <c r="RN57" s="252"/>
      <c r="RO57" s="252"/>
      <c r="RP57" s="252"/>
      <c r="RQ57" s="252"/>
      <c r="RR57" s="252"/>
      <c r="RS57" s="252"/>
      <c r="RT57" s="252"/>
      <c r="RU57" s="252"/>
      <c r="RV57" s="252"/>
      <c r="RW57" s="252"/>
      <c r="RX57" s="252"/>
      <c r="RY57" s="252"/>
      <c r="RZ57" s="252"/>
      <c r="SA57" s="252"/>
      <c r="SB57" s="252"/>
      <c r="SC57" s="252"/>
      <c r="SD57" s="252"/>
      <c r="SE57" s="252"/>
      <c r="SF57" s="252"/>
      <c r="SG57" s="252"/>
      <c r="SH57" s="252"/>
      <c r="SI57" s="252"/>
      <c r="SJ57" s="252"/>
      <c r="SK57" s="252"/>
      <c r="SL57" s="252"/>
      <c r="SM57" s="252"/>
      <c r="SN57" s="252"/>
    </row>
    <row r="58" spans="1:508" s="243" customFormat="1" ht="15.6" customHeight="1" x14ac:dyDescent="0.55000000000000004">
      <c r="A58" s="220" t="str" cm="1">
        <f t="array" ref="A58">_xlfn.IFS(LEFT('Monthly Update'!A58, 3) = "*((", "", 'Monthly Update'!A58="", "", TRUE, 'Monthly Update'!A58)</f>
        <v/>
      </c>
      <c r="B58" s="220" t="str" cm="1">
        <f t="array" ref="B58">_xlfn.IFS(LEFT('Monthly Update'!B58, 3) = "*((", "", 'Monthly Update'!B58="", "", TRUE, 'Monthly Update'!B58)</f>
        <v/>
      </c>
      <c r="C58" s="221" t="str" cm="1">
        <f t="array" ref="C58">_xlfn.IFS(LEFT('Monthly Update'!CU58, 3) = "*((", "", 'Monthly Update'!CU58="", "", TRUE, 'Monthly Update'!CU58)</f>
        <v/>
      </c>
      <c r="D58" s="221" t="str" cm="1">
        <f t="array" ref="D58">_xlfn.IFS(LEFT('Monthly Update'!CV58, 3) = "*((", "", 'Monthly Update'!CV58="", "", TRUE, 'Monthly Update'!CV58)</f>
        <v/>
      </c>
      <c r="E58" s="221" t="str" cm="1">
        <f t="array" ref="E58">_xlfn.IFS(LEFT('Monthly Update'!CW58, 3) = "*((", "", 'Monthly Update'!CW58="", "", TRUE, 'Monthly Update'!CW58)</f>
        <v/>
      </c>
      <c r="F58" s="221" t="str" cm="1">
        <f t="array" ref="F58">_xlfn.IFS(LEFT('Monthly Update'!CX58, 3) = "*((", "", 'Monthly Update'!CX58="", "", TRUE, 'Monthly Update'!CX58)</f>
        <v/>
      </c>
      <c r="G58" s="221" t="str" cm="1">
        <f t="array" ref="G58">_xlfn.IFS(LEFT('Monthly Update'!CY58, 3) = "*((", "", 'Monthly Update'!CY58="", "", TRUE, 'Monthly Update'!CY58)</f>
        <v/>
      </c>
      <c r="H58" s="221" t="str" cm="1">
        <f t="array" ref="H58">_xlfn.IFS(LEFT('Monthly Update'!CZ58, 3) = "*((", "", 'Monthly Update'!CZ58="", "", TRUE, 'Monthly Update'!CZ58)</f>
        <v/>
      </c>
      <c r="I58" s="221" t="str" cm="1">
        <f t="array" ref="I58">_xlfn.IFS(LEFT('Monthly Update'!DA58, 3) = "*((", "", 'Monthly Update'!DA58="", "", TRUE, 'Monthly Update'!DA58)</f>
        <v/>
      </c>
      <c r="J58" s="221" t="str" cm="1">
        <f t="array" ref="J58">_xlfn.IFS(LEFT('Monthly Update'!DB58, 3) = "*((", "", 'Monthly Update'!DB58="", "", TRUE, 'Monthly Update'!DB58)</f>
        <v/>
      </c>
      <c r="K58" s="221" t="str" cm="1">
        <f t="array" ref="K58">_xlfn.IFS(LEFT('Monthly Update'!DC58, 3) = "*((", "", 'Monthly Update'!DC58="", "", TRUE, 'Monthly Update'!DC58)</f>
        <v/>
      </c>
      <c r="L58" s="221" t="str" cm="1">
        <f t="array" ref="L58">_xlfn.IFS(LEFT('Monthly Update'!DD58, 3) = "*((", "", 'Monthly Update'!DD58="", "", TRUE, 'Monthly Update'!DD58)</f>
        <v/>
      </c>
      <c r="M58" s="221" t="str" cm="1">
        <f t="array" ref="M58">_xlfn.IFS(LEFT('Monthly Update'!DE58, 3) = "*((", "", 'Monthly Update'!DE58="", "", TRUE, 'Monthly Update'!DE58)</f>
        <v/>
      </c>
      <c r="N58" s="221" t="str" cm="1">
        <f t="array" ref="N58">_xlfn.IFS(LEFT('Monthly Update'!DF58, 3) = "*((", "", 'Monthly Update'!DF58="", "", TRUE, 'Monthly Update'!DF58)</f>
        <v/>
      </c>
      <c r="O58" s="221" t="str" cm="1">
        <f t="array" ref="O58">_xlfn.IFS(LEFT('Monthly Update'!DG58, 3) = "*((", "", 'Monthly Update'!DG58="", "", TRUE, 'Monthly Update'!DG58)</f>
        <v/>
      </c>
      <c r="P58" s="221" t="str" cm="1">
        <f t="array" ref="P58">_xlfn.IFS(LEFT('Monthly Update'!DH58, 3) = "*((", "", 'Monthly Update'!DH58="", "", TRUE, 'Monthly Update'!DH58)</f>
        <v/>
      </c>
      <c r="Q58" s="221" t="str" cm="1">
        <f t="array" ref="Q58">_xlfn.IFS(LEFT('Monthly Update'!DI58, 3) = "*((", "", 'Monthly Update'!DI58="", "", TRUE, 'Monthly Update'!DI58)</f>
        <v/>
      </c>
      <c r="R58" s="221" t="str" cm="1">
        <f t="array" ref="R58">_xlfn.IFS(LEFT('Monthly Update'!DJ58, 3) = "*((", "", 'Monthly Update'!DJ58="", "", TRUE, 'Monthly Update'!DJ58)</f>
        <v/>
      </c>
      <c r="S58" s="221" t="str" cm="1">
        <f t="array" ref="S58">_xlfn.IFS(LEFT('Monthly Update'!DK58, 3) = "*((", "", 'Monthly Update'!DK58="", "", TRUE, 'Monthly Update'!DK58)</f>
        <v/>
      </c>
      <c r="T58" s="221" t="str" cm="1">
        <f t="array" ref="T58">_xlfn.IFS(LEFT('Monthly Update'!DL58, 3) = "*((", "", 'Monthly Update'!DL58="", "", TRUE, 'Monthly Update'!DL58)</f>
        <v/>
      </c>
      <c r="U58" s="221" t="str" cm="1">
        <f t="array" ref="U58">_xlfn.IFS(LEFT('Monthly Update'!DM58, 3) = "*((", "", 'Monthly Update'!DM58="", "", TRUE, 'Monthly Update'!DM58)</f>
        <v/>
      </c>
      <c r="V58" s="221" t="str" cm="1">
        <f t="array" ref="V58">_xlfn.IFS(LEFT('Monthly Update'!DN58, 3) = "*((", "", 'Monthly Update'!DN58="", "", TRUE, 'Monthly Update'!DN58)</f>
        <v/>
      </c>
      <c r="W58" s="221" t="str" cm="1">
        <f t="array" ref="W58">_xlfn.IFS(LEFT('Monthly Update'!DO58, 3) = "*((", "", 'Monthly Update'!DO58="", "", TRUE, 'Monthly Update'!DO58)</f>
        <v/>
      </c>
      <c r="X58" s="221" t="str" cm="1">
        <f t="array" ref="X58">_xlfn.IFS(LEFT('Monthly Update'!DP58, 3) = "*((", "", 'Monthly Update'!DP58="", "", TRUE, 'Monthly Update'!DP58)</f>
        <v/>
      </c>
      <c r="Y58" s="221" t="str" cm="1">
        <f t="array" ref="Y58">_xlfn.IFS(LEFT('Monthly Update'!DQ58, 3) = "*((", "", 'Monthly Update'!DQ58="", "", TRUE, 'Monthly Update'!DQ58)</f>
        <v/>
      </c>
      <c r="Z58" s="221" t="str" cm="1">
        <f t="array" ref="Z58">_xlfn.IFS(LEFT('Monthly Update'!DR58, 3) = "*((", "", 'Monthly Update'!DR58="", "", TRUE, 'Monthly Update'!DR58)</f>
        <v/>
      </c>
      <c r="AA58" s="221" t="str" cm="1">
        <f t="array" ref="AA58">_xlfn.IFS(LEFT('Monthly Update'!DS58, 3) = "*((", "", 'Monthly Update'!DS58="", "", TRUE, 'Monthly Update'!DS58)</f>
        <v/>
      </c>
      <c r="AB58" s="221" t="str" cm="1">
        <f t="array" ref="AB58">_xlfn.IFS(LEFT('Monthly Update'!DT58, 3) = "*((", "", 'Monthly Update'!DT58="", "", TRUE, 'Monthly Update'!DT58)</f>
        <v/>
      </c>
      <c r="AC58" s="221" t="str" cm="1">
        <f t="array" ref="AC58">_xlfn.IFS(LEFT('Monthly Update'!DU58, 3) = "*((", "", 'Monthly Update'!DU58="", "", TRUE, 'Monthly Update'!DU58)</f>
        <v/>
      </c>
      <c r="AD58" s="221" t="str" cm="1">
        <f t="array" ref="AD58">_xlfn.IFS(LEFT('Monthly Update'!DV58, 3) = "*((", "", 'Monthly Update'!DV58="", "", TRUE, 'Monthly Update'!DV58)</f>
        <v/>
      </c>
      <c r="AE58" s="221" t="str" cm="1">
        <f t="array" ref="AE58">_xlfn.IFS(LEFT('Monthly Update'!DW58, 3) = "*((", "", 'Monthly Update'!DW58="", "", TRUE, 'Monthly Update'!DW58)</f>
        <v/>
      </c>
      <c r="AF58" s="221" t="str" cm="1">
        <f t="array" ref="AF58">_xlfn.IFS(LEFT('Monthly Update'!DX58, 3) = "*((", "", 'Monthly Update'!DX58="", "", TRUE, 'Monthly Update'!DX58)</f>
        <v/>
      </c>
      <c r="AG58" s="221" t="str" cm="1">
        <f t="array" ref="AG58">_xlfn.IFS(LEFT('Monthly Update'!DY58, 3) = "*((", "", 'Monthly Update'!DY58="", "", TRUE, 'Monthly Update'!DY58)</f>
        <v/>
      </c>
      <c r="AH58" s="221" t="str" cm="1">
        <f t="array" ref="AH58">_xlfn.IFS(LEFT('Monthly Update'!DZ58, 3) = "*((", "", 'Monthly Update'!DZ58="", "", TRUE, 'Monthly Update'!DZ58)</f>
        <v/>
      </c>
      <c r="AI58" s="221" t="str" cm="1">
        <f t="array" ref="AI58">_xlfn.IFS(LEFT('Monthly Update'!EA58, 3) = "*((", "", 'Monthly Update'!EA58="", "", TRUE, 'Monthly Update'!EA58)</f>
        <v/>
      </c>
      <c r="AJ58" s="221" t="str" cm="1">
        <f t="array" ref="AJ58">_xlfn.IFS(LEFT('Monthly Update'!EB58, 3) = "*((", "", 'Monthly Update'!EB58="", "", TRUE, 'Monthly Update'!EB58)</f>
        <v/>
      </c>
      <c r="AK58" s="221" t="str" cm="1">
        <f t="array" ref="AK58">_xlfn.IFS(LEFT('Monthly Update'!EC58, 3) = "*((", "", 'Monthly Update'!EC58="", "", TRUE, 'Monthly Update'!EC58)</f>
        <v/>
      </c>
      <c r="AL58" s="221" t="str" cm="1">
        <f t="array" ref="AL58">_xlfn.IFS(LEFT('Monthly Update'!ED58, 3) = "*((", "", 'Monthly Update'!ED58="", "", TRUE, 'Monthly Update'!ED58)</f>
        <v/>
      </c>
      <c r="AM58" s="221" t="str" cm="1">
        <f t="array" ref="AM58">_xlfn.IFS(LEFT('Monthly Update'!EE58, 3) = "*((", "", 'Monthly Update'!EE58="", "", TRUE, 'Monthly Update'!EE58)</f>
        <v/>
      </c>
      <c r="AN58" s="221" t="str" cm="1">
        <f t="array" ref="AN58">_xlfn.IFS(LEFT('Monthly Update'!EF58, 3) = "*((", "", 'Monthly Update'!EF58="", "", TRUE, 'Monthly Update'!EF58)</f>
        <v/>
      </c>
      <c r="AO58" s="221" t="str" cm="1">
        <f t="array" ref="AO58">_xlfn.IFS(LEFT('Monthly Update'!EG58, 3) = "*((", "", 'Monthly Update'!EG58="", "", TRUE, 'Monthly Update'!EG58)</f>
        <v/>
      </c>
      <c r="AP58" s="221" t="str" cm="1">
        <f t="array" ref="AP58">_xlfn.IFS(LEFT('Monthly Update'!EH58, 3) = "*((", "", 'Monthly Update'!EH58="", "", TRUE, 'Monthly Update'!EH58)</f>
        <v/>
      </c>
      <c r="AQ58" s="221" t="str" cm="1">
        <f t="array" ref="AQ58">_xlfn.IFS(LEFT('Monthly Update'!EI58, 3) = "*((", "", 'Monthly Update'!EI58="", "", TRUE, 'Monthly Update'!EI58)</f>
        <v/>
      </c>
      <c r="AR58" s="221" t="str" cm="1">
        <f t="array" ref="AR58">_xlfn.IFS(LEFT('Monthly Update'!EJ58, 3) = "*((", "", 'Monthly Update'!EJ58="", "", TRUE, 'Monthly Update'!EJ58)</f>
        <v/>
      </c>
      <c r="AS58" s="221" t="str" cm="1">
        <f t="array" ref="AS58">_xlfn.IFS(LEFT('Monthly Update'!EK58, 3) = "*((", "", 'Monthly Update'!EK58="", "", TRUE, 'Monthly Update'!EK58)</f>
        <v/>
      </c>
      <c r="AT58" s="221" t="str" cm="1">
        <f t="array" ref="AT58">_xlfn.IFS(LEFT('Monthly Update'!EL58, 3) = "*((", "", 'Monthly Update'!EL58="", "", TRUE, 'Monthly Update'!EL58)</f>
        <v/>
      </c>
      <c r="AU58" s="221" t="str" cm="1">
        <f t="array" ref="AU58">_xlfn.IFS(LEFT('Monthly Update'!EM58, 3) = "*((", "", 'Monthly Update'!EM58="", "", TRUE, 'Monthly Update'!EM58)</f>
        <v/>
      </c>
      <c r="AV58" s="221" t="str" cm="1">
        <f t="array" ref="AV58">_xlfn.IFS(LEFT('Monthly Update'!EN58, 3) = "*((", "", 'Monthly Update'!EN58="", "", TRUE, 'Monthly Update'!EN58)</f>
        <v/>
      </c>
      <c r="AW58" s="221" t="str" cm="1">
        <f t="array" ref="AW58">_xlfn.IFS(LEFT('Monthly Update'!EO58, 3) = "*((", "", 'Monthly Update'!EO58="", "", TRUE, 'Monthly Update'!EO58)</f>
        <v/>
      </c>
      <c r="NU58" s="252"/>
      <c r="NV58" s="252"/>
      <c r="NW58" s="252"/>
      <c r="NX58" s="252"/>
      <c r="NY58" s="252"/>
      <c r="NZ58" s="252"/>
      <c r="OA58" s="252"/>
      <c r="OB58" s="252"/>
      <c r="OC58" s="252"/>
      <c r="OD58" s="252"/>
      <c r="OE58" s="252"/>
      <c r="OF58" s="252"/>
      <c r="OG58" s="252"/>
      <c r="OH58" s="252"/>
      <c r="OI58" s="252"/>
      <c r="OJ58" s="252"/>
      <c r="OK58" s="252"/>
      <c r="OL58" s="252"/>
      <c r="OM58" s="252"/>
      <c r="ON58" s="252"/>
      <c r="OO58" s="252"/>
      <c r="OP58" s="252"/>
      <c r="OQ58" s="252"/>
      <c r="OR58" s="252"/>
      <c r="OS58" s="252"/>
      <c r="OT58" s="252"/>
      <c r="OU58" s="252"/>
      <c r="OV58" s="252"/>
      <c r="OW58" s="252"/>
      <c r="OX58" s="252"/>
      <c r="OY58" s="252"/>
      <c r="OZ58" s="252"/>
      <c r="PA58" s="252"/>
      <c r="PB58" s="252"/>
      <c r="PC58" s="252"/>
      <c r="PD58" s="252"/>
      <c r="PE58" s="252"/>
      <c r="PF58" s="252"/>
      <c r="PG58" s="252"/>
      <c r="PH58" s="252"/>
      <c r="PI58" s="252"/>
      <c r="PJ58" s="252"/>
      <c r="PK58" s="252"/>
      <c r="PL58" s="252"/>
      <c r="PM58" s="252"/>
      <c r="PN58" s="252"/>
      <c r="PO58" s="252"/>
      <c r="PP58" s="252"/>
      <c r="PQ58" s="252"/>
      <c r="PR58" s="252"/>
      <c r="PS58" s="252"/>
      <c r="PT58" s="252"/>
      <c r="PU58" s="252"/>
      <c r="PV58" s="252"/>
      <c r="PW58" s="252"/>
      <c r="PX58" s="252"/>
      <c r="PY58" s="252"/>
      <c r="PZ58" s="252"/>
      <c r="QA58" s="252"/>
      <c r="QB58" s="252"/>
      <c r="QC58" s="252"/>
      <c r="QD58" s="252"/>
      <c r="QE58" s="252"/>
      <c r="QF58" s="252"/>
      <c r="QG58" s="252"/>
      <c r="QH58" s="252"/>
      <c r="QI58" s="252"/>
      <c r="QJ58" s="252"/>
      <c r="QK58" s="252"/>
      <c r="QL58" s="252"/>
      <c r="QM58" s="252"/>
      <c r="QN58" s="252"/>
      <c r="QO58" s="252"/>
      <c r="QP58" s="252"/>
      <c r="QQ58" s="252"/>
      <c r="QR58" s="252"/>
      <c r="QS58" s="252"/>
      <c r="QT58" s="252"/>
      <c r="QU58" s="252"/>
      <c r="QV58" s="252"/>
      <c r="QW58" s="252"/>
      <c r="QX58" s="252"/>
      <c r="QY58" s="252"/>
      <c r="QZ58" s="252"/>
      <c r="RA58" s="252"/>
      <c r="RB58" s="252"/>
      <c r="RC58" s="252"/>
      <c r="RD58" s="252"/>
      <c r="RE58" s="252"/>
      <c r="RF58" s="252"/>
      <c r="RG58" s="252"/>
      <c r="RH58" s="252"/>
      <c r="RI58" s="252"/>
      <c r="RJ58" s="252"/>
      <c r="RK58" s="252"/>
      <c r="RL58" s="252"/>
      <c r="RM58" s="252"/>
      <c r="RN58" s="252"/>
      <c r="RO58" s="252"/>
      <c r="RP58" s="252"/>
      <c r="RQ58" s="252"/>
      <c r="RR58" s="252"/>
      <c r="RS58" s="252"/>
      <c r="RT58" s="252"/>
      <c r="RU58" s="252"/>
      <c r="RV58" s="252"/>
      <c r="RW58" s="252"/>
      <c r="RX58" s="252"/>
      <c r="RY58" s="252"/>
      <c r="RZ58" s="252"/>
      <c r="SA58" s="252"/>
      <c r="SB58" s="252"/>
      <c r="SC58" s="252"/>
      <c r="SD58" s="252"/>
      <c r="SE58" s="252"/>
      <c r="SF58" s="252"/>
      <c r="SG58" s="252"/>
      <c r="SH58" s="252"/>
      <c r="SI58" s="252"/>
      <c r="SJ58" s="252"/>
      <c r="SK58" s="252"/>
      <c r="SL58" s="252"/>
      <c r="SM58" s="252"/>
      <c r="SN58" s="252"/>
    </row>
    <row r="59" spans="1:508" s="243" customFormat="1" ht="15.6" customHeight="1" x14ac:dyDescent="0.55000000000000004">
      <c r="A59" s="220" t="str" cm="1">
        <f t="array" ref="A59">_xlfn.IFS(LEFT('Monthly Update'!A59, 3) = "*((", "", 'Monthly Update'!A59="", "", TRUE, 'Monthly Update'!A59)</f>
        <v/>
      </c>
      <c r="B59" s="220" t="str" cm="1">
        <f t="array" ref="B59">_xlfn.IFS(LEFT('Monthly Update'!B59, 3) = "*((", "", 'Monthly Update'!B59="", "", TRUE, 'Monthly Update'!B59)</f>
        <v/>
      </c>
      <c r="C59" s="221" t="str" cm="1">
        <f t="array" ref="C59">_xlfn.IFS(LEFT('Monthly Update'!CU59, 3) = "*((", "", 'Monthly Update'!CU59="", "", TRUE, 'Monthly Update'!CU59)</f>
        <v/>
      </c>
      <c r="D59" s="221" t="str" cm="1">
        <f t="array" ref="D59">_xlfn.IFS(LEFT('Monthly Update'!CV59, 3) = "*((", "", 'Monthly Update'!CV59="", "", TRUE, 'Monthly Update'!CV59)</f>
        <v/>
      </c>
      <c r="E59" s="221" t="str" cm="1">
        <f t="array" ref="E59">_xlfn.IFS(LEFT('Monthly Update'!CW59, 3) = "*((", "", 'Monthly Update'!CW59="", "", TRUE, 'Monthly Update'!CW59)</f>
        <v/>
      </c>
      <c r="F59" s="221" t="str" cm="1">
        <f t="array" ref="F59">_xlfn.IFS(LEFT('Monthly Update'!CX59, 3) = "*((", "", 'Monthly Update'!CX59="", "", TRUE, 'Monthly Update'!CX59)</f>
        <v/>
      </c>
      <c r="G59" s="221" t="str" cm="1">
        <f t="array" ref="G59">_xlfn.IFS(LEFT('Monthly Update'!CY59, 3) = "*((", "", 'Monthly Update'!CY59="", "", TRUE, 'Monthly Update'!CY59)</f>
        <v/>
      </c>
      <c r="H59" s="221" t="str" cm="1">
        <f t="array" ref="H59">_xlfn.IFS(LEFT('Monthly Update'!CZ59, 3) = "*((", "", 'Monthly Update'!CZ59="", "", TRUE, 'Monthly Update'!CZ59)</f>
        <v/>
      </c>
      <c r="I59" s="221" t="str" cm="1">
        <f t="array" ref="I59">_xlfn.IFS(LEFT('Monthly Update'!DA59, 3) = "*((", "", 'Monthly Update'!DA59="", "", TRUE, 'Monthly Update'!DA59)</f>
        <v/>
      </c>
      <c r="J59" s="221" t="str" cm="1">
        <f t="array" ref="J59">_xlfn.IFS(LEFT('Monthly Update'!DB59, 3) = "*((", "", 'Monthly Update'!DB59="", "", TRUE, 'Monthly Update'!DB59)</f>
        <v/>
      </c>
      <c r="K59" s="221" t="str" cm="1">
        <f t="array" ref="K59">_xlfn.IFS(LEFT('Monthly Update'!DC59, 3) = "*((", "", 'Monthly Update'!DC59="", "", TRUE, 'Monthly Update'!DC59)</f>
        <v/>
      </c>
      <c r="L59" s="221" t="str" cm="1">
        <f t="array" ref="L59">_xlfn.IFS(LEFT('Monthly Update'!DD59, 3) = "*((", "", 'Monthly Update'!DD59="", "", TRUE, 'Monthly Update'!DD59)</f>
        <v/>
      </c>
      <c r="M59" s="221" t="str" cm="1">
        <f t="array" ref="M59">_xlfn.IFS(LEFT('Monthly Update'!DE59, 3) = "*((", "", 'Monthly Update'!DE59="", "", TRUE, 'Monthly Update'!DE59)</f>
        <v/>
      </c>
      <c r="N59" s="221" t="str" cm="1">
        <f t="array" ref="N59">_xlfn.IFS(LEFT('Monthly Update'!DF59, 3) = "*((", "", 'Monthly Update'!DF59="", "", TRUE, 'Monthly Update'!DF59)</f>
        <v/>
      </c>
      <c r="O59" s="221" t="str" cm="1">
        <f t="array" ref="O59">_xlfn.IFS(LEFT('Monthly Update'!DG59, 3) = "*((", "", 'Monthly Update'!DG59="", "", TRUE, 'Monthly Update'!DG59)</f>
        <v/>
      </c>
      <c r="P59" s="221" t="str" cm="1">
        <f t="array" ref="P59">_xlfn.IFS(LEFT('Monthly Update'!DH59, 3) = "*((", "", 'Monthly Update'!DH59="", "", TRUE, 'Monthly Update'!DH59)</f>
        <v/>
      </c>
      <c r="Q59" s="221" t="str" cm="1">
        <f t="array" ref="Q59">_xlfn.IFS(LEFT('Monthly Update'!DI59, 3) = "*((", "", 'Monthly Update'!DI59="", "", TRUE, 'Monthly Update'!DI59)</f>
        <v/>
      </c>
      <c r="R59" s="221" t="str" cm="1">
        <f t="array" ref="R59">_xlfn.IFS(LEFT('Monthly Update'!DJ59, 3) = "*((", "", 'Monthly Update'!DJ59="", "", TRUE, 'Monthly Update'!DJ59)</f>
        <v/>
      </c>
      <c r="S59" s="221" t="str" cm="1">
        <f t="array" ref="S59">_xlfn.IFS(LEFT('Monthly Update'!DK59, 3) = "*((", "", 'Monthly Update'!DK59="", "", TRUE, 'Monthly Update'!DK59)</f>
        <v/>
      </c>
      <c r="T59" s="221" t="str" cm="1">
        <f t="array" ref="T59">_xlfn.IFS(LEFT('Monthly Update'!DL59, 3) = "*((", "", 'Monthly Update'!DL59="", "", TRUE, 'Monthly Update'!DL59)</f>
        <v/>
      </c>
      <c r="U59" s="221" t="str" cm="1">
        <f t="array" ref="U59">_xlfn.IFS(LEFT('Monthly Update'!DM59, 3) = "*((", "", 'Monthly Update'!DM59="", "", TRUE, 'Monthly Update'!DM59)</f>
        <v/>
      </c>
      <c r="V59" s="221" t="str" cm="1">
        <f t="array" ref="V59">_xlfn.IFS(LEFT('Monthly Update'!DN59, 3) = "*((", "", 'Monthly Update'!DN59="", "", TRUE, 'Monthly Update'!DN59)</f>
        <v/>
      </c>
      <c r="W59" s="221" t="str" cm="1">
        <f t="array" ref="W59">_xlfn.IFS(LEFT('Monthly Update'!DO59, 3) = "*((", "", 'Monthly Update'!DO59="", "", TRUE, 'Monthly Update'!DO59)</f>
        <v/>
      </c>
      <c r="X59" s="221" t="str" cm="1">
        <f t="array" ref="X59">_xlfn.IFS(LEFT('Monthly Update'!DP59, 3) = "*((", "", 'Monthly Update'!DP59="", "", TRUE, 'Monthly Update'!DP59)</f>
        <v/>
      </c>
      <c r="Y59" s="221" t="str" cm="1">
        <f t="array" ref="Y59">_xlfn.IFS(LEFT('Monthly Update'!DQ59, 3) = "*((", "", 'Monthly Update'!DQ59="", "", TRUE, 'Monthly Update'!DQ59)</f>
        <v/>
      </c>
      <c r="Z59" s="221" t="str" cm="1">
        <f t="array" ref="Z59">_xlfn.IFS(LEFT('Monthly Update'!DR59, 3) = "*((", "", 'Monthly Update'!DR59="", "", TRUE, 'Monthly Update'!DR59)</f>
        <v/>
      </c>
      <c r="AA59" s="221" t="str" cm="1">
        <f t="array" ref="AA59">_xlfn.IFS(LEFT('Monthly Update'!DS59, 3) = "*((", "", 'Monthly Update'!DS59="", "", TRUE, 'Monthly Update'!DS59)</f>
        <v/>
      </c>
      <c r="AB59" s="221" t="str" cm="1">
        <f t="array" ref="AB59">_xlfn.IFS(LEFT('Monthly Update'!DT59, 3) = "*((", "", 'Monthly Update'!DT59="", "", TRUE, 'Monthly Update'!DT59)</f>
        <v/>
      </c>
      <c r="AC59" s="221" t="str" cm="1">
        <f t="array" ref="AC59">_xlfn.IFS(LEFT('Monthly Update'!DU59, 3) = "*((", "", 'Monthly Update'!DU59="", "", TRUE, 'Monthly Update'!DU59)</f>
        <v/>
      </c>
      <c r="AD59" s="221" t="str" cm="1">
        <f t="array" ref="AD59">_xlfn.IFS(LEFT('Monthly Update'!DV59, 3) = "*((", "", 'Monthly Update'!DV59="", "", TRUE, 'Monthly Update'!DV59)</f>
        <v/>
      </c>
      <c r="AE59" s="221" t="str" cm="1">
        <f t="array" ref="AE59">_xlfn.IFS(LEFT('Monthly Update'!DW59, 3) = "*((", "", 'Monthly Update'!DW59="", "", TRUE, 'Monthly Update'!DW59)</f>
        <v/>
      </c>
      <c r="AF59" s="221" t="str" cm="1">
        <f t="array" ref="AF59">_xlfn.IFS(LEFT('Monthly Update'!DX59, 3) = "*((", "", 'Monthly Update'!DX59="", "", TRUE, 'Monthly Update'!DX59)</f>
        <v/>
      </c>
      <c r="AG59" s="221" t="str" cm="1">
        <f t="array" ref="AG59">_xlfn.IFS(LEFT('Monthly Update'!DY59, 3) = "*((", "", 'Monthly Update'!DY59="", "", TRUE, 'Monthly Update'!DY59)</f>
        <v/>
      </c>
      <c r="AH59" s="221" t="str" cm="1">
        <f t="array" ref="AH59">_xlfn.IFS(LEFT('Monthly Update'!DZ59, 3) = "*((", "", 'Monthly Update'!DZ59="", "", TRUE, 'Monthly Update'!DZ59)</f>
        <v/>
      </c>
      <c r="AI59" s="221" t="str" cm="1">
        <f t="array" ref="AI59">_xlfn.IFS(LEFT('Monthly Update'!EA59, 3) = "*((", "", 'Monthly Update'!EA59="", "", TRUE, 'Monthly Update'!EA59)</f>
        <v/>
      </c>
      <c r="AJ59" s="221" t="str" cm="1">
        <f t="array" ref="AJ59">_xlfn.IFS(LEFT('Monthly Update'!EB59, 3) = "*((", "", 'Monthly Update'!EB59="", "", TRUE, 'Monthly Update'!EB59)</f>
        <v/>
      </c>
      <c r="AK59" s="221" t="str" cm="1">
        <f t="array" ref="AK59">_xlfn.IFS(LEFT('Monthly Update'!EC59, 3) = "*((", "", 'Monthly Update'!EC59="", "", TRUE, 'Monthly Update'!EC59)</f>
        <v/>
      </c>
      <c r="AL59" s="221" t="str" cm="1">
        <f t="array" ref="AL59">_xlfn.IFS(LEFT('Monthly Update'!ED59, 3) = "*((", "", 'Monthly Update'!ED59="", "", TRUE, 'Monthly Update'!ED59)</f>
        <v/>
      </c>
      <c r="AM59" s="221" t="str" cm="1">
        <f t="array" ref="AM59">_xlfn.IFS(LEFT('Monthly Update'!EE59, 3) = "*((", "", 'Monthly Update'!EE59="", "", TRUE, 'Monthly Update'!EE59)</f>
        <v/>
      </c>
      <c r="AN59" s="221" t="str" cm="1">
        <f t="array" ref="AN59">_xlfn.IFS(LEFT('Monthly Update'!EF59, 3) = "*((", "", 'Monthly Update'!EF59="", "", TRUE, 'Monthly Update'!EF59)</f>
        <v/>
      </c>
      <c r="AO59" s="221" t="str" cm="1">
        <f t="array" ref="AO59">_xlfn.IFS(LEFT('Monthly Update'!EG59, 3) = "*((", "", 'Monthly Update'!EG59="", "", TRUE, 'Monthly Update'!EG59)</f>
        <v/>
      </c>
      <c r="AP59" s="221" t="str" cm="1">
        <f t="array" ref="AP59">_xlfn.IFS(LEFT('Monthly Update'!EH59, 3) = "*((", "", 'Monthly Update'!EH59="", "", TRUE, 'Monthly Update'!EH59)</f>
        <v/>
      </c>
      <c r="AQ59" s="221" t="str" cm="1">
        <f t="array" ref="AQ59">_xlfn.IFS(LEFT('Monthly Update'!EI59, 3) = "*((", "", 'Monthly Update'!EI59="", "", TRUE, 'Monthly Update'!EI59)</f>
        <v/>
      </c>
      <c r="AR59" s="221" t="str" cm="1">
        <f t="array" ref="AR59">_xlfn.IFS(LEFT('Monthly Update'!EJ59, 3) = "*((", "", 'Monthly Update'!EJ59="", "", TRUE, 'Monthly Update'!EJ59)</f>
        <v/>
      </c>
      <c r="AS59" s="221" t="str" cm="1">
        <f t="array" ref="AS59">_xlfn.IFS(LEFT('Monthly Update'!EK59, 3) = "*((", "", 'Monthly Update'!EK59="", "", TRUE, 'Monthly Update'!EK59)</f>
        <v/>
      </c>
      <c r="AT59" s="221" t="str" cm="1">
        <f t="array" ref="AT59">_xlfn.IFS(LEFT('Monthly Update'!EL59, 3) = "*((", "", 'Monthly Update'!EL59="", "", TRUE, 'Monthly Update'!EL59)</f>
        <v/>
      </c>
      <c r="AU59" s="221" t="str" cm="1">
        <f t="array" ref="AU59">_xlfn.IFS(LEFT('Monthly Update'!EM59, 3) = "*((", "", 'Monthly Update'!EM59="", "", TRUE, 'Monthly Update'!EM59)</f>
        <v/>
      </c>
      <c r="AV59" s="221" t="str" cm="1">
        <f t="array" ref="AV59">_xlfn.IFS(LEFT('Monthly Update'!EN59, 3) = "*((", "", 'Monthly Update'!EN59="", "", TRUE, 'Monthly Update'!EN59)</f>
        <v/>
      </c>
      <c r="AW59" s="221" t="str" cm="1">
        <f t="array" ref="AW59">_xlfn.IFS(LEFT('Monthly Update'!EO59, 3) = "*((", "", 'Monthly Update'!EO59="", "", TRUE, 'Monthly Update'!EO59)</f>
        <v/>
      </c>
      <c r="NU59" s="252"/>
      <c r="NV59" s="252"/>
      <c r="NW59" s="252"/>
      <c r="NX59" s="252"/>
      <c r="NY59" s="252"/>
      <c r="NZ59" s="252"/>
      <c r="OA59" s="252"/>
      <c r="OB59" s="252"/>
      <c r="OC59" s="252"/>
      <c r="OD59" s="252"/>
      <c r="OE59" s="252"/>
      <c r="OF59" s="252"/>
      <c r="OG59" s="252"/>
      <c r="OH59" s="252"/>
      <c r="OI59" s="252"/>
      <c r="OJ59" s="252"/>
      <c r="OK59" s="252"/>
      <c r="OL59" s="252"/>
      <c r="OM59" s="252"/>
      <c r="ON59" s="252"/>
      <c r="OO59" s="252"/>
      <c r="OP59" s="252"/>
      <c r="OQ59" s="252"/>
      <c r="OR59" s="252"/>
      <c r="OS59" s="252"/>
      <c r="OT59" s="252"/>
      <c r="OU59" s="252"/>
      <c r="OV59" s="252"/>
      <c r="OW59" s="252"/>
      <c r="OX59" s="252"/>
      <c r="OY59" s="252"/>
      <c r="OZ59" s="252"/>
      <c r="PA59" s="252"/>
      <c r="PB59" s="252"/>
      <c r="PC59" s="252"/>
      <c r="PD59" s="252"/>
      <c r="PE59" s="252"/>
      <c r="PF59" s="252"/>
      <c r="PG59" s="252"/>
      <c r="PH59" s="252"/>
      <c r="PI59" s="252"/>
      <c r="PJ59" s="252"/>
      <c r="PK59" s="252"/>
      <c r="PL59" s="252"/>
      <c r="PM59" s="252"/>
      <c r="PN59" s="252"/>
      <c r="PO59" s="252"/>
      <c r="PP59" s="252"/>
      <c r="PQ59" s="252"/>
      <c r="PR59" s="252"/>
      <c r="PS59" s="252"/>
      <c r="PT59" s="252"/>
      <c r="PU59" s="252"/>
      <c r="PV59" s="252"/>
      <c r="PW59" s="252"/>
      <c r="PX59" s="252"/>
      <c r="PY59" s="252"/>
      <c r="PZ59" s="252"/>
      <c r="QA59" s="252"/>
      <c r="QB59" s="252"/>
      <c r="QC59" s="252"/>
      <c r="QD59" s="252"/>
      <c r="QE59" s="252"/>
      <c r="QF59" s="252"/>
      <c r="QG59" s="252"/>
      <c r="QH59" s="252"/>
      <c r="QI59" s="252"/>
      <c r="QJ59" s="252"/>
      <c r="QK59" s="252"/>
      <c r="QL59" s="252"/>
      <c r="QM59" s="252"/>
      <c r="QN59" s="252"/>
      <c r="QO59" s="252"/>
      <c r="QP59" s="252"/>
      <c r="QQ59" s="252"/>
      <c r="QR59" s="252"/>
      <c r="QS59" s="252"/>
      <c r="QT59" s="252"/>
      <c r="QU59" s="252"/>
      <c r="QV59" s="252"/>
      <c r="QW59" s="252"/>
      <c r="QX59" s="252"/>
      <c r="QY59" s="252"/>
      <c r="QZ59" s="252"/>
      <c r="RA59" s="252"/>
      <c r="RB59" s="252"/>
      <c r="RC59" s="252"/>
      <c r="RD59" s="252"/>
      <c r="RE59" s="252"/>
      <c r="RF59" s="252"/>
      <c r="RG59" s="252"/>
      <c r="RH59" s="252"/>
      <c r="RI59" s="252"/>
      <c r="RJ59" s="252"/>
      <c r="RK59" s="252"/>
      <c r="RL59" s="252"/>
      <c r="RM59" s="252"/>
      <c r="RN59" s="252"/>
      <c r="RO59" s="252"/>
      <c r="RP59" s="252"/>
      <c r="RQ59" s="252"/>
      <c r="RR59" s="252"/>
      <c r="RS59" s="252"/>
      <c r="RT59" s="252"/>
      <c r="RU59" s="252"/>
      <c r="RV59" s="252"/>
      <c r="RW59" s="252"/>
      <c r="RX59" s="252"/>
      <c r="RY59" s="252"/>
      <c r="RZ59" s="252"/>
      <c r="SA59" s="252"/>
      <c r="SB59" s="252"/>
      <c r="SC59" s="252"/>
      <c r="SD59" s="252"/>
      <c r="SE59" s="252"/>
      <c r="SF59" s="252"/>
      <c r="SG59" s="252"/>
      <c r="SH59" s="252"/>
      <c r="SI59" s="252"/>
      <c r="SJ59" s="252"/>
      <c r="SK59" s="252"/>
      <c r="SL59" s="252"/>
      <c r="SM59" s="252"/>
      <c r="SN59" s="252"/>
    </row>
    <row r="60" spans="1:508" s="243" customFormat="1" ht="15.6" customHeight="1" x14ac:dyDescent="0.55000000000000004">
      <c r="A60" s="220" t="str" cm="1">
        <f t="array" ref="A60">_xlfn.IFS(LEFT('Monthly Update'!A60, 3) = "*((", "", 'Monthly Update'!A60="", "", TRUE, 'Monthly Update'!A60)</f>
        <v/>
      </c>
      <c r="B60" s="220" t="str" cm="1">
        <f t="array" ref="B60">_xlfn.IFS(LEFT('Monthly Update'!B60, 3) = "*((", "", 'Monthly Update'!B60="", "", TRUE, 'Monthly Update'!B60)</f>
        <v/>
      </c>
      <c r="C60" s="221" t="str" cm="1">
        <f t="array" ref="C60">_xlfn.IFS(LEFT('Monthly Update'!CU60, 3) = "*((", "", 'Monthly Update'!CU60="", "", TRUE, 'Monthly Update'!CU60)</f>
        <v/>
      </c>
      <c r="D60" s="221" t="str" cm="1">
        <f t="array" ref="D60">_xlfn.IFS(LEFT('Monthly Update'!CV60, 3) = "*((", "", 'Monthly Update'!CV60="", "", TRUE, 'Monthly Update'!CV60)</f>
        <v/>
      </c>
      <c r="E60" s="221" t="str" cm="1">
        <f t="array" ref="E60">_xlfn.IFS(LEFT('Monthly Update'!CW60, 3) = "*((", "", 'Monthly Update'!CW60="", "", TRUE, 'Monthly Update'!CW60)</f>
        <v/>
      </c>
      <c r="F60" s="221" t="str" cm="1">
        <f t="array" ref="F60">_xlfn.IFS(LEFT('Monthly Update'!CX60, 3) = "*((", "", 'Monthly Update'!CX60="", "", TRUE, 'Monthly Update'!CX60)</f>
        <v/>
      </c>
      <c r="G60" s="221" t="str" cm="1">
        <f t="array" ref="G60">_xlfn.IFS(LEFT('Monthly Update'!CY60, 3) = "*((", "", 'Monthly Update'!CY60="", "", TRUE, 'Monthly Update'!CY60)</f>
        <v/>
      </c>
      <c r="H60" s="221" t="str" cm="1">
        <f t="array" ref="H60">_xlfn.IFS(LEFT('Monthly Update'!CZ60, 3) = "*((", "", 'Monthly Update'!CZ60="", "", TRUE, 'Monthly Update'!CZ60)</f>
        <v/>
      </c>
      <c r="I60" s="221" t="str" cm="1">
        <f t="array" ref="I60">_xlfn.IFS(LEFT('Monthly Update'!DA60, 3) = "*((", "", 'Monthly Update'!DA60="", "", TRUE, 'Monthly Update'!DA60)</f>
        <v/>
      </c>
      <c r="J60" s="221" t="str" cm="1">
        <f t="array" ref="J60">_xlfn.IFS(LEFT('Monthly Update'!DB60, 3) = "*((", "", 'Monthly Update'!DB60="", "", TRUE, 'Monthly Update'!DB60)</f>
        <v/>
      </c>
      <c r="K60" s="221" t="str" cm="1">
        <f t="array" ref="K60">_xlfn.IFS(LEFT('Monthly Update'!DC60, 3) = "*((", "", 'Monthly Update'!DC60="", "", TRUE, 'Monthly Update'!DC60)</f>
        <v/>
      </c>
      <c r="L60" s="221" t="str" cm="1">
        <f t="array" ref="L60">_xlfn.IFS(LEFT('Monthly Update'!DD60, 3) = "*((", "", 'Monthly Update'!DD60="", "", TRUE, 'Monthly Update'!DD60)</f>
        <v/>
      </c>
      <c r="M60" s="221" t="str" cm="1">
        <f t="array" ref="M60">_xlfn.IFS(LEFT('Monthly Update'!DE60, 3) = "*((", "", 'Monthly Update'!DE60="", "", TRUE, 'Monthly Update'!DE60)</f>
        <v/>
      </c>
      <c r="N60" s="221" t="str" cm="1">
        <f t="array" ref="N60">_xlfn.IFS(LEFT('Monthly Update'!DF60, 3) = "*((", "", 'Monthly Update'!DF60="", "", TRUE, 'Monthly Update'!DF60)</f>
        <v/>
      </c>
      <c r="O60" s="221" t="str" cm="1">
        <f t="array" ref="O60">_xlfn.IFS(LEFT('Monthly Update'!DG60, 3) = "*((", "", 'Monthly Update'!DG60="", "", TRUE, 'Monthly Update'!DG60)</f>
        <v/>
      </c>
      <c r="P60" s="221" t="str" cm="1">
        <f t="array" ref="P60">_xlfn.IFS(LEFT('Monthly Update'!DH60, 3) = "*((", "", 'Monthly Update'!DH60="", "", TRUE, 'Monthly Update'!DH60)</f>
        <v/>
      </c>
      <c r="Q60" s="221" t="str" cm="1">
        <f t="array" ref="Q60">_xlfn.IFS(LEFT('Monthly Update'!DI60, 3) = "*((", "", 'Monthly Update'!DI60="", "", TRUE, 'Monthly Update'!DI60)</f>
        <v/>
      </c>
      <c r="R60" s="221" t="str" cm="1">
        <f t="array" ref="R60">_xlfn.IFS(LEFT('Monthly Update'!DJ60, 3) = "*((", "", 'Monthly Update'!DJ60="", "", TRUE, 'Monthly Update'!DJ60)</f>
        <v/>
      </c>
      <c r="S60" s="221" t="str" cm="1">
        <f t="array" ref="S60">_xlfn.IFS(LEFT('Monthly Update'!DK60, 3) = "*((", "", 'Monthly Update'!DK60="", "", TRUE, 'Monthly Update'!DK60)</f>
        <v/>
      </c>
      <c r="T60" s="221" t="str" cm="1">
        <f t="array" ref="T60">_xlfn.IFS(LEFT('Monthly Update'!DL60, 3) = "*((", "", 'Monthly Update'!DL60="", "", TRUE, 'Monthly Update'!DL60)</f>
        <v/>
      </c>
      <c r="U60" s="221" t="str" cm="1">
        <f t="array" ref="U60">_xlfn.IFS(LEFT('Monthly Update'!DM60, 3) = "*((", "", 'Monthly Update'!DM60="", "", TRUE, 'Monthly Update'!DM60)</f>
        <v/>
      </c>
      <c r="V60" s="221" t="str" cm="1">
        <f t="array" ref="V60">_xlfn.IFS(LEFT('Monthly Update'!DN60, 3) = "*((", "", 'Monthly Update'!DN60="", "", TRUE, 'Monthly Update'!DN60)</f>
        <v/>
      </c>
      <c r="W60" s="221" t="str" cm="1">
        <f t="array" ref="W60">_xlfn.IFS(LEFT('Monthly Update'!DO60, 3) = "*((", "", 'Monthly Update'!DO60="", "", TRUE, 'Monthly Update'!DO60)</f>
        <v/>
      </c>
      <c r="X60" s="221" t="str" cm="1">
        <f t="array" ref="X60">_xlfn.IFS(LEFT('Monthly Update'!DP60, 3) = "*((", "", 'Monthly Update'!DP60="", "", TRUE, 'Monthly Update'!DP60)</f>
        <v/>
      </c>
      <c r="Y60" s="221" t="str" cm="1">
        <f t="array" ref="Y60">_xlfn.IFS(LEFT('Monthly Update'!DQ60, 3) = "*((", "", 'Monthly Update'!DQ60="", "", TRUE, 'Monthly Update'!DQ60)</f>
        <v/>
      </c>
      <c r="Z60" s="221" t="str" cm="1">
        <f t="array" ref="Z60">_xlfn.IFS(LEFT('Monthly Update'!DR60, 3) = "*((", "", 'Monthly Update'!DR60="", "", TRUE, 'Monthly Update'!DR60)</f>
        <v/>
      </c>
      <c r="AA60" s="221" t="str" cm="1">
        <f t="array" ref="AA60">_xlfn.IFS(LEFT('Monthly Update'!DS60, 3) = "*((", "", 'Monthly Update'!DS60="", "", TRUE, 'Monthly Update'!DS60)</f>
        <v/>
      </c>
      <c r="AB60" s="221" t="str" cm="1">
        <f t="array" ref="AB60">_xlfn.IFS(LEFT('Monthly Update'!DT60, 3) = "*((", "", 'Monthly Update'!DT60="", "", TRUE, 'Monthly Update'!DT60)</f>
        <v/>
      </c>
      <c r="AC60" s="221" t="str" cm="1">
        <f t="array" ref="AC60">_xlfn.IFS(LEFT('Monthly Update'!DU60, 3) = "*((", "", 'Monthly Update'!DU60="", "", TRUE, 'Monthly Update'!DU60)</f>
        <v/>
      </c>
      <c r="AD60" s="221" t="str" cm="1">
        <f t="array" ref="AD60">_xlfn.IFS(LEFT('Monthly Update'!DV60, 3) = "*((", "", 'Monthly Update'!DV60="", "", TRUE, 'Monthly Update'!DV60)</f>
        <v/>
      </c>
      <c r="AE60" s="221" t="str" cm="1">
        <f t="array" ref="AE60">_xlfn.IFS(LEFT('Monthly Update'!DW60, 3) = "*((", "", 'Monthly Update'!DW60="", "", TRUE, 'Monthly Update'!DW60)</f>
        <v/>
      </c>
      <c r="AF60" s="221" t="str" cm="1">
        <f t="array" ref="AF60">_xlfn.IFS(LEFT('Monthly Update'!DX60, 3) = "*((", "", 'Monthly Update'!DX60="", "", TRUE, 'Monthly Update'!DX60)</f>
        <v/>
      </c>
      <c r="AG60" s="221" t="str" cm="1">
        <f t="array" ref="AG60">_xlfn.IFS(LEFT('Monthly Update'!DY60, 3) = "*((", "", 'Monthly Update'!DY60="", "", TRUE, 'Monthly Update'!DY60)</f>
        <v/>
      </c>
      <c r="AH60" s="221" t="str" cm="1">
        <f t="array" ref="AH60">_xlfn.IFS(LEFT('Monthly Update'!DZ60, 3) = "*((", "", 'Monthly Update'!DZ60="", "", TRUE, 'Monthly Update'!DZ60)</f>
        <v/>
      </c>
      <c r="AI60" s="221" t="str" cm="1">
        <f t="array" ref="AI60">_xlfn.IFS(LEFT('Monthly Update'!EA60, 3) = "*((", "", 'Monthly Update'!EA60="", "", TRUE, 'Monthly Update'!EA60)</f>
        <v/>
      </c>
      <c r="AJ60" s="221" t="str" cm="1">
        <f t="array" ref="AJ60">_xlfn.IFS(LEFT('Monthly Update'!EB60, 3) = "*((", "", 'Monthly Update'!EB60="", "", TRUE, 'Monthly Update'!EB60)</f>
        <v/>
      </c>
      <c r="AK60" s="221" t="str" cm="1">
        <f t="array" ref="AK60">_xlfn.IFS(LEFT('Monthly Update'!EC60, 3) = "*((", "", 'Monthly Update'!EC60="", "", TRUE, 'Monthly Update'!EC60)</f>
        <v/>
      </c>
      <c r="AL60" s="221" t="str" cm="1">
        <f t="array" ref="AL60">_xlfn.IFS(LEFT('Monthly Update'!ED60, 3) = "*((", "", 'Monthly Update'!ED60="", "", TRUE, 'Monthly Update'!ED60)</f>
        <v/>
      </c>
      <c r="AM60" s="221" t="str" cm="1">
        <f t="array" ref="AM60">_xlfn.IFS(LEFT('Monthly Update'!EE60, 3) = "*((", "", 'Monthly Update'!EE60="", "", TRUE, 'Monthly Update'!EE60)</f>
        <v/>
      </c>
      <c r="AN60" s="221" t="str" cm="1">
        <f t="array" ref="AN60">_xlfn.IFS(LEFT('Monthly Update'!EF60, 3) = "*((", "", 'Monthly Update'!EF60="", "", TRUE, 'Monthly Update'!EF60)</f>
        <v/>
      </c>
      <c r="AO60" s="221" t="str" cm="1">
        <f t="array" ref="AO60">_xlfn.IFS(LEFT('Monthly Update'!EG60, 3) = "*((", "", 'Monthly Update'!EG60="", "", TRUE, 'Monthly Update'!EG60)</f>
        <v/>
      </c>
      <c r="AP60" s="221" t="str" cm="1">
        <f t="array" ref="AP60">_xlfn.IFS(LEFT('Monthly Update'!EH60, 3) = "*((", "", 'Monthly Update'!EH60="", "", TRUE, 'Monthly Update'!EH60)</f>
        <v/>
      </c>
      <c r="AQ60" s="221" t="str" cm="1">
        <f t="array" ref="AQ60">_xlfn.IFS(LEFT('Monthly Update'!EI60, 3) = "*((", "", 'Monthly Update'!EI60="", "", TRUE, 'Monthly Update'!EI60)</f>
        <v/>
      </c>
      <c r="AR60" s="221" t="str" cm="1">
        <f t="array" ref="AR60">_xlfn.IFS(LEFT('Monthly Update'!EJ60, 3) = "*((", "", 'Monthly Update'!EJ60="", "", TRUE, 'Monthly Update'!EJ60)</f>
        <v/>
      </c>
      <c r="AS60" s="221" t="str" cm="1">
        <f t="array" ref="AS60">_xlfn.IFS(LEFT('Monthly Update'!EK60, 3) = "*((", "", 'Monthly Update'!EK60="", "", TRUE, 'Monthly Update'!EK60)</f>
        <v/>
      </c>
      <c r="AT60" s="221" t="str" cm="1">
        <f t="array" ref="AT60">_xlfn.IFS(LEFT('Monthly Update'!EL60, 3) = "*((", "", 'Monthly Update'!EL60="", "", TRUE, 'Monthly Update'!EL60)</f>
        <v/>
      </c>
      <c r="AU60" s="221" t="str" cm="1">
        <f t="array" ref="AU60">_xlfn.IFS(LEFT('Monthly Update'!EM60, 3) = "*((", "", 'Monthly Update'!EM60="", "", TRUE, 'Monthly Update'!EM60)</f>
        <v/>
      </c>
      <c r="AV60" s="221" t="str" cm="1">
        <f t="array" ref="AV60">_xlfn.IFS(LEFT('Monthly Update'!EN60, 3) = "*((", "", 'Monthly Update'!EN60="", "", TRUE, 'Monthly Update'!EN60)</f>
        <v/>
      </c>
      <c r="AW60" s="221" t="str" cm="1">
        <f t="array" ref="AW60">_xlfn.IFS(LEFT('Monthly Update'!EO60, 3) = "*((", "", 'Monthly Update'!EO60="", "", TRUE, 'Monthly Update'!EO60)</f>
        <v/>
      </c>
      <c r="NU60" s="252"/>
      <c r="NV60" s="252"/>
      <c r="NW60" s="252"/>
      <c r="NX60" s="252"/>
      <c r="NY60" s="252"/>
      <c r="NZ60" s="252"/>
      <c r="OA60" s="252"/>
      <c r="OB60" s="252"/>
      <c r="OC60" s="252"/>
      <c r="OD60" s="252"/>
      <c r="OE60" s="252"/>
      <c r="OF60" s="252"/>
      <c r="OG60" s="252"/>
      <c r="OH60" s="252"/>
      <c r="OI60" s="252"/>
      <c r="OJ60" s="252"/>
      <c r="OK60" s="252"/>
      <c r="OL60" s="252"/>
      <c r="OM60" s="252"/>
      <c r="ON60" s="252"/>
      <c r="OO60" s="252"/>
      <c r="OP60" s="252"/>
      <c r="OQ60" s="252"/>
      <c r="OR60" s="252"/>
      <c r="OS60" s="252"/>
      <c r="OT60" s="252"/>
      <c r="OU60" s="252"/>
      <c r="OV60" s="252"/>
      <c r="OW60" s="252"/>
      <c r="OX60" s="252"/>
      <c r="OY60" s="252"/>
      <c r="OZ60" s="252"/>
      <c r="PA60" s="252"/>
      <c r="PB60" s="252"/>
      <c r="PC60" s="252"/>
      <c r="PD60" s="252"/>
      <c r="PE60" s="252"/>
      <c r="PF60" s="252"/>
      <c r="PG60" s="252"/>
      <c r="PH60" s="252"/>
      <c r="PI60" s="252"/>
      <c r="PJ60" s="252"/>
      <c r="PK60" s="252"/>
      <c r="PL60" s="252"/>
      <c r="PM60" s="252"/>
      <c r="PN60" s="252"/>
      <c r="PO60" s="252"/>
      <c r="PP60" s="252"/>
      <c r="PQ60" s="252"/>
      <c r="PR60" s="252"/>
      <c r="PS60" s="252"/>
      <c r="PT60" s="252"/>
      <c r="PU60" s="252"/>
      <c r="PV60" s="252"/>
      <c r="PW60" s="252"/>
      <c r="PX60" s="252"/>
      <c r="PY60" s="252"/>
      <c r="PZ60" s="252"/>
      <c r="QA60" s="252"/>
      <c r="QB60" s="252"/>
      <c r="QC60" s="252"/>
      <c r="QD60" s="252"/>
      <c r="QE60" s="252"/>
      <c r="QF60" s="252"/>
      <c r="QG60" s="252"/>
      <c r="QH60" s="252"/>
      <c r="QI60" s="252"/>
      <c r="QJ60" s="252"/>
      <c r="QK60" s="252"/>
      <c r="QL60" s="252"/>
      <c r="QM60" s="252"/>
      <c r="QN60" s="252"/>
      <c r="QO60" s="252"/>
      <c r="QP60" s="252"/>
      <c r="QQ60" s="252"/>
      <c r="QR60" s="252"/>
      <c r="QS60" s="252"/>
      <c r="QT60" s="252"/>
      <c r="QU60" s="252"/>
      <c r="QV60" s="252"/>
      <c r="QW60" s="252"/>
      <c r="QX60" s="252"/>
      <c r="QY60" s="252"/>
      <c r="QZ60" s="252"/>
      <c r="RA60" s="252"/>
      <c r="RB60" s="252"/>
      <c r="RC60" s="252"/>
      <c r="RD60" s="252"/>
      <c r="RE60" s="252"/>
      <c r="RF60" s="252"/>
      <c r="RG60" s="252"/>
      <c r="RH60" s="252"/>
      <c r="RI60" s="252"/>
      <c r="RJ60" s="252"/>
      <c r="RK60" s="252"/>
      <c r="RL60" s="252"/>
      <c r="RM60" s="252"/>
      <c r="RN60" s="252"/>
      <c r="RO60" s="252"/>
      <c r="RP60" s="252"/>
      <c r="RQ60" s="252"/>
      <c r="RR60" s="252"/>
      <c r="RS60" s="252"/>
      <c r="RT60" s="252"/>
      <c r="RU60" s="252"/>
      <c r="RV60" s="252"/>
      <c r="RW60" s="252"/>
      <c r="RX60" s="252"/>
      <c r="RY60" s="252"/>
      <c r="RZ60" s="252"/>
      <c r="SA60" s="252"/>
      <c r="SB60" s="252"/>
      <c r="SC60" s="252"/>
      <c r="SD60" s="252"/>
      <c r="SE60" s="252"/>
      <c r="SF60" s="252"/>
      <c r="SG60" s="252"/>
      <c r="SH60" s="252"/>
      <c r="SI60" s="252"/>
      <c r="SJ60" s="252"/>
      <c r="SK60" s="252"/>
      <c r="SL60" s="252"/>
      <c r="SM60" s="252"/>
      <c r="SN60" s="252"/>
    </row>
    <row r="61" spans="1:508" s="243" customFormat="1" ht="15.6" customHeight="1" x14ac:dyDescent="0.55000000000000004">
      <c r="A61" s="220" t="str" cm="1">
        <f t="array" ref="A61">_xlfn.IFS(LEFT('Monthly Update'!A61, 3) = "*((", "", 'Monthly Update'!A61="", "", TRUE, 'Monthly Update'!A61)</f>
        <v/>
      </c>
      <c r="B61" s="220" t="str" cm="1">
        <f t="array" ref="B61">_xlfn.IFS(LEFT('Monthly Update'!B61, 3) = "*((", "", 'Monthly Update'!B61="", "", TRUE, 'Monthly Update'!B61)</f>
        <v/>
      </c>
      <c r="C61" s="221" t="str" cm="1">
        <f t="array" ref="C61">_xlfn.IFS(LEFT('Monthly Update'!CU61, 3) = "*((", "", 'Monthly Update'!CU61="", "", TRUE, 'Monthly Update'!CU61)</f>
        <v/>
      </c>
      <c r="D61" s="221" t="str" cm="1">
        <f t="array" ref="D61">_xlfn.IFS(LEFT('Monthly Update'!CV61, 3) = "*((", "", 'Monthly Update'!CV61="", "", TRUE, 'Monthly Update'!CV61)</f>
        <v/>
      </c>
      <c r="E61" s="221" t="str" cm="1">
        <f t="array" ref="E61">_xlfn.IFS(LEFT('Monthly Update'!CW61, 3) = "*((", "", 'Monthly Update'!CW61="", "", TRUE, 'Monthly Update'!CW61)</f>
        <v/>
      </c>
      <c r="F61" s="221" t="str" cm="1">
        <f t="array" ref="F61">_xlfn.IFS(LEFT('Monthly Update'!CX61, 3) = "*((", "", 'Monthly Update'!CX61="", "", TRUE, 'Monthly Update'!CX61)</f>
        <v/>
      </c>
      <c r="G61" s="221" t="str" cm="1">
        <f t="array" ref="G61">_xlfn.IFS(LEFT('Monthly Update'!CY61, 3) = "*((", "", 'Monthly Update'!CY61="", "", TRUE, 'Monthly Update'!CY61)</f>
        <v/>
      </c>
      <c r="H61" s="221" t="str" cm="1">
        <f t="array" ref="H61">_xlfn.IFS(LEFT('Monthly Update'!CZ61, 3) = "*((", "", 'Monthly Update'!CZ61="", "", TRUE, 'Monthly Update'!CZ61)</f>
        <v/>
      </c>
      <c r="I61" s="221" t="str" cm="1">
        <f t="array" ref="I61">_xlfn.IFS(LEFT('Monthly Update'!DA61, 3) = "*((", "", 'Monthly Update'!DA61="", "", TRUE, 'Monthly Update'!DA61)</f>
        <v/>
      </c>
      <c r="J61" s="221" t="str" cm="1">
        <f t="array" ref="J61">_xlfn.IFS(LEFT('Monthly Update'!DB61, 3) = "*((", "", 'Monthly Update'!DB61="", "", TRUE, 'Monthly Update'!DB61)</f>
        <v/>
      </c>
      <c r="K61" s="221" t="str" cm="1">
        <f t="array" ref="K61">_xlfn.IFS(LEFT('Monthly Update'!DC61, 3) = "*((", "", 'Monthly Update'!DC61="", "", TRUE, 'Monthly Update'!DC61)</f>
        <v/>
      </c>
      <c r="L61" s="221" t="str" cm="1">
        <f t="array" ref="L61">_xlfn.IFS(LEFT('Monthly Update'!DD61, 3) = "*((", "", 'Monthly Update'!DD61="", "", TRUE, 'Monthly Update'!DD61)</f>
        <v/>
      </c>
      <c r="M61" s="221" t="str" cm="1">
        <f t="array" ref="M61">_xlfn.IFS(LEFT('Monthly Update'!DE61, 3) = "*((", "", 'Monthly Update'!DE61="", "", TRUE, 'Monthly Update'!DE61)</f>
        <v/>
      </c>
      <c r="N61" s="221" t="str" cm="1">
        <f t="array" ref="N61">_xlfn.IFS(LEFT('Monthly Update'!DF61, 3) = "*((", "", 'Monthly Update'!DF61="", "", TRUE, 'Monthly Update'!DF61)</f>
        <v/>
      </c>
      <c r="O61" s="221" t="str" cm="1">
        <f t="array" ref="O61">_xlfn.IFS(LEFT('Monthly Update'!DG61, 3) = "*((", "", 'Monthly Update'!DG61="", "", TRUE, 'Monthly Update'!DG61)</f>
        <v/>
      </c>
      <c r="P61" s="221" t="str" cm="1">
        <f t="array" ref="P61">_xlfn.IFS(LEFT('Monthly Update'!DH61, 3) = "*((", "", 'Monthly Update'!DH61="", "", TRUE, 'Monthly Update'!DH61)</f>
        <v/>
      </c>
      <c r="Q61" s="221" t="str" cm="1">
        <f t="array" ref="Q61">_xlfn.IFS(LEFT('Monthly Update'!DI61, 3) = "*((", "", 'Monthly Update'!DI61="", "", TRUE, 'Monthly Update'!DI61)</f>
        <v/>
      </c>
      <c r="R61" s="221" t="str" cm="1">
        <f t="array" ref="R61">_xlfn.IFS(LEFT('Monthly Update'!DJ61, 3) = "*((", "", 'Monthly Update'!DJ61="", "", TRUE, 'Monthly Update'!DJ61)</f>
        <v/>
      </c>
      <c r="S61" s="221" t="str" cm="1">
        <f t="array" ref="S61">_xlfn.IFS(LEFT('Monthly Update'!DK61, 3) = "*((", "", 'Monthly Update'!DK61="", "", TRUE, 'Monthly Update'!DK61)</f>
        <v/>
      </c>
      <c r="T61" s="221" t="str" cm="1">
        <f t="array" ref="T61">_xlfn.IFS(LEFT('Monthly Update'!DL61, 3) = "*((", "", 'Monthly Update'!DL61="", "", TRUE, 'Monthly Update'!DL61)</f>
        <v/>
      </c>
      <c r="U61" s="221" t="str" cm="1">
        <f t="array" ref="U61">_xlfn.IFS(LEFT('Monthly Update'!DM61, 3) = "*((", "", 'Monthly Update'!DM61="", "", TRUE, 'Monthly Update'!DM61)</f>
        <v/>
      </c>
      <c r="V61" s="221" t="str" cm="1">
        <f t="array" ref="V61">_xlfn.IFS(LEFT('Monthly Update'!DN61, 3) = "*((", "", 'Monthly Update'!DN61="", "", TRUE, 'Monthly Update'!DN61)</f>
        <v/>
      </c>
      <c r="W61" s="221" t="str" cm="1">
        <f t="array" ref="W61">_xlfn.IFS(LEFT('Monthly Update'!DO61, 3) = "*((", "", 'Monthly Update'!DO61="", "", TRUE, 'Monthly Update'!DO61)</f>
        <v/>
      </c>
      <c r="X61" s="221" t="str" cm="1">
        <f t="array" ref="X61">_xlfn.IFS(LEFT('Monthly Update'!DP61, 3) = "*((", "", 'Monthly Update'!DP61="", "", TRUE, 'Monthly Update'!DP61)</f>
        <v/>
      </c>
      <c r="Y61" s="221" t="str" cm="1">
        <f t="array" ref="Y61">_xlfn.IFS(LEFT('Monthly Update'!DQ61, 3) = "*((", "", 'Monthly Update'!DQ61="", "", TRUE, 'Monthly Update'!DQ61)</f>
        <v/>
      </c>
      <c r="Z61" s="221" t="str" cm="1">
        <f t="array" ref="Z61">_xlfn.IFS(LEFT('Monthly Update'!DR61, 3) = "*((", "", 'Monthly Update'!DR61="", "", TRUE, 'Monthly Update'!DR61)</f>
        <v/>
      </c>
      <c r="AA61" s="221" t="str" cm="1">
        <f t="array" ref="AA61">_xlfn.IFS(LEFT('Monthly Update'!DS61, 3) = "*((", "", 'Monthly Update'!DS61="", "", TRUE, 'Monthly Update'!DS61)</f>
        <v/>
      </c>
      <c r="AB61" s="221" t="str" cm="1">
        <f t="array" ref="AB61">_xlfn.IFS(LEFT('Monthly Update'!DT61, 3) = "*((", "", 'Monthly Update'!DT61="", "", TRUE, 'Monthly Update'!DT61)</f>
        <v/>
      </c>
      <c r="AC61" s="221" t="str" cm="1">
        <f t="array" ref="AC61">_xlfn.IFS(LEFT('Monthly Update'!DU61, 3) = "*((", "", 'Monthly Update'!DU61="", "", TRUE, 'Monthly Update'!DU61)</f>
        <v/>
      </c>
      <c r="AD61" s="221" t="str" cm="1">
        <f t="array" ref="AD61">_xlfn.IFS(LEFT('Monthly Update'!DV61, 3) = "*((", "", 'Monthly Update'!DV61="", "", TRUE, 'Monthly Update'!DV61)</f>
        <v/>
      </c>
      <c r="AE61" s="221" t="str" cm="1">
        <f t="array" ref="AE61">_xlfn.IFS(LEFT('Monthly Update'!DW61, 3) = "*((", "", 'Monthly Update'!DW61="", "", TRUE, 'Monthly Update'!DW61)</f>
        <v/>
      </c>
      <c r="AF61" s="221" t="str" cm="1">
        <f t="array" ref="AF61">_xlfn.IFS(LEFT('Monthly Update'!DX61, 3) = "*((", "", 'Monthly Update'!DX61="", "", TRUE, 'Monthly Update'!DX61)</f>
        <v/>
      </c>
      <c r="AG61" s="221" t="str" cm="1">
        <f t="array" ref="AG61">_xlfn.IFS(LEFT('Monthly Update'!DY61, 3) = "*((", "", 'Monthly Update'!DY61="", "", TRUE, 'Monthly Update'!DY61)</f>
        <v/>
      </c>
      <c r="AH61" s="221" t="str" cm="1">
        <f t="array" ref="AH61">_xlfn.IFS(LEFT('Monthly Update'!DZ61, 3) = "*((", "", 'Monthly Update'!DZ61="", "", TRUE, 'Monthly Update'!DZ61)</f>
        <v/>
      </c>
      <c r="AI61" s="221" t="str" cm="1">
        <f t="array" ref="AI61">_xlfn.IFS(LEFT('Monthly Update'!EA61, 3) = "*((", "", 'Monthly Update'!EA61="", "", TRUE, 'Monthly Update'!EA61)</f>
        <v/>
      </c>
      <c r="AJ61" s="221" t="str" cm="1">
        <f t="array" ref="AJ61">_xlfn.IFS(LEFT('Monthly Update'!EB61, 3) = "*((", "", 'Monthly Update'!EB61="", "", TRUE, 'Monthly Update'!EB61)</f>
        <v/>
      </c>
      <c r="AK61" s="221" t="str" cm="1">
        <f t="array" ref="AK61">_xlfn.IFS(LEFT('Monthly Update'!EC61, 3) = "*((", "", 'Monthly Update'!EC61="", "", TRUE, 'Monthly Update'!EC61)</f>
        <v/>
      </c>
      <c r="AL61" s="221" t="str" cm="1">
        <f t="array" ref="AL61">_xlfn.IFS(LEFT('Monthly Update'!ED61, 3) = "*((", "", 'Monthly Update'!ED61="", "", TRUE, 'Monthly Update'!ED61)</f>
        <v/>
      </c>
      <c r="AM61" s="221" t="str" cm="1">
        <f t="array" ref="AM61">_xlfn.IFS(LEFT('Monthly Update'!EE61, 3) = "*((", "", 'Monthly Update'!EE61="", "", TRUE, 'Monthly Update'!EE61)</f>
        <v/>
      </c>
      <c r="AN61" s="221" t="str" cm="1">
        <f t="array" ref="AN61">_xlfn.IFS(LEFT('Monthly Update'!EF61, 3) = "*((", "", 'Monthly Update'!EF61="", "", TRUE, 'Monthly Update'!EF61)</f>
        <v/>
      </c>
      <c r="AO61" s="221" t="str" cm="1">
        <f t="array" ref="AO61">_xlfn.IFS(LEFT('Monthly Update'!EG61, 3) = "*((", "", 'Monthly Update'!EG61="", "", TRUE, 'Monthly Update'!EG61)</f>
        <v/>
      </c>
      <c r="AP61" s="221" t="str" cm="1">
        <f t="array" ref="AP61">_xlfn.IFS(LEFT('Monthly Update'!EH61, 3) = "*((", "", 'Monthly Update'!EH61="", "", TRUE, 'Monthly Update'!EH61)</f>
        <v/>
      </c>
      <c r="AQ61" s="221" t="str" cm="1">
        <f t="array" ref="AQ61">_xlfn.IFS(LEFT('Monthly Update'!EI61, 3) = "*((", "", 'Monthly Update'!EI61="", "", TRUE, 'Monthly Update'!EI61)</f>
        <v/>
      </c>
      <c r="AR61" s="221" t="str" cm="1">
        <f t="array" ref="AR61">_xlfn.IFS(LEFT('Monthly Update'!EJ61, 3) = "*((", "", 'Monthly Update'!EJ61="", "", TRUE, 'Monthly Update'!EJ61)</f>
        <v/>
      </c>
      <c r="AS61" s="221" t="str" cm="1">
        <f t="array" ref="AS61">_xlfn.IFS(LEFT('Monthly Update'!EK61, 3) = "*((", "", 'Monthly Update'!EK61="", "", TRUE, 'Monthly Update'!EK61)</f>
        <v/>
      </c>
      <c r="AT61" s="221" t="str" cm="1">
        <f t="array" ref="AT61">_xlfn.IFS(LEFT('Monthly Update'!EL61, 3) = "*((", "", 'Monthly Update'!EL61="", "", TRUE, 'Monthly Update'!EL61)</f>
        <v/>
      </c>
      <c r="AU61" s="221" t="str" cm="1">
        <f t="array" ref="AU61">_xlfn.IFS(LEFT('Monthly Update'!EM61, 3) = "*((", "", 'Monthly Update'!EM61="", "", TRUE, 'Monthly Update'!EM61)</f>
        <v/>
      </c>
      <c r="AV61" s="221" t="str" cm="1">
        <f t="array" ref="AV61">_xlfn.IFS(LEFT('Monthly Update'!EN61, 3) = "*((", "", 'Monthly Update'!EN61="", "", TRUE, 'Monthly Update'!EN61)</f>
        <v/>
      </c>
      <c r="AW61" s="221" t="str" cm="1">
        <f t="array" ref="AW61">_xlfn.IFS(LEFT('Monthly Update'!EO61, 3) = "*((", "", 'Monthly Update'!EO61="", "", TRUE, 'Monthly Update'!EO61)</f>
        <v/>
      </c>
      <c r="NU61" s="252"/>
      <c r="NV61" s="252"/>
      <c r="NW61" s="252"/>
      <c r="NX61" s="252"/>
      <c r="NY61" s="252"/>
      <c r="NZ61" s="252"/>
      <c r="OA61" s="252"/>
      <c r="OB61" s="252"/>
      <c r="OC61" s="252"/>
      <c r="OD61" s="252"/>
      <c r="OE61" s="252"/>
      <c r="OF61" s="252"/>
      <c r="OG61" s="252"/>
      <c r="OH61" s="252"/>
      <c r="OI61" s="252"/>
      <c r="OJ61" s="252"/>
      <c r="OK61" s="252"/>
      <c r="OL61" s="252"/>
      <c r="OM61" s="252"/>
      <c r="ON61" s="252"/>
      <c r="OO61" s="252"/>
      <c r="OP61" s="252"/>
      <c r="OQ61" s="252"/>
      <c r="OR61" s="252"/>
      <c r="OS61" s="252"/>
      <c r="OT61" s="252"/>
      <c r="OU61" s="252"/>
      <c r="OV61" s="252"/>
      <c r="OW61" s="252"/>
      <c r="OX61" s="252"/>
      <c r="OY61" s="252"/>
      <c r="OZ61" s="252"/>
      <c r="PA61" s="252"/>
      <c r="PB61" s="252"/>
      <c r="PC61" s="252"/>
      <c r="PD61" s="252"/>
      <c r="PE61" s="252"/>
      <c r="PF61" s="252"/>
      <c r="PG61" s="252"/>
      <c r="PH61" s="252"/>
      <c r="PI61" s="252"/>
      <c r="PJ61" s="252"/>
      <c r="PK61" s="252"/>
      <c r="PL61" s="252"/>
      <c r="PM61" s="252"/>
      <c r="PN61" s="252"/>
      <c r="PO61" s="252"/>
      <c r="PP61" s="252"/>
      <c r="PQ61" s="252"/>
      <c r="PR61" s="252"/>
      <c r="PS61" s="252"/>
      <c r="PT61" s="252"/>
      <c r="PU61" s="252"/>
      <c r="PV61" s="252"/>
      <c r="PW61" s="252"/>
      <c r="PX61" s="252"/>
      <c r="PY61" s="252"/>
      <c r="PZ61" s="252"/>
      <c r="QA61" s="252"/>
      <c r="QB61" s="252"/>
      <c r="QC61" s="252"/>
      <c r="QD61" s="252"/>
      <c r="QE61" s="252"/>
      <c r="QF61" s="252"/>
      <c r="QG61" s="252"/>
      <c r="QH61" s="252"/>
      <c r="QI61" s="252"/>
      <c r="QJ61" s="252"/>
      <c r="QK61" s="252"/>
      <c r="QL61" s="252"/>
      <c r="QM61" s="252"/>
      <c r="QN61" s="252"/>
      <c r="QO61" s="252"/>
      <c r="QP61" s="252"/>
      <c r="QQ61" s="252"/>
      <c r="QR61" s="252"/>
      <c r="QS61" s="252"/>
      <c r="QT61" s="252"/>
      <c r="QU61" s="252"/>
      <c r="QV61" s="252"/>
      <c r="QW61" s="252"/>
      <c r="QX61" s="252"/>
      <c r="QY61" s="252"/>
      <c r="QZ61" s="252"/>
      <c r="RA61" s="252"/>
      <c r="RB61" s="252"/>
      <c r="RC61" s="252"/>
      <c r="RD61" s="252"/>
      <c r="RE61" s="252"/>
      <c r="RF61" s="252"/>
      <c r="RG61" s="252"/>
      <c r="RH61" s="252"/>
      <c r="RI61" s="252"/>
      <c r="RJ61" s="252"/>
      <c r="RK61" s="252"/>
      <c r="RL61" s="252"/>
      <c r="RM61" s="252"/>
      <c r="RN61" s="252"/>
      <c r="RO61" s="252"/>
      <c r="RP61" s="252"/>
      <c r="RQ61" s="252"/>
      <c r="RR61" s="252"/>
      <c r="RS61" s="252"/>
      <c r="RT61" s="252"/>
      <c r="RU61" s="252"/>
      <c r="RV61" s="252"/>
      <c r="RW61" s="252"/>
      <c r="RX61" s="252"/>
      <c r="RY61" s="252"/>
      <c r="RZ61" s="252"/>
      <c r="SA61" s="252"/>
      <c r="SB61" s="252"/>
      <c r="SC61" s="252"/>
      <c r="SD61" s="252"/>
      <c r="SE61" s="252"/>
      <c r="SF61" s="252"/>
      <c r="SG61" s="252"/>
      <c r="SH61" s="252"/>
      <c r="SI61" s="252"/>
      <c r="SJ61" s="252"/>
      <c r="SK61" s="252"/>
      <c r="SL61" s="252"/>
      <c r="SM61" s="252"/>
      <c r="SN61" s="252"/>
    </row>
    <row r="62" spans="1:508" s="243" customFormat="1" ht="15.6" customHeight="1" x14ac:dyDescent="0.55000000000000004">
      <c r="A62" s="220" t="str" cm="1">
        <f t="array" ref="A62">_xlfn.IFS(LEFT('Monthly Update'!A62, 3) = "*((", "", 'Monthly Update'!A62="", "", TRUE, 'Monthly Update'!A62)</f>
        <v/>
      </c>
      <c r="B62" s="220" t="str" cm="1">
        <f t="array" ref="B62">_xlfn.IFS(LEFT('Monthly Update'!B62, 3) = "*((", "", 'Monthly Update'!B62="", "", TRUE, 'Monthly Update'!B62)</f>
        <v/>
      </c>
      <c r="C62" s="221" t="str" cm="1">
        <f t="array" ref="C62">_xlfn.IFS(LEFT('Monthly Update'!CU62, 3) = "*((", "", 'Monthly Update'!CU62="", "", TRUE, 'Monthly Update'!CU62)</f>
        <v/>
      </c>
      <c r="D62" s="221" t="str" cm="1">
        <f t="array" ref="D62">_xlfn.IFS(LEFT('Monthly Update'!CV62, 3) = "*((", "", 'Monthly Update'!CV62="", "", TRUE, 'Monthly Update'!CV62)</f>
        <v/>
      </c>
      <c r="E62" s="221" t="str" cm="1">
        <f t="array" ref="E62">_xlfn.IFS(LEFT('Monthly Update'!CW62, 3) = "*((", "", 'Monthly Update'!CW62="", "", TRUE, 'Monthly Update'!CW62)</f>
        <v/>
      </c>
      <c r="F62" s="221" t="str" cm="1">
        <f t="array" ref="F62">_xlfn.IFS(LEFT('Monthly Update'!CX62, 3) = "*((", "", 'Monthly Update'!CX62="", "", TRUE, 'Monthly Update'!CX62)</f>
        <v/>
      </c>
      <c r="G62" s="221" t="str" cm="1">
        <f t="array" ref="G62">_xlfn.IFS(LEFT('Monthly Update'!CY62, 3) = "*((", "", 'Monthly Update'!CY62="", "", TRUE, 'Monthly Update'!CY62)</f>
        <v/>
      </c>
      <c r="H62" s="221" t="str" cm="1">
        <f t="array" ref="H62">_xlfn.IFS(LEFT('Monthly Update'!CZ62, 3) = "*((", "", 'Monthly Update'!CZ62="", "", TRUE, 'Monthly Update'!CZ62)</f>
        <v/>
      </c>
      <c r="I62" s="221" t="str" cm="1">
        <f t="array" ref="I62">_xlfn.IFS(LEFT('Monthly Update'!DA62, 3) = "*((", "", 'Monthly Update'!DA62="", "", TRUE, 'Monthly Update'!DA62)</f>
        <v/>
      </c>
      <c r="J62" s="221" t="str" cm="1">
        <f t="array" ref="J62">_xlfn.IFS(LEFT('Monthly Update'!DB62, 3) = "*((", "", 'Monthly Update'!DB62="", "", TRUE, 'Monthly Update'!DB62)</f>
        <v/>
      </c>
      <c r="K62" s="221" t="str" cm="1">
        <f t="array" ref="K62">_xlfn.IFS(LEFT('Monthly Update'!DC62, 3) = "*((", "", 'Monthly Update'!DC62="", "", TRUE, 'Monthly Update'!DC62)</f>
        <v/>
      </c>
      <c r="L62" s="221" t="str" cm="1">
        <f t="array" ref="L62">_xlfn.IFS(LEFT('Monthly Update'!DD62, 3) = "*((", "", 'Monthly Update'!DD62="", "", TRUE, 'Monthly Update'!DD62)</f>
        <v/>
      </c>
      <c r="M62" s="221" t="str" cm="1">
        <f t="array" ref="M62">_xlfn.IFS(LEFT('Monthly Update'!DE62, 3) = "*((", "", 'Monthly Update'!DE62="", "", TRUE, 'Monthly Update'!DE62)</f>
        <v/>
      </c>
      <c r="N62" s="221" t="str" cm="1">
        <f t="array" ref="N62">_xlfn.IFS(LEFT('Monthly Update'!DF62, 3) = "*((", "", 'Monthly Update'!DF62="", "", TRUE, 'Monthly Update'!DF62)</f>
        <v/>
      </c>
      <c r="O62" s="221" t="str" cm="1">
        <f t="array" ref="O62">_xlfn.IFS(LEFT('Monthly Update'!DG62, 3) = "*((", "", 'Monthly Update'!DG62="", "", TRUE, 'Monthly Update'!DG62)</f>
        <v/>
      </c>
      <c r="P62" s="221" t="str" cm="1">
        <f t="array" ref="P62">_xlfn.IFS(LEFT('Monthly Update'!DH62, 3) = "*((", "", 'Monthly Update'!DH62="", "", TRUE, 'Monthly Update'!DH62)</f>
        <v/>
      </c>
      <c r="Q62" s="221" t="str" cm="1">
        <f t="array" ref="Q62">_xlfn.IFS(LEFT('Monthly Update'!DI62, 3) = "*((", "", 'Monthly Update'!DI62="", "", TRUE, 'Monthly Update'!DI62)</f>
        <v/>
      </c>
      <c r="R62" s="221" t="str" cm="1">
        <f t="array" ref="R62">_xlfn.IFS(LEFT('Monthly Update'!DJ62, 3) = "*((", "", 'Monthly Update'!DJ62="", "", TRUE, 'Monthly Update'!DJ62)</f>
        <v/>
      </c>
      <c r="S62" s="221" t="str" cm="1">
        <f t="array" ref="S62">_xlfn.IFS(LEFT('Monthly Update'!DK62, 3) = "*((", "", 'Monthly Update'!DK62="", "", TRUE, 'Monthly Update'!DK62)</f>
        <v/>
      </c>
      <c r="T62" s="221" t="str" cm="1">
        <f t="array" ref="T62">_xlfn.IFS(LEFT('Monthly Update'!DL62, 3) = "*((", "", 'Monthly Update'!DL62="", "", TRUE, 'Monthly Update'!DL62)</f>
        <v/>
      </c>
      <c r="U62" s="221" t="str" cm="1">
        <f t="array" ref="U62">_xlfn.IFS(LEFT('Monthly Update'!DM62, 3) = "*((", "", 'Monthly Update'!DM62="", "", TRUE, 'Monthly Update'!DM62)</f>
        <v/>
      </c>
      <c r="V62" s="221" t="str" cm="1">
        <f t="array" ref="V62">_xlfn.IFS(LEFT('Monthly Update'!DN62, 3) = "*((", "", 'Monthly Update'!DN62="", "", TRUE, 'Monthly Update'!DN62)</f>
        <v/>
      </c>
      <c r="W62" s="221" t="str" cm="1">
        <f t="array" ref="W62">_xlfn.IFS(LEFT('Monthly Update'!DO62, 3) = "*((", "", 'Monthly Update'!DO62="", "", TRUE, 'Monthly Update'!DO62)</f>
        <v/>
      </c>
      <c r="X62" s="221" t="str" cm="1">
        <f t="array" ref="X62">_xlfn.IFS(LEFT('Monthly Update'!DP62, 3) = "*((", "", 'Monthly Update'!DP62="", "", TRUE, 'Monthly Update'!DP62)</f>
        <v/>
      </c>
      <c r="Y62" s="221" t="str" cm="1">
        <f t="array" ref="Y62">_xlfn.IFS(LEFT('Monthly Update'!DQ62, 3) = "*((", "", 'Monthly Update'!DQ62="", "", TRUE, 'Monthly Update'!DQ62)</f>
        <v/>
      </c>
      <c r="Z62" s="221" t="str" cm="1">
        <f t="array" ref="Z62">_xlfn.IFS(LEFT('Monthly Update'!DR62, 3) = "*((", "", 'Monthly Update'!DR62="", "", TRUE, 'Monthly Update'!DR62)</f>
        <v/>
      </c>
      <c r="AA62" s="221" t="str" cm="1">
        <f t="array" ref="AA62">_xlfn.IFS(LEFT('Monthly Update'!DS62, 3) = "*((", "", 'Monthly Update'!DS62="", "", TRUE, 'Monthly Update'!DS62)</f>
        <v/>
      </c>
      <c r="AB62" s="221" t="str" cm="1">
        <f t="array" ref="AB62">_xlfn.IFS(LEFT('Monthly Update'!DT62, 3) = "*((", "", 'Monthly Update'!DT62="", "", TRUE, 'Monthly Update'!DT62)</f>
        <v/>
      </c>
      <c r="AC62" s="221" t="str" cm="1">
        <f t="array" ref="AC62">_xlfn.IFS(LEFT('Monthly Update'!DU62, 3) = "*((", "", 'Monthly Update'!DU62="", "", TRUE, 'Monthly Update'!DU62)</f>
        <v/>
      </c>
      <c r="AD62" s="221" t="str" cm="1">
        <f t="array" ref="AD62">_xlfn.IFS(LEFT('Monthly Update'!DV62, 3) = "*((", "", 'Monthly Update'!DV62="", "", TRUE, 'Monthly Update'!DV62)</f>
        <v/>
      </c>
      <c r="AE62" s="221" t="str" cm="1">
        <f t="array" ref="AE62">_xlfn.IFS(LEFT('Monthly Update'!DW62, 3) = "*((", "", 'Monthly Update'!DW62="", "", TRUE, 'Monthly Update'!DW62)</f>
        <v/>
      </c>
      <c r="AF62" s="221" t="str" cm="1">
        <f t="array" ref="AF62">_xlfn.IFS(LEFT('Monthly Update'!DX62, 3) = "*((", "", 'Monthly Update'!DX62="", "", TRUE, 'Monthly Update'!DX62)</f>
        <v/>
      </c>
      <c r="AG62" s="221" t="str" cm="1">
        <f t="array" ref="AG62">_xlfn.IFS(LEFT('Monthly Update'!DY62, 3) = "*((", "", 'Monthly Update'!DY62="", "", TRUE, 'Monthly Update'!DY62)</f>
        <v/>
      </c>
      <c r="AH62" s="221" t="str" cm="1">
        <f t="array" ref="AH62">_xlfn.IFS(LEFT('Monthly Update'!DZ62, 3) = "*((", "", 'Monthly Update'!DZ62="", "", TRUE, 'Monthly Update'!DZ62)</f>
        <v/>
      </c>
      <c r="AI62" s="221" t="str" cm="1">
        <f t="array" ref="AI62">_xlfn.IFS(LEFT('Monthly Update'!EA62, 3) = "*((", "", 'Monthly Update'!EA62="", "", TRUE, 'Monthly Update'!EA62)</f>
        <v/>
      </c>
      <c r="AJ62" s="221" t="str" cm="1">
        <f t="array" ref="AJ62">_xlfn.IFS(LEFT('Monthly Update'!EB62, 3) = "*((", "", 'Monthly Update'!EB62="", "", TRUE, 'Monthly Update'!EB62)</f>
        <v/>
      </c>
      <c r="AK62" s="221" t="str" cm="1">
        <f t="array" ref="AK62">_xlfn.IFS(LEFT('Monthly Update'!EC62, 3) = "*((", "", 'Monthly Update'!EC62="", "", TRUE, 'Monthly Update'!EC62)</f>
        <v/>
      </c>
      <c r="AL62" s="221" t="str" cm="1">
        <f t="array" ref="AL62">_xlfn.IFS(LEFT('Monthly Update'!ED62, 3) = "*((", "", 'Monthly Update'!ED62="", "", TRUE, 'Monthly Update'!ED62)</f>
        <v/>
      </c>
      <c r="AM62" s="221" t="str" cm="1">
        <f t="array" ref="AM62">_xlfn.IFS(LEFT('Monthly Update'!EE62, 3) = "*((", "", 'Monthly Update'!EE62="", "", TRUE, 'Monthly Update'!EE62)</f>
        <v/>
      </c>
      <c r="AN62" s="221" t="str" cm="1">
        <f t="array" ref="AN62">_xlfn.IFS(LEFT('Monthly Update'!EF62, 3) = "*((", "", 'Monthly Update'!EF62="", "", TRUE, 'Monthly Update'!EF62)</f>
        <v/>
      </c>
      <c r="AO62" s="221" t="str" cm="1">
        <f t="array" ref="AO62">_xlfn.IFS(LEFT('Monthly Update'!EG62, 3) = "*((", "", 'Monthly Update'!EG62="", "", TRUE, 'Monthly Update'!EG62)</f>
        <v/>
      </c>
      <c r="AP62" s="221" t="str" cm="1">
        <f t="array" ref="AP62">_xlfn.IFS(LEFT('Monthly Update'!EH62, 3) = "*((", "", 'Monthly Update'!EH62="", "", TRUE, 'Monthly Update'!EH62)</f>
        <v/>
      </c>
      <c r="AQ62" s="221" t="str" cm="1">
        <f t="array" ref="AQ62">_xlfn.IFS(LEFT('Monthly Update'!EI62, 3) = "*((", "", 'Monthly Update'!EI62="", "", TRUE, 'Monthly Update'!EI62)</f>
        <v/>
      </c>
      <c r="AR62" s="221" t="str" cm="1">
        <f t="array" ref="AR62">_xlfn.IFS(LEFT('Monthly Update'!EJ62, 3) = "*((", "", 'Monthly Update'!EJ62="", "", TRUE, 'Monthly Update'!EJ62)</f>
        <v/>
      </c>
      <c r="AS62" s="221" t="str" cm="1">
        <f t="array" ref="AS62">_xlfn.IFS(LEFT('Monthly Update'!EK62, 3) = "*((", "", 'Monthly Update'!EK62="", "", TRUE, 'Monthly Update'!EK62)</f>
        <v/>
      </c>
      <c r="AT62" s="221" t="str" cm="1">
        <f t="array" ref="AT62">_xlfn.IFS(LEFT('Monthly Update'!EL62, 3) = "*((", "", 'Monthly Update'!EL62="", "", TRUE, 'Monthly Update'!EL62)</f>
        <v/>
      </c>
      <c r="AU62" s="221" t="str" cm="1">
        <f t="array" ref="AU62">_xlfn.IFS(LEFT('Monthly Update'!EM62, 3) = "*((", "", 'Monthly Update'!EM62="", "", TRUE, 'Monthly Update'!EM62)</f>
        <v/>
      </c>
      <c r="AV62" s="221" t="str" cm="1">
        <f t="array" ref="AV62">_xlfn.IFS(LEFT('Monthly Update'!EN62, 3) = "*((", "", 'Monthly Update'!EN62="", "", TRUE, 'Monthly Update'!EN62)</f>
        <v/>
      </c>
      <c r="AW62" s="221" t="str" cm="1">
        <f t="array" ref="AW62">_xlfn.IFS(LEFT('Monthly Update'!EO62, 3) = "*((", "", 'Monthly Update'!EO62="", "", TRUE, 'Monthly Update'!EO62)</f>
        <v/>
      </c>
      <c r="NU62" s="252"/>
      <c r="NV62" s="252"/>
      <c r="NW62" s="252"/>
      <c r="NX62" s="252"/>
      <c r="NY62" s="252"/>
      <c r="NZ62" s="252"/>
      <c r="OA62" s="252"/>
      <c r="OB62" s="252"/>
      <c r="OC62" s="252"/>
      <c r="OD62" s="252"/>
      <c r="OE62" s="252"/>
      <c r="OF62" s="252"/>
      <c r="OG62" s="252"/>
      <c r="OH62" s="252"/>
      <c r="OI62" s="252"/>
      <c r="OJ62" s="252"/>
      <c r="OK62" s="252"/>
      <c r="OL62" s="252"/>
      <c r="OM62" s="252"/>
      <c r="ON62" s="252"/>
      <c r="OO62" s="252"/>
      <c r="OP62" s="252"/>
      <c r="OQ62" s="252"/>
      <c r="OR62" s="252"/>
      <c r="OS62" s="252"/>
      <c r="OT62" s="252"/>
      <c r="OU62" s="252"/>
      <c r="OV62" s="252"/>
      <c r="OW62" s="252"/>
      <c r="OX62" s="252"/>
      <c r="OY62" s="252"/>
      <c r="OZ62" s="252"/>
      <c r="PA62" s="252"/>
      <c r="PB62" s="252"/>
      <c r="PC62" s="252"/>
      <c r="PD62" s="252"/>
      <c r="PE62" s="252"/>
      <c r="PF62" s="252"/>
      <c r="PG62" s="252"/>
      <c r="PH62" s="252"/>
      <c r="PI62" s="252"/>
      <c r="PJ62" s="252"/>
      <c r="PK62" s="252"/>
      <c r="PL62" s="252"/>
      <c r="PM62" s="252"/>
      <c r="PN62" s="252"/>
      <c r="PO62" s="252"/>
      <c r="PP62" s="252"/>
      <c r="PQ62" s="252"/>
      <c r="PR62" s="252"/>
      <c r="PS62" s="252"/>
      <c r="PT62" s="252"/>
      <c r="PU62" s="252"/>
      <c r="PV62" s="252"/>
      <c r="PW62" s="252"/>
      <c r="PX62" s="252"/>
      <c r="PY62" s="252"/>
      <c r="PZ62" s="252"/>
      <c r="QA62" s="252"/>
      <c r="QB62" s="252"/>
      <c r="QC62" s="252"/>
      <c r="QD62" s="252"/>
      <c r="QE62" s="252"/>
      <c r="QF62" s="252"/>
      <c r="QG62" s="252"/>
      <c r="QH62" s="252"/>
      <c r="QI62" s="252"/>
      <c r="QJ62" s="252"/>
      <c r="QK62" s="252"/>
      <c r="QL62" s="252"/>
      <c r="QM62" s="252"/>
      <c r="QN62" s="252"/>
      <c r="QO62" s="252"/>
      <c r="QP62" s="252"/>
      <c r="QQ62" s="252"/>
      <c r="QR62" s="252"/>
      <c r="QS62" s="252"/>
      <c r="QT62" s="252"/>
      <c r="QU62" s="252"/>
      <c r="QV62" s="252"/>
      <c r="QW62" s="252"/>
      <c r="QX62" s="252"/>
      <c r="QY62" s="252"/>
      <c r="QZ62" s="252"/>
      <c r="RA62" s="252"/>
      <c r="RB62" s="252"/>
      <c r="RC62" s="252"/>
      <c r="RD62" s="252"/>
      <c r="RE62" s="252"/>
      <c r="RF62" s="252"/>
      <c r="RG62" s="252"/>
      <c r="RH62" s="252"/>
      <c r="RI62" s="252"/>
      <c r="RJ62" s="252"/>
      <c r="RK62" s="252"/>
      <c r="RL62" s="252"/>
      <c r="RM62" s="252"/>
      <c r="RN62" s="252"/>
      <c r="RO62" s="252"/>
      <c r="RP62" s="252"/>
      <c r="RQ62" s="252"/>
      <c r="RR62" s="252"/>
      <c r="RS62" s="252"/>
      <c r="RT62" s="252"/>
      <c r="RU62" s="252"/>
      <c r="RV62" s="252"/>
      <c r="RW62" s="252"/>
      <c r="RX62" s="252"/>
      <c r="RY62" s="252"/>
      <c r="RZ62" s="252"/>
      <c r="SA62" s="252"/>
      <c r="SB62" s="252"/>
      <c r="SC62" s="252"/>
      <c r="SD62" s="252"/>
      <c r="SE62" s="252"/>
      <c r="SF62" s="252"/>
      <c r="SG62" s="252"/>
      <c r="SH62" s="252"/>
      <c r="SI62" s="252"/>
      <c r="SJ62" s="252"/>
      <c r="SK62" s="252"/>
      <c r="SL62" s="252"/>
      <c r="SM62" s="252"/>
      <c r="SN62" s="252"/>
    </row>
    <row r="63" spans="1:508" s="243" customFormat="1" ht="15.6" customHeight="1" x14ac:dyDescent="0.55000000000000004">
      <c r="A63" s="220" t="str" cm="1">
        <f t="array" ref="A63">_xlfn.IFS(LEFT('Monthly Update'!A63, 3) = "*((", "", 'Monthly Update'!A63="", "", TRUE, 'Monthly Update'!A63)</f>
        <v/>
      </c>
      <c r="B63" s="220" t="str" cm="1">
        <f t="array" ref="B63">_xlfn.IFS(LEFT('Monthly Update'!B63, 3) = "*((", "", 'Monthly Update'!B63="", "", TRUE, 'Monthly Update'!B63)</f>
        <v/>
      </c>
      <c r="C63" s="221" t="str" cm="1">
        <f t="array" ref="C63">_xlfn.IFS(LEFT('Monthly Update'!CU63, 3) = "*((", "", 'Monthly Update'!CU63="", "", TRUE, 'Monthly Update'!CU63)</f>
        <v/>
      </c>
      <c r="D63" s="221" t="str" cm="1">
        <f t="array" ref="D63">_xlfn.IFS(LEFT('Monthly Update'!CV63, 3) = "*((", "", 'Monthly Update'!CV63="", "", TRUE, 'Monthly Update'!CV63)</f>
        <v/>
      </c>
      <c r="E63" s="221" t="str" cm="1">
        <f t="array" ref="E63">_xlfn.IFS(LEFT('Monthly Update'!CW63, 3) = "*((", "", 'Monthly Update'!CW63="", "", TRUE, 'Monthly Update'!CW63)</f>
        <v/>
      </c>
      <c r="F63" s="221" t="str" cm="1">
        <f t="array" ref="F63">_xlfn.IFS(LEFT('Monthly Update'!CX63, 3) = "*((", "", 'Monthly Update'!CX63="", "", TRUE, 'Monthly Update'!CX63)</f>
        <v/>
      </c>
      <c r="G63" s="221" t="str" cm="1">
        <f t="array" ref="G63">_xlfn.IFS(LEFT('Monthly Update'!CY63, 3) = "*((", "", 'Monthly Update'!CY63="", "", TRUE, 'Monthly Update'!CY63)</f>
        <v/>
      </c>
      <c r="H63" s="221" t="str" cm="1">
        <f t="array" ref="H63">_xlfn.IFS(LEFT('Monthly Update'!CZ63, 3) = "*((", "", 'Monthly Update'!CZ63="", "", TRUE, 'Monthly Update'!CZ63)</f>
        <v/>
      </c>
      <c r="I63" s="221" t="str" cm="1">
        <f t="array" ref="I63">_xlfn.IFS(LEFT('Monthly Update'!DA63, 3) = "*((", "", 'Monthly Update'!DA63="", "", TRUE, 'Monthly Update'!DA63)</f>
        <v/>
      </c>
      <c r="J63" s="221" t="str" cm="1">
        <f t="array" ref="J63">_xlfn.IFS(LEFT('Monthly Update'!DB63, 3) = "*((", "", 'Monthly Update'!DB63="", "", TRUE, 'Monthly Update'!DB63)</f>
        <v/>
      </c>
      <c r="K63" s="221" t="str" cm="1">
        <f t="array" ref="K63">_xlfn.IFS(LEFT('Monthly Update'!DC63, 3) = "*((", "", 'Monthly Update'!DC63="", "", TRUE, 'Monthly Update'!DC63)</f>
        <v/>
      </c>
      <c r="L63" s="221" t="str" cm="1">
        <f t="array" ref="L63">_xlfn.IFS(LEFT('Monthly Update'!DD63, 3) = "*((", "", 'Monthly Update'!DD63="", "", TRUE, 'Monthly Update'!DD63)</f>
        <v/>
      </c>
      <c r="M63" s="221" t="str" cm="1">
        <f t="array" ref="M63">_xlfn.IFS(LEFT('Monthly Update'!DE63, 3) = "*((", "", 'Monthly Update'!DE63="", "", TRUE, 'Monthly Update'!DE63)</f>
        <v/>
      </c>
      <c r="N63" s="221" t="str" cm="1">
        <f t="array" ref="N63">_xlfn.IFS(LEFT('Monthly Update'!DF63, 3) = "*((", "", 'Monthly Update'!DF63="", "", TRUE, 'Monthly Update'!DF63)</f>
        <v/>
      </c>
      <c r="O63" s="221" t="str" cm="1">
        <f t="array" ref="O63">_xlfn.IFS(LEFT('Monthly Update'!DG63, 3) = "*((", "", 'Monthly Update'!DG63="", "", TRUE, 'Monthly Update'!DG63)</f>
        <v/>
      </c>
      <c r="P63" s="221" t="str" cm="1">
        <f t="array" ref="P63">_xlfn.IFS(LEFT('Monthly Update'!DH63, 3) = "*((", "", 'Monthly Update'!DH63="", "", TRUE, 'Monthly Update'!DH63)</f>
        <v/>
      </c>
      <c r="Q63" s="221" t="str" cm="1">
        <f t="array" ref="Q63">_xlfn.IFS(LEFT('Monthly Update'!DI63, 3) = "*((", "", 'Monthly Update'!DI63="", "", TRUE, 'Monthly Update'!DI63)</f>
        <v/>
      </c>
      <c r="R63" s="221" t="str" cm="1">
        <f t="array" ref="R63">_xlfn.IFS(LEFT('Monthly Update'!DJ63, 3) = "*((", "", 'Monthly Update'!DJ63="", "", TRUE, 'Monthly Update'!DJ63)</f>
        <v/>
      </c>
      <c r="S63" s="221" t="str" cm="1">
        <f t="array" ref="S63">_xlfn.IFS(LEFT('Monthly Update'!DK63, 3) = "*((", "", 'Monthly Update'!DK63="", "", TRUE, 'Monthly Update'!DK63)</f>
        <v/>
      </c>
      <c r="T63" s="221" t="str" cm="1">
        <f t="array" ref="T63">_xlfn.IFS(LEFT('Monthly Update'!DL63, 3) = "*((", "", 'Monthly Update'!DL63="", "", TRUE, 'Monthly Update'!DL63)</f>
        <v/>
      </c>
      <c r="U63" s="221" t="str" cm="1">
        <f t="array" ref="U63">_xlfn.IFS(LEFT('Monthly Update'!DM63, 3) = "*((", "", 'Monthly Update'!DM63="", "", TRUE, 'Monthly Update'!DM63)</f>
        <v/>
      </c>
      <c r="V63" s="221" t="str" cm="1">
        <f t="array" ref="V63">_xlfn.IFS(LEFT('Monthly Update'!DN63, 3) = "*((", "", 'Monthly Update'!DN63="", "", TRUE, 'Monthly Update'!DN63)</f>
        <v/>
      </c>
      <c r="W63" s="221" t="str" cm="1">
        <f t="array" ref="W63">_xlfn.IFS(LEFT('Monthly Update'!DO63, 3) = "*((", "", 'Monthly Update'!DO63="", "", TRUE, 'Monthly Update'!DO63)</f>
        <v/>
      </c>
      <c r="X63" s="221" t="str" cm="1">
        <f t="array" ref="X63">_xlfn.IFS(LEFT('Monthly Update'!DP63, 3) = "*((", "", 'Monthly Update'!DP63="", "", TRUE, 'Monthly Update'!DP63)</f>
        <v/>
      </c>
      <c r="Y63" s="221" t="str" cm="1">
        <f t="array" ref="Y63">_xlfn.IFS(LEFT('Monthly Update'!DQ63, 3) = "*((", "", 'Monthly Update'!DQ63="", "", TRUE, 'Monthly Update'!DQ63)</f>
        <v/>
      </c>
      <c r="Z63" s="221" t="str" cm="1">
        <f t="array" ref="Z63">_xlfn.IFS(LEFT('Monthly Update'!DR63, 3) = "*((", "", 'Monthly Update'!DR63="", "", TRUE, 'Monthly Update'!DR63)</f>
        <v/>
      </c>
      <c r="AA63" s="221" t="str" cm="1">
        <f t="array" ref="AA63">_xlfn.IFS(LEFT('Monthly Update'!DS63, 3) = "*((", "", 'Monthly Update'!DS63="", "", TRUE, 'Monthly Update'!DS63)</f>
        <v/>
      </c>
      <c r="AB63" s="221" t="str" cm="1">
        <f t="array" ref="AB63">_xlfn.IFS(LEFT('Monthly Update'!DT63, 3) = "*((", "", 'Monthly Update'!DT63="", "", TRUE, 'Monthly Update'!DT63)</f>
        <v/>
      </c>
      <c r="AC63" s="221" t="str" cm="1">
        <f t="array" ref="AC63">_xlfn.IFS(LEFT('Monthly Update'!DU63, 3) = "*((", "", 'Monthly Update'!DU63="", "", TRUE, 'Monthly Update'!DU63)</f>
        <v/>
      </c>
      <c r="AD63" s="221" t="str" cm="1">
        <f t="array" ref="AD63">_xlfn.IFS(LEFT('Monthly Update'!DV63, 3) = "*((", "", 'Monthly Update'!DV63="", "", TRUE, 'Monthly Update'!DV63)</f>
        <v/>
      </c>
      <c r="AE63" s="221" t="str" cm="1">
        <f t="array" ref="AE63">_xlfn.IFS(LEFT('Monthly Update'!DW63, 3) = "*((", "", 'Monthly Update'!DW63="", "", TRUE, 'Monthly Update'!DW63)</f>
        <v/>
      </c>
      <c r="AF63" s="221" t="str" cm="1">
        <f t="array" ref="AF63">_xlfn.IFS(LEFT('Monthly Update'!DX63, 3) = "*((", "", 'Monthly Update'!DX63="", "", TRUE, 'Monthly Update'!DX63)</f>
        <v/>
      </c>
      <c r="AG63" s="221" t="str" cm="1">
        <f t="array" ref="AG63">_xlfn.IFS(LEFT('Monthly Update'!DY63, 3) = "*((", "", 'Monthly Update'!DY63="", "", TRUE, 'Monthly Update'!DY63)</f>
        <v/>
      </c>
      <c r="AH63" s="221" t="str" cm="1">
        <f t="array" ref="AH63">_xlfn.IFS(LEFT('Monthly Update'!DZ63, 3) = "*((", "", 'Monthly Update'!DZ63="", "", TRUE, 'Monthly Update'!DZ63)</f>
        <v/>
      </c>
      <c r="AI63" s="221" t="str" cm="1">
        <f t="array" ref="AI63">_xlfn.IFS(LEFT('Monthly Update'!EA63, 3) = "*((", "", 'Monthly Update'!EA63="", "", TRUE, 'Monthly Update'!EA63)</f>
        <v/>
      </c>
      <c r="AJ63" s="221" t="str" cm="1">
        <f t="array" ref="AJ63">_xlfn.IFS(LEFT('Monthly Update'!EB63, 3) = "*((", "", 'Monthly Update'!EB63="", "", TRUE, 'Monthly Update'!EB63)</f>
        <v/>
      </c>
      <c r="AK63" s="221" t="str" cm="1">
        <f t="array" ref="AK63">_xlfn.IFS(LEFT('Monthly Update'!EC63, 3) = "*((", "", 'Monthly Update'!EC63="", "", TRUE, 'Monthly Update'!EC63)</f>
        <v/>
      </c>
      <c r="AL63" s="221" t="str" cm="1">
        <f t="array" ref="AL63">_xlfn.IFS(LEFT('Monthly Update'!ED63, 3) = "*((", "", 'Monthly Update'!ED63="", "", TRUE, 'Monthly Update'!ED63)</f>
        <v/>
      </c>
      <c r="AM63" s="221" t="str" cm="1">
        <f t="array" ref="AM63">_xlfn.IFS(LEFT('Monthly Update'!EE63, 3) = "*((", "", 'Monthly Update'!EE63="", "", TRUE, 'Monthly Update'!EE63)</f>
        <v/>
      </c>
      <c r="AN63" s="221" t="str" cm="1">
        <f t="array" ref="AN63">_xlfn.IFS(LEFT('Monthly Update'!EF63, 3) = "*((", "", 'Monthly Update'!EF63="", "", TRUE, 'Monthly Update'!EF63)</f>
        <v/>
      </c>
      <c r="AO63" s="221" t="str" cm="1">
        <f t="array" ref="AO63">_xlfn.IFS(LEFT('Monthly Update'!EG63, 3) = "*((", "", 'Monthly Update'!EG63="", "", TRUE, 'Monthly Update'!EG63)</f>
        <v/>
      </c>
      <c r="AP63" s="221" t="str" cm="1">
        <f t="array" ref="AP63">_xlfn.IFS(LEFT('Monthly Update'!EH63, 3) = "*((", "", 'Monthly Update'!EH63="", "", TRUE, 'Monthly Update'!EH63)</f>
        <v/>
      </c>
      <c r="AQ63" s="221" t="str" cm="1">
        <f t="array" ref="AQ63">_xlfn.IFS(LEFT('Monthly Update'!EI63, 3) = "*((", "", 'Monthly Update'!EI63="", "", TRUE, 'Monthly Update'!EI63)</f>
        <v/>
      </c>
      <c r="AR63" s="221" t="str" cm="1">
        <f t="array" ref="AR63">_xlfn.IFS(LEFT('Monthly Update'!EJ63, 3) = "*((", "", 'Monthly Update'!EJ63="", "", TRUE, 'Monthly Update'!EJ63)</f>
        <v/>
      </c>
      <c r="AS63" s="221" t="str" cm="1">
        <f t="array" ref="AS63">_xlfn.IFS(LEFT('Monthly Update'!EK63, 3) = "*((", "", 'Monthly Update'!EK63="", "", TRUE, 'Monthly Update'!EK63)</f>
        <v/>
      </c>
      <c r="AT63" s="221" t="str" cm="1">
        <f t="array" ref="AT63">_xlfn.IFS(LEFT('Monthly Update'!EL63, 3) = "*((", "", 'Monthly Update'!EL63="", "", TRUE, 'Monthly Update'!EL63)</f>
        <v/>
      </c>
      <c r="AU63" s="221" t="str" cm="1">
        <f t="array" ref="AU63">_xlfn.IFS(LEFT('Monthly Update'!EM63, 3) = "*((", "", 'Monthly Update'!EM63="", "", TRUE, 'Monthly Update'!EM63)</f>
        <v/>
      </c>
      <c r="AV63" s="221" t="str" cm="1">
        <f t="array" ref="AV63">_xlfn.IFS(LEFT('Monthly Update'!EN63, 3) = "*((", "", 'Monthly Update'!EN63="", "", TRUE, 'Monthly Update'!EN63)</f>
        <v/>
      </c>
      <c r="AW63" s="221" t="str" cm="1">
        <f t="array" ref="AW63">_xlfn.IFS(LEFT('Monthly Update'!EO63, 3) = "*((", "", 'Monthly Update'!EO63="", "", TRUE, 'Monthly Update'!EO63)</f>
        <v/>
      </c>
      <c r="NU63" s="252"/>
      <c r="NV63" s="252"/>
      <c r="NW63" s="252"/>
      <c r="NX63" s="252"/>
      <c r="NY63" s="252"/>
      <c r="NZ63" s="252"/>
      <c r="OA63" s="252"/>
      <c r="OB63" s="252"/>
      <c r="OC63" s="252"/>
      <c r="OD63" s="252"/>
      <c r="OE63" s="252"/>
      <c r="OF63" s="252"/>
      <c r="OG63" s="252"/>
      <c r="OH63" s="252"/>
      <c r="OI63" s="252"/>
      <c r="OJ63" s="252"/>
      <c r="OK63" s="252"/>
      <c r="OL63" s="252"/>
      <c r="OM63" s="252"/>
      <c r="ON63" s="252"/>
      <c r="OO63" s="252"/>
      <c r="OP63" s="252"/>
      <c r="OQ63" s="252"/>
      <c r="OR63" s="252"/>
      <c r="OS63" s="252"/>
      <c r="OT63" s="252"/>
      <c r="OU63" s="252"/>
      <c r="OV63" s="252"/>
      <c r="OW63" s="252"/>
      <c r="OX63" s="252"/>
      <c r="OY63" s="252"/>
      <c r="OZ63" s="252"/>
      <c r="PA63" s="252"/>
      <c r="PB63" s="252"/>
      <c r="PC63" s="252"/>
      <c r="PD63" s="252"/>
      <c r="PE63" s="252"/>
      <c r="PF63" s="252"/>
      <c r="PG63" s="252"/>
      <c r="PH63" s="252"/>
      <c r="PI63" s="252"/>
      <c r="PJ63" s="252"/>
      <c r="PK63" s="252"/>
      <c r="PL63" s="252"/>
      <c r="PM63" s="252"/>
      <c r="PN63" s="252"/>
      <c r="PO63" s="252"/>
      <c r="PP63" s="252"/>
      <c r="PQ63" s="252"/>
      <c r="PR63" s="252"/>
      <c r="PS63" s="252"/>
      <c r="PT63" s="252"/>
      <c r="PU63" s="252"/>
      <c r="PV63" s="252"/>
      <c r="PW63" s="252"/>
      <c r="PX63" s="252"/>
      <c r="PY63" s="252"/>
      <c r="PZ63" s="252"/>
      <c r="QA63" s="252"/>
      <c r="QB63" s="252"/>
      <c r="QC63" s="252"/>
      <c r="QD63" s="252"/>
      <c r="QE63" s="252"/>
      <c r="QF63" s="252"/>
      <c r="QG63" s="252"/>
      <c r="QH63" s="252"/>
      <c r="QI63" s="252"/>
      <c r="QJ63" s="252"/>
      <c r="QK63" s="252"/>
      <c r="QL63" s="252"/>
      <c r="QM63" s="252"/>
      <c r="QN63" s="252"/>
      <c r="QO63" s="252"/>
      <c r="QP63" s="252"/>
      <c r="QQ63" s="252"/>
      <c r="QR63" s="252"/>
      <c r="QS63" s="252"/>
      <c r="QT63" s="252"/>
      <c r="QU63" s="252"/>
      <c r="QV63" s="252"/>
      <c r="QW63" s="252"/>
      <c r="QX63" s="252"/>
      <c r="QY63" s="252"/>
      <c r="QZ63" s="252"/>
      <c r="RA63" s="252"/>
      <c r="RB63" s="252"/>
      <c r="RC63" s="252"/>
      <c r="RD63" s="252"/>
      <c r="RE63" s="252"/>
      <c r="RF63" s="252"/>
      <c r="RG63" s="252"/>
      <c r="RH63" s="252"/>
      <c r="RI63" s="252"/>
      <c r="RJ63" s="252"/>
      <c r="RK63" s="252"/>
      <c r="RL63" s="252"/>
      <c r="RM63" s="252"/>
      <c r="RN63" s="252"/>
      <c r="RO63" s="252"/>
      <c r="RP63" s="252"/>
      <c r="RQ63" s="252"/>
      <c r="RR63" s="252"/>
      <c r="RS63" s="252"/>
      <c r="RT63" s="252"/>
      <c r="RU63" s="252"/>
      <c r="RV63" s="252"/>
      <c r="RW63" s="252"/>
      <c r="RX63" s="252"/>
      <c r="RY63" s="252"/>
      <c r="RZ63" s="252"/>
      <c r="SA63" s="252"/>
      <c r="SB63" s="252"/>
      <c r="SC63" s="252"/>
      <c r="SD63" s="252"/>
      <c r="SE63" s="252"/>
      <c r="SF63" s="252"/>
      <c r="SG63" s="252"/>
      <c r="SH63" s="252"/>
      <c r="SI63" s="252"/>
      <c r="SJ63" s="252"/>
      <c r="SK63" s="252"/>
      <c r="SL63" s="252"/>
      <c r="SM63" s="252"/>
      <c r="SN63" s="252"/>
    </row>
    <row r="64" spans="1:508" s="243" customFormat="1" ht="15.6" customHeight="1" x14ac:dyDescent="0.55000000000000004">
      <c r="A64" s="220" t="str" cm="1">
        <f t="array" ref="A64">_xlfn.IFS(LEFT('Monthly Update'!A64, 3) = "*((", "", 'Monthly Update'!A64="", "", TRUE, 'Monthly Update'!A64)</f>
        <v/>
      </c>
      <c r="B64" s="220" t="str" cm="1">
        <f t="array" ref="B64">_xlfn.IFS(LEFT('Monthly Update'!B64, 3) = "*((", "", 'Monthly Update'!B64="", "", TRUE, 'Monthly Update'!B64)</f>
        <v/>
      </c>
      <c r="C64" s="221" t="str" cm="1">
        <f t="array" ref="C64">_xlfn.IFS(LEFT('Monthly Update'!CU64, 3) = "*((", "", 'Monthly Update'!CU64="", "", TRUE, 'Monthly Update'!CU64)</f>
        <v/>
      </c>
      <c r="D64" s="221" t="str" cm="1">
        <f t="array" ref="D64">_xlfn.IFS(LEFT('Monthly Update'!CV64, 3) = "*((", "", 'Monthly Update'!CV64="", "", TRUE, 'Monthly Update'!CV64)</f>
        <v/>
      </c>
      <c r="E64" s="221" t="str" cm="1">
        <f t="array" ref="E64">_xlfn.IFS(LEFT('Monthly Update'!CW64, 3) = "*((", "", 'Monthly Update'!CW64="", "", TRUE, 'Monthly Update'!CW64)</f>
        <v/>
      </c>
      <c r="F64" s="221" t="str" cm="1">
        <f t="array" ref="F64">_xlfn.IFS(LEFT('Monthly Update'!CX64, 3) = "*((", "", 'Monthly Update'!CX64="", "", TRUE, 'Monthly Update'!CX64)</f>
        <v/>
      </c>
      <c r="G64" s="221" t="str" cm="1">
        <f t="array" ref="G64">_xlfn.IFS(LEFT('Monthly Update'!CY64, 3) = "*((", "", 'Monthly Update'!CY64="", "", TRUE, 'Monthly Update'!CY64)</f>
        <v/>
      </c>
      <c r="H64" s="221" t="str" cm="1">
        <f t="array" ref="H64">_xlfn.IFS(LEFT('Monthly Update'!CZ64, 3) = "*((", "", 'Monthly Update'!CZ64="", "", TRUE, 'Monthly Update'!CZ64)</f>
        <v/>
      </c>
      <c r="I64" s="221" t="str" cm="1">
        <f t="array" ref="I64">_xlfn.IFS(LEFT('Monthly Update'!DA64, 3) = "*((", "", 'Monthly Update'!DA64="", "", TRUE, 'Monthly Update'!DA64)</f>
        <v/>
      </c>
      <c r="J64" s="221" t="str" cm="1">
        <f t="array" ref="J64">_xlfn.IFS(LEFT('Monthly Update'!DB64, 3) = "*((", "", 'Monthly Update'!DB64="", "", TRUE, 'Monthly Update'!DB64)</f>
        <v/>
      </c>
      <c r="K64" s="221" t="str" cm="1">
        <f t="array" ref="K64">_xlfn.IFS(LEFT('Monthly Update'!DC64, 3) = "*((", "", 'Monthly Update'!DC64="", "", TRUE, 'Monthly Update'!DC64)</f>
        <v/>
      </c>
      <c r="L64" s="221" t="str" cm="1">
        <f t="array" ref="L64">_xlfn.IFS(LEFT('Monthly Update'!DD64, 3) = "*((", "", 'Monthly Update'!DD64="", "", TRUE, 'Monthly Update'!DD64)</f>
        <v/>
      </c>
      <c r="M64" s="221" t="str" cm="1">
        <f t="array" ref="M64">_xlfn.IFS(LEFT('Monthly Update'!DE64, 3) = "*((", "", 'Monthly Update'!DE64="", "", TRUE, 'Monthly Update'!DE64)</f>
        <v/>
      </c>
      <c r="N64" s="221" t="str" cm="1">
        <f t="array" ref="N64">_xlfn.IFS(LEFT('Monthly Update'!DF64, 3) = "*((", "", 'Monthly Update'!DF64="", "", TRUE, 'Monthly Update'!DF64)</f>
        <v/>
      </c>
      <c r="O64" s="221" t="str" cm="1">
        <f t="array" ref="O64">_xlfn.IFS(LEFT('Monthly Update'!DG64, 3) = "*((", "", 'Monthly Update'!DG64="", "", TRUE, 'Monthly Update'!DG64)</f>
        <v/>
      </c>
      <c r="P64" s="221" t="str" cm="1">
        <f t="array" ref="P64">_xlfn.IFS(LEFT('Monthly Update'!DH64, 3) = "*((", "", 'Monthly Update'!DH64="", "", TRUE, 'Monthly Update'!DH64)</f>
        <v/>
      </c>
      <c r="Q64" s="221" t="str" cm="1">
        <f t="array" ref="Q64">_xlfn.IFS(LEFT('Monthly Update'!DI64, 3) = "*((", "", 'Monthly Update'!DI64="", "", TRUE, 'Monthly Update'!DI64)</f>
        <v/>
      </c>
      <c r="R64" s="221" t="str" cm="1">
        <f t="array" ref="R64">_xlfn.IFS(LEFT('Monthly Update'!DJ64, 3) = "*((", "", 'Monthly Update'!DJ64="", "", TRUE, 'Monthly Update'!DJ64)</f>
        <v/>
      </c>
      <c r="S64" s="221" t="str" cm="1">
        <f t="array" ref="S64">_xlfn.IFS(LEFT('Monthly Update'!DK64, 3) = "*((", "", 'Monthly Update'!DK64="", "", TRUE, 'Monthly Update'!DK64)</f>
        <v/>
      </c>
      <c r="T64" s="221" t="str" cm="1">
        <f t="array" ref="T64">_xlfn.IFS(LEFT('Monthly Update'!DL64, 3) = "*((", "", 'Monthly Update'!DL64="", "", TRUE, 'Monthly Update'!DL64)</f>
        <v/>
      </c>
      <c r="U64" s="221" t="str" cm="1">
        <f t="array" ref="U64">_xlfn.IFS(LEFT('Monthly Update'!DM64, 3) = "*((", "", 'Monthly Update'!DM64="", "", TRUE, 'Monthly Update'!DM64)</f>
        <v/>
      </c>
      <c r="V64" s="221" t="str" cm="1">
        <f t="array" ref="V64">_xlfn.IFS(LEFT('Monthly Update'!DN64, 3) = "*((", "", 'Monthly Update'!DN64="", "", TRUE, 'Monthly Update'!DN64)</f>
        <v/>
      </c>
      <c r="W64" s="221" t="str" cm="1">
        <f t="array" ref="W64">_xlfn.IFS(LEFT('Monthly Update'!DO64, 3) = "*((", "", 'Monthly Update'!DO64="", "", TRUE, 'Monthly Update'!DO64)</f>
        <v/>
      </c>
      <c r="X64" s="221" t="str" cm="1">
        <f t="array" ref="X64">_xlfn.IFS(LEFT('Monthly Update'!DP64, 3) = "*((", "", 'Monthly Update'!DP64="", "", TRUE, 'Monthly Update'!DP64)</f>
        <v/>
      </c>
      <c r="Y64" s="221" t="str" cm="1">
        <f t="array" ref="Y64">_xlfn.IFS(LEFT('Monthly Update'!DQ64, 3) = "*((", "", 'Monthly Update'!DQ64="", "", TRUE, 'Monthly Update'!DQ64)</f>
        <v/>
      </c>
      <c r="Z64" s="221" t="str" cm="1">
        <f t="array" ref="Z64">_xlfn.IFS(LEFT('Monthly Update'!DR64, 3) = "*((", "", 'Monthly Update'!DR64="", "", TRUE, 'Monthly Update'!DR64)</f>
        <v/>
      </c>
      <c r="AA64" s="221" t="str" cm="1">
        <f t="array" ref="AA64">_xlfn.IFS(LEFT('Monthly Update'!DS64, 3) = "*((", "", 'Monthly Update'!DS64="", "", TRUE, 'Monthly Update'!DS64)</f>
        <v/>
      </c>
      <c r="AB64" s="221" t="str" cm="1">
        <f t="array" ref="AB64">_xlfn.IFS(LEFT('Monthly Update'!DT64, 3) = "*((", "", 'Monthly Update'!DT64="", "", TRUE, 'Monthly Update'!DT64)</f>
        <v/>
      </c>
      <c r="AC64" s="221" t="str" cm="1">
        <f t="array" ref="AC64">_xlfn.IFS(LEFT('Monthly Update'!DU64, 3) = "*((", "", 'Monthly Update'!DU64="", "", TRUE, 'Monthly Update'!DU64)</f>
        <v/>
      </c>
      <c r="AD64" s="221" t="str" cm="1">
        <f t="array" ref="AD64">_xlfn.IFS(LEFT('Monthly Update'!DV64, 3) = "*((", "", 'Monthly Update'!DV64="", "", TRUE, 'Monthly Update'!DV64)</f>
        <v/>
      </c>
      <c r="AE64" s="221" t="str" cm="1">
        <f t="array" ref="AE64">_xlfn.IFS(LEFT('Monthly Update'!DW64, 3) = "*((", "", 'Monthly Update'!DW64="", "", TRUE, 'Monthly Update'!DW64)</f>
        <v/>
      </c>
      <c r="AF64" s="221" t="str" cm="1">
        <f t="array" ref="AF64">_xlfn.IFS(LEFT('Monthly Update'!DX64, 3) = "*((", "", 'Monthly Update'!DX64="", "", TRUE, 'Monthly Update'!DX64)</f>
        <v/>
      </c>
      <c r="AG64" s="221" t="str" cm="1">
        <f t="array" ref="AG64">_xlfn.IFS(LEFT('Monthly Update'!DY64, 3) = "*((", "", 'Monthly Update'!DY64="", "", TRUE, 'Monthly Update'!DY64)</f>
        <v/>
      </c>
      <c r="AH64" s="221" t="str" cm="1">
        <f t="array" ref="AH64">_xlfn.IFS(LEFT('Monthly Update'!DZ64, 3) = "*((", "", 'Monthly Update'!DZ64="", "", TRUE, 'Monthly Update'!DZ64)</f>
        <v/>
      </c>
      <c r="AI64" s="221" t="str" cm="1">
        <f t="array" ref="AI64">_xlfn.IFS(LEFT('Monthly Update'!EA64, 3) = "*((", "", 'Monthly Update'!EA64="", "", TRUE, 'Monthly Update'!EA64)</f>
        <v/>
      </c>
      <c r="AJ64" s="221" t="str" cm="1">
        <f t="array" ref="AJ64">_xlfn.IFS(LEFT('Monthly Update'!EB64, 3) = "*((", "", 'Monthly Update'!EB64="", "", TRUE, 'Monthly Update'!EB64)</f>
        <v/>
      </c>
      <c r="AK64" s="221" t="str" cm="1">
        <f t="array" ref="AK64">_xlfn.IFS(LEFT('Monthly Update'!EC64, 3) = "*((", "", 'Monthly Update'!EC64="", "", TRUE, 'Monthly Update'!EC64)</f>
        <v/>
      </c>
      <c r="AL64" s="221" t="str" cm="1">
        <f t="array" ref="AL64">_xlfn.IFS(LEFT('Monthly Update'!ED64, 3) = "*((", "", 'Monthly Update'!ED64="", "", TRUE, 'Monthly Update'!ED64)</f>
        <v/>
      </c>
      <c r="AM64" s="221" t="str" cm="1">
        <f t="array" ref="AM64">_xlfn.IFS(LEFT('Monthly Update'!EE64, 3) = "*((", "", 'Monthly Update'!EE64="", "", TRUE, 'Monthly Update'!EE64)</f>
        <v/>
      </c>
      <c r="AN64" s="221" t="str" cm="1">
        <f t="array" ref="AN64">_xlfn.IFS(LEFT('Monthly Update'!EF64, 3) = "*((", "", 'Monthly Update'!EF64="", "", TRUE, 'Monthly Update'!EF64)</f>
        <v/>
      </c>
      <c r="AO64" s="221" t="str" cm="1">
        <f t="array" ref="AO64">_xlfn.IFS(LEFT('Monthly Update'!EG64, 3) = "*((", "", 'Monthly Update'!EG64="", "", TRUE, 'Monthly Update'!EG64)</f>
        <v/>
      </c>
      <c r="AP64" s="221" t="str" cm="1">
        <f t="array" ref="AP64">_xlfn.IFS(LEFT('Monthly Update'!EH64, 3) = "*((", "", 'Monthly Update'!EH64="", "", TRUE, 'Monthly Update'!EH64)</f>
        <v/>
      </c>
      <c r="AQ64" s="221" t="str" cm="1">
        <f t="array" ref="AQ64">_xlfn.IFS(LEFT('Monthly Update'!EI64, 3) = "*((", "", 'Monthly Update'!EI64="", "", TRUE, 'Monthly Update'!EI64)</f>
        <v/>
      </c>
      <c r="AR64" s="221" t="str" cm="1">
        <f t="array" ref="AR64">_xlfn.IFS(LEFT('Monthly Update'!EJ64, 3) = "*((", "", 'Monthly Update'!EJ64="", "", TRUE, 'Monthly Update'!EJ64)</f>
        <v/>
      </c>
      <c r="AS64" s="221" t="str" cm="1">
        <f t="array" ref="AS64">_xlfn.IFS(LEFT('Monthly Update'!EK64, 3) = "*((", "", 'Monthly Update'!EK64="", "", TRUE, 'Monthly Update'!EK64)</f>
        <v/>
      </c>
      <c r="AT64" s="221" t="str" cm="1">
        <f t="array" ref="AT64">_xlfn.IFS(LEFT('Monthly Update'!EL64, 3) = "*((", "", 'Monthly Update'!EL64="", "", TRUE, 'Monthly Update'!EL64)</f>
        <v/>
      </c>
      <c r="AU64" s="221" t="str" cm="1">
        <f t="array" ref="AU64">_xlfn.IFS(LEFT('Monthly Update'!EM64, 3) = "*((", "", 'Monthly Update'!EM64="", "", TRUE, 'Monthly Update'!EM64)</f>
        <v/>
      </c>
      <c r="AV64" s="221" t="str" cm="1">
        <f t="array" ref="AV64">_xlfn.IFS(LEFT('Monthly Update'!EN64, 3) = "*((", "", 'Monthly Update'!EN64="", "", TRUE, 'Monthly Update'!EN64)</f>
        <v/>
      </c>
      <c r="AW64" s="221" t="str" cm="1">
        <f t="array" ref="AW64">_xlfn.IFS(LEFT('Monthly Update'!EO64, 3) = "*((", "", 'Monthly Update'!EO64="", "", TRUE, 'Monthly Update'!EO64)</f>
        <v/>
      </c>
      <c r="NU64" s="252"/>
      <c r="NV64" s="252"/>
      <c r="NW64" s="252"/>
      <c r="NX64" s="252"/>
      <c r="NY64" s="252"/>
      <c r="NZ64" s="252"/>
      <c r="OA64" s="252"/>
      <c r="OB64" s="252"/>
      <c r="OC64" s="252"/>
      <c r="OD64" s="252"/>
      <c r="OE64" s="252"/>
      <c r="OF64" s="252"/>
      <c r="OG64" s="252"/>
      <c r="OH64" s="252"/>
      <c r="OI64" s="252"/>
      <c r="OJ64" s="252"/>
      <c r="OK64" s="252"/>
      <c r="OL64" s="252"/>
      <c r="OM64" s="252"/>
      <c r="ON64" s="252"/>
      <c r="OO64" s="252"/>
      <c r="OP64" s="252"/>
      <c r="OQ64" s="252"/>
      <c r="OR64" s="252"/>
      <c r="OS64" s="252"/>
      <c r="OT64" s="252"/>
      <c r="OU64" s="252"/>
      <c r="OV64" s="252"/>
      <c r="OW64" s="252"/>
      <c r="OX64" s="252"/>
      <c r="OY64" s="252"/>
      <c r="OZ64" s="252"/>
      <c r="PA64" s="252"/>
      <c r="PB64" s="252"/>
      <c r="PC64" s="252"/>
      <c r="PD64" s="252"/>
      <c r="PE64" s="252"/>
      <c r="PF64" s="252"/>
      <c r="PG64" s="252"/>
      <c r="PH64" s="252"/>
      <c r="PI64" s="252"/>
      <c r="PJ64" s="252"/>
      <c r="PK64" s="252"/>
      <c r="PL64" s="252"/>
      <c r="PM64" s="252"/>
      <c r="PN64" s="252"/>
      <c r="PO64" s="252"/>
      <c r="PP64" s="252"/>
      <c r="PQ64" s="252"/>
      <c r="PR64" s="252"/>
      <c r="PS64" s="252"/>
      <c r="PT64" s="252"/>
      <c r="PU64" s="252"/>
      <c r="PV64" s="252"/>
      <c r="PW64" s="252"/>
      <c r="PX64" s="252"/>
      <c r="PY64" s="252"/>
      <c r="PZ64" s="252"/>
      <c r="QA64" s="252"/>
      <c r="QB64" s="252"/>
      <c r="QC64" s="252"/>
      <c r="QD64" s="252"/>
      <c r="QE64" s="252"/>
      <c r="QF64" s="252"/>
      <c r="QG64" s="252"/>
      <c r="QH64" s="252"/>
      <c r="QI64" s="252"/>
      <c r="QJ64" s="252"/>
      <c r="QK64" s="252"/>
      <c r="QL64" s="252"/>
      <c r="QM64" s="252"/>
      <c r="QN64" s="252"/>
      <c r="QO64" s="252"/>
      <c r="QP64" s="252"/>
      <c r="QQ64" s="252"/>
      <c r="QR64" s="252"/>
      <c r="QS64" s="252"/>
      <c r="QT64" s="252"/>
      <c r="QU64" s="252"/>
      <c r="QV64" s="252"/>
      <c r="QW64" s="252"/>
      <c r="QX64" s="252"/>
      <c r="QY64" s="252"/>
      <c r="QZ64" s="252"/>
      <c r="RA64" s="252"/>
      <c r="RB64" s="252"/>
      <c r="RC64" s="252"/>
      <c r="RD64" s="252"/>
      <c r="RE64" s="252"/>
      <c r="RF64" s="252"/>
      <c r="RG64" s="252"/>
      <c r="RH64" s="252"/>
      <c r="RI64" s="252"/>
      <c r="RJ64" s="252"/>
      <c r="RK64" s="252"/>
      <c r="RL64" s="252"/>
      <c r="RM64" s="252"/>
      <c r="RN64" s="252"/>
      <c r="RO64" s="252"/>
      <c r="RP64" s="252"/>
      <c r="RQ64" s="252"/>
      <c r="RR64" s="252"/>
      <c r="RS64" s="252"/>
      <c r="RT64" s="252"/>
      <c r="RU64" s="252"/>
      <c r="RV64" s="252"/>
      <c r="RW64" s="252"/>
      <c r="RX64" s="252"/>
      <c r="RY64" s="252"/>
      <c r="RZ64" s="252"/>
      <c r="SA64" s="252"/>
      <c r="SB64" s="252"/>
      <c r="SC64" s="252"/>
      <c r="SD64" s="252"/>
      <c r="SE64" s="252"/>
      <c r="SF64" s="252"/>
      <c r="SG64" s="252"/>
      <c r="SH64" s="252"/>
      <c r="SI64" s="252"/>
      <c r="SJ64" s="252"/>
      <c r="SK64" s="252"/>
      <c r="SL64" s="252"/>
      <c r="SM64" s="252"/>
      <c r="SN64" s="252"/>
    </row>
    <row r="65" spans="1:508" s="243" customFormat="1" ht="15.6" customHeight="1" x14ac:dyDescent="0.55000000000000004">
      <c r="A65" s="220" t="str" cm="1">
        <f t="array" ref="A65">_xlfn.IFS(LEFT('Monthly Update'!A65, 3) = "*((", "", 'Monthly Update'!A65="", "", TRUE, 'Monthly Update'!A65)</f>
        <v/>
      </c>
      <c r="B65" s="220" t="str" cm="1">
        <f t="array" ref="B65">_xlfn.IFS(LEFT('Monthly Update'!B65, 3) = "*((", "", 'Monthly Update'!B65="", "", TRUE, 'Monthly Update'!B65)</f>
        <v/>
      </c>
      <c r="C65" s="221" t="str" cm="1">
        <f t="array" ref="C65">_xlfn.IFS(LEFT('Monthly Update'!CU65, 3) = "*((", "", 'Monthly Update'!CU65="", "", TRUE, 'Monthly Update'!CU65)</f>
        <v/>
      </c>
      <c r="D65" s="221" t="str" cm="1">
        <f t="array" ref="D65">_xlfn.IFS(LEFT('Monthly Update'!CV65, 3) = "*((", "", 'Monthly Update'!CV65="", "", TRUE, 'Monthly Update'!CV65)</f>
        <v/>
      </c>
      <c r="E65" s="221" t="str" cm="1">
        <f t="array" ref="E65">_xlfn.IFS(LEFT('Monthly Update'!CW65, 3) = "*((", "", 'Monthly Update'!CW65="", "", TRUE, 'Monthly Update'!CW65)</f>
        <v/>
      </c>
      <c r="F65" s="221" t="str" cm="1">
        <f t="array" ref="F65">_xlfn.IFS(LEFT('Monthly Update'!CX65, 3) = "*((", "", 'Monthly Update'!CX65="", "", TRUE, 'Monthly Update'!CX65)</f>
        <v/>
      </c>
      <c r="G65" s="221" t="str" cm="1">
        <f t="array" ref="G65">_xlfn.IFS(LEFT('Monthly Update'!CY65, 3) = "*((", "", 'Monthly Update'!CY65="", "", TRUE, 'Monthly Update'!CY65)</f>
        <v/>
      </c>
      <c r="H65" s="221" t="str" cm="1">
        <f t="array" ref="H65">_xlfn.IFS(LEFT('Monthly Update'!CZ65, 3) = "*((", "", 'Monthly Update'!CZ65="", "", TRUE, 'Monthly Update'!CZ65)</f>
        <v/>
      </c>
      <c r="I65" s="221" t="str" cm="1">
        <f t="array" ref="I65">_xlfn.IFS(LEFT('Monthly Update'!DA65, 3) = "*((", "", 'Monthly Update'!DA65="", "", TRUE, 'Monthly Update'!DA65)</f>
        <v/>
      </c>
      <c r="J65" s="221" t="str" cm="1">
        <f t="array" ref="J65">_xlfn.IFS(LEFT('Monthly Update'!DB65, 3) = "*((", "", 'Monthly Update'!DB65="", "", TRUE, 'Monthly Update'!DB65)</f>
        <v/>
      </c>
      <c r="K65" s="221" t="str" cm="1">
        <f t="array" ref="K65">_xlfn.IFS(LEFT('Monthly Update'!DC65, 3) = "*((", "", 'Monthly Update'!DC65="", "", TRUE, 'Monthly Update'!DC65)</f>
        <v/>
      </c>
      <c r="L65" s="221" t="str" cm="1">
        <f t="array" ref="L65">_xlfn.IFS(LEFT('Monthly Update'!DD65, 3) = "*((", "", 'Monthly Update'!DD65="", "", TRUE, 'Monthly Update'!DD65)</f>
        <v/>
      </c>
      <c r="M65" s="221" t="str" cm="1">
        <f t="array" ref="M65">_xlfn.IFS(LEFT('Monthly Update'!DE65, 3) = "*((", "", 'Monthly Update'!DE65="", "", TRUE, 'Monthly Update'!DE65)</f>
        <v/>
      </c>
      <c r="N65" s="221" t="str" cm="1">
        <f t="array" ref="N65">_xlfn.IFS(LEFT('Monthly Update'!DF65, 3) = "*((", "", 'Monthly Update'!DF65="", "", TRUE, 'Monthly Update'!DF65)</f>
        <v/>
      </c>
      <c r="O65" s="221" t="str" cm="1">
        <f t="array" ref="O65">_xlfn.IFS(LEFT('Monthly Update'!DG65, 3) = "*((", "", 'Monthly Update'!DG65="", "", TRUE, 'Monthly Update'!DG65)</f>
        <v/>
      </c>
      <c r="P65" s="221" t="str" cm="1">
        <f t="array" ref="P65">_xlfn.IFS(LEFT('Monthly Update'!DH65, 3) = "*((", "", 'Monthly Update'!DH65="", "", TRUE, 'Monthly Update'!DH65)</f>
        <v/>
      </c>
      <c r="Q65" s="221" t="str" cm="1">
        <f t="array" ref="Q65">_xlfn.IFS(LEFT('Monthly Update'!DI65, 3) = "*((", "", 'Monthly Update'!DI65="", "", TRUE, 'Monthly Update'!DI65)</f>
        <v/>
      </c>
      <c r="R65" s="221" t="str" cm="1">
        <f t="array" ref="R65">_xlfn.IFS(LEFT('Monthly Update'!DJ65, 3) = "*((", "", 'Monthly Update'!DJ65="", "", TRUE, 'Monthly Update'!DJ65)</f>
        <v/>
      </c>
      <c r="S65" s="221" t="str" cm="1">
        <f t="array" ref="S65">_xlfn.IFS(LEFT('Monthly Update'!DK65, 3) = "*((", "", 'Monthly Update'!DK65="", "", TRUE, 'Monthly Update'!DK65)</f>
        <v/>
      </c>
      <c r="T65" s="221" t="str" cm="1">
        <f t="array" ref="T65">_xlfn.IFS(LEFT('Monthly Update'!DL65, 3) = "*((", "", 'Monthly Update'!DL65="", "", TRUE, 'Monthly Update'!DL65)</f>
        <v/>
      </c>
      <c r="U65" s="221" t="str" cm="1">
        <f t="array" ref="U65">_xlfn.IFS(LEFT('Monthly Update'!DM65, 3) = "*((", "", 'Monthly Update'!DM65="", "", TRUE, 'Monthly Update'!DM65)</f>
        <v/>
      </c>
      <c r="V65" s="221" t="str" cm="1">
        <f t="array" ref="V65">_xlfn.IFS(LEFT('Monthly Update'!DN65, 3) = "*((", "", 'Monthly Update'!DN65="", "", TRUE, 'Monthly Update'!DN65)</f>
        <v/>
      </c>
      <c r="W65" s="221" t="str" cm="1">
        <f t="array" ref="W65">_xlfn.IFS(LEFT('Monthly Update'!DO65, 3) = "*((", "", 'Monthly Update'!DO65="", "", TRUE, 'Monthly Update'!DO65)</f>
        <v/>
      </c>
      <c r="X65" s="221" t="str" cm="1">
        <f t="array" ref="X65">_xlfn.IFS(LEFT('Monthly Update'!DP65, 3) = "*((", "", 'Monthly Update'!DP65="", "", TRUE, 'Monthly Update'!DP65)</f>
        <v/>
      </c>
      <c r="Y65" s="221" t="str" cm="1">
        <f t="array" ref="Y65">_xlfn.IFS(LEFT('Monthly Update'!DQ65, 3) = "*((", "", 'Monthly Update'!DQ65="", "", TRUE, 'Monthly Update'!DQ65)</f>
        <v/>
      </c>
      <c r="Z65" s="221" t="str" cm="1">
        <f t="array" ref="Z65">_xlfn.IFS(LEFT('Monthly Update'!DR65, 3) = "*((", "", 'Monthly Update'!DR65="", "", TRUE, 'Monthly Update'!DR65)</f>
        <v/>
      </c>
      <c r="AA65" s="221" t="str" cm="1">
        <f t="array" ref="AA65">_xlfn.IFS(LEFT('Monthly Update'!DS65, 3) = "*((", "", 'Monthly Update'!DS65="", "", TRUE, 'Monthly Update'!DS65)</f>
        <v/>
      </c>
      <c r="AB65" s="221" t="str" cm="1">
        <f t="array" ref="AB65">_xlfn.IFS(LEFT('Monthly Update'!DT65, 3) = "*((", "", 'Monthly Update'!DT65="", "", TRUE, 'Monthly Update'!DT65)</f>
        <v/>
      </c>
      <c r="AC65" s="221" t="str" cm="1">
        <f t="array" ref="AC65">_xlfn.IFS(LEFT('Monthly Update'!DU65, 3) = "*((", "", 'Monthly Update'!DU65="", "", TRUE, 'Monthly Update'!DU65)</f>
        <v/>
      </c>
      <c r="AD65" s="221" t="str" cm="1">
        <f t="array" ref="AD65">_xlfn.IFS(LEFT('Monthly Update'!DV65, 3) = "*((", "", 'Monthly Update'!DV65="", "", TRUE, 'Monthly Update'!DV65)</f>
        <v/>
      </c>
      <c r="AE65" s="221" t="str" cm="1">
        <f t="array" ref="AE65">_xlfn.IFS(LEFT('Monthly Update'!DW65, 3) = "*((", "", 'Monthly Update'!DW65="", "", TRUE, 'Monthly Update'!DW65)</f>
        <v/>
      </c>
      <c r="AF65" s="221" t="str" cm="1">
        <f t="array" ref="AF65">_xlfn.IFS(LEFT('Monthly Update'!DX65, 3) = "*((", "", 'Monthly Update'!DX65="", "", TRUE, 'Monthly Update'!DX65)</f>
        <v/>
      </c>
      <c r="AG65" s="221" t="str" cm="1">
        <f t="array" ref="AG65">_xlfn.IFS(LEFT('Monthly Update'!DY65, 3) = "*((", "", 'Monthly Update'!DY65="", "", TRUE, 'Monthly Update'!DY65)</f>
        <v/>
      </c>
      <c r="AH65" s="221" t="str" cm="1">
        <f t="array" ref="AH65">_xlfn.IFS(LEFT('Monthly Update'!DZ65, 3) = "*((", "", 'Monthly Update'!DZ65="", "", TRUE, 'Monthly Update'!DZ65)</f>
        <v/>
      </c>
      <c r="AI65" s="221" t="str" cm="1">
        <f t="array" ref="AI65">_xlfn.IFS(LEFT('Monthly Update'!EA65, 3) = "*((", "", 'Monthly Update'!EA65="", "", TRUE, 'Monthly Update'!EA65)</f>
        <v/>
      </c>
      <c r="AJ65" s="221" t="str" cm="1">
        <f t="array" ref="AJ65">_xlfn.IFS(LEFT('Monthly Update'!EB65, 3) = "*((", "", 'Monthly Update'!EB65="", "", TRUE, 'Monthly Update'!EB65)</f>
        <v/>
      </c>
      <c r="AK65" s="221" t="str" cm="1">
        <f t="array" ref="AK65">_xlfn.IFS(LEFT('Monthly Update'!EC65, 3) = "*((", "", 'Monthly Update'!EC65="", "", TRUE, 'Monthly Update'!EC65)</f>
        <v/>
      </c>
      <c r="AL65" s="221" t="str" cm="1">
        <f t="array" ref="AL65">_xlfn.IFS(LEFT('Monthly Update'!ED65, 3) = "*((", "", 'Monthly Update'!ED65="", "", TRUE, 'Monthly Update'!ED65)</f>
        <v/>
      </c>
      <c r="AM65" s="221" t="str" cm="1">
        <f t="array" ref="AM65">_xlfn.IFS(LEFT('Monthly Update'!EE65, 3) = "*((", "", 'Monthly Update'!EE65="", "", TRUE, 'Monthly Update'!EE65)</f>
        <v/>
      </c>
      <c r="AN65" s="221" t="str" cm="1">
        <f t="array" ref="AN65">_xlfn.IFS(LEFT('Monthly Update'!EF65, 3) = "*((", "", 'Monthly Update'!EF65="", "", TRUE, 'Monthly Update'!EF65)</f>
        <v/>
      </c>
      <c r="AO65" s="221" t="str" cm="1">
        <f t="array" ref="AO65">_xlfn.IFS(LEFT('Monthly Update'!EG65, 3) = "*((", "", 'Monthly Update'!EG65="", "", TRUE, 'Monthly Update'!EG65)</f>
        <v/>
      </c>
      <c r="AP65" s="221" t="str" cm="1">
        <f t="array" ref="AP65">_xlfn.IFS(LEFT('Monthly Update'!EH65, 3) = "*((", "", 'Monthly Update'!EH65="", "", TRUE, 'Monthly Update'!EH65)</f>
        <v/>
      </c>
      <c r="AQ65" s="221" t="str" cm="1">
        <f t="array" ref="AQ65">_xlfn.IFS(LEFT('Monthly Update'!EI65, 3) = "*((", "", 'Monthly Update'!EI65="", "", TRUE, 'Monthly Update'!EI65)</f>
        <v/>
      </c>
      <c r="AR65" s="221" t="str" cm="1">
        <f t="array" ref="AR65">_xlfn.IFS(LEFT('Monthly Update'!EJ65, 3) = "*((", "", 'Monthly Update'!EJ65="", "", TRUE, 'Monthly Update'!EJ65)</f>
        <v/>
      </c>
      <c r="AS65" s="221" t="str" cm="1">
        <f t="array" ref="AS65">_xlfn.IFS(LEFT('Monthly Update'!EK65, 3) = "*((", "", 'Monthly Update'!EK65="", "", TRUE, 'Monthly Update'!EK65)</f>
        <v/>
      </c>
      <c r="AT65" s="221" t="str" cm="1">
        <f t="array" ref="AT65">_xlfn.IFS(LEFT('Monthly Update'!EL65, 3) = "*((", "", 'Monthly Update'!EL65="", "", TRUE, 'Monthly Update'!EL65)</f>
        <v/>
      </c>
      <c r="AU65" s="221" t="str" cm="1">
        <f t="array" ref="AU65">_xlfn.IFS(LEFT('Monthly Update'!EM65, 3) = "*((", "", 'Monthly Update'!EM65="", "", TRUE, 'Monthly Update'!EM65)</f>
        <v/>
      </c>
      <c r="AV65" s="221" t="str" cm="1">
        <f t="array" ref="AV65">_xlfn.IFS(LEFT('Monthly Update'!EN65, 3) = "*((", "", 'Monthly Update'!EN65="", "", TRUE, 'Monthly Update'!EN65)</f>
        <v/>
      </c>
      <c r="AW65" s="221" t="str" cm="1">
        <f t="array" ref="AW65">_xlfn.IFS(LEFT('Monthly Update'!EO65, 3) = "*((", "", 'Monthly Update'!EO65="", "", TRUE, 'Monthly Update'!EO65)</f>
        <v/>
      </c>
      <c r="NU65" s="252"/>
      <c r="NV65" s="252"/>
      <c r="NW65" s="252"/>
      <c r="NX65" s="252"/>
      <c r="NY65" s="252"/>
      <c r="NZ65" s="252"/>
      <c r="OA65" s="252"/>
      <c r="OB65" s="252"/>
      <c r="OC65" s="252"/>
      <c r="OD65" s="252"/>
      <c r="OE65" s="252"/>
      <c r="OF65" s="252"/>
      <c r="OG65" s="252"/>
      <c r="OH65" s="252"/>
      <c r="OI65" s="252"/>
      <c r="OJ65" s="252"/>
      <c r="OK65" s="252"/>
      <c r="OL65" s="252"/>
      <c r="OM65" s="252"/>
      <c r="ON65" s="252"/>
      <c r="OO65" s="252"/>
      <c r="OP65" s="252"/>
      <c r="OQ65" s="252"/>
      <c r="OR65" s="252"/>
      <c r="OS65" s="252"/>
      <c r="OT65" s="252"/>
      <c r="OU65" s="252"/>
      <c r="OV65" s="252"/>
      <c r="OW65" s="252"/>
      <c r="OX65" s="252"/>
      <c r="OY65" s="252"/>
      <c r="OZ65" s="252"/>
      <c r="PA65" s="252"/>
      <c r="PB65" s="252"/>
      <c r="PC65" s="252"/>
      <c r="PD65" s="252"/>
      <c r="PE65" s="252"/>
      <c r="PF65" s="252"/>
      <c r="PG65" s="252"/>
      <c r="PH65" s="252"/>
      <c r="PI65" s="252"/>
      <c r="PJ65" s="252"/>
      <c r="PK65" s="252"/>
      <c r="PL65" s="252"/>
      <c r="PM65" s="252"/>
      <c r="PN65" s="252"/>
      <c r="PO65" s="252"/>
      <c r="PP65" s="252"/>
      <c r="PQ65" s="252"/>
      <c r="PR65" s="252"/>
      <c r="PS65" s="252"/>
      <c r="PT65" s="252"/>
      <c r="PU65" s="252"/>
      <c r="PV65" s="252"/>
      <c r="PW65" s="252"/>
      <c r="PX65" s="252"/>
      <c r="PY65" s="252"/>
      <c r="PZ65" s="252"/>
      <c r="QA65" s="252"/>
      <c r="QB65" s="252"/>
      <c r="QC65" s="252"/>
      <c r="QD65" s="252"/>
      <c r="QE65" s="252"/>
      <c r="QF65" s="252"/>
      <c r="QG65" s="252"/>
      <c r="QH65" s="252"/>
      <c r="QI65" s="252"/>
      <c r="QJ65" s="252"/>
      <c r="QK65" s="252"/>
      <c r="QL65" s="252"/>
      <c r="QM65" s="252"/>
      <c r="QN65" s="252"/>
      <c r="QO65" s="252"/>
      <c r="QP65" s="252"/>
      <c r="QQ65" s="252"/>
      <c r="QR65" s="252"/>
      <c r="QS65" s="252"/>
      <c r="QT65" s="252"/>
      <c r="QU65" s="252"/>
      <c r="QV65" s="252"/>
      <c r="QW65" s="252"/>
      <c r="QX65" s="252"/>
      <c r="QY65" s="252"/>
      <c r="QZ65" s="252"/>
      <c r="RA65" s="252"/>
      <c r="RB65" s="252"/>
      <c r="RC65" s="252"/>
      <c r="RD65" s="252"/>
      <c r="RE65" s="252"/>
      <c r="RF65" s="252"/>
      <c r="RG65" s="252"/>
      <c r="RH65" s="252"/>
      <c r="RI65" s="252"/>
      <c r="RJ65" s="252"/>
      <c r="RK65" s="252"/>
      <c r="RL65" s="252"/>
      <c r="RM65" s="252"/>
      <c r="RN65" s="252"/>
      <c r="RO65" s="252"/>
      <c r="RP65" s="252"/>
      <c r="RQ65" s="252"/>
      <c r="RR65" s="252"/>
      <c r="RS65" s="252"/>
      <c r="RT65" s="252"/>
      <c r="RU65" s="252"/>
      <c r="RV65" s="252"/>
      <c r="RW65" s="252"/>
      <c r="RX65" s="252"/>
      <c r="RY65" s="252"/>
      <c r="RZ65" s="252"/>
      <c r="SA65" s="252"/>
      <c r="SB65" s="252"/>
      <c r="SC65" s="252"/>
      <c r="SD65" s="252"/>
      <c r="SE65" s="252"/>
      <c r="SF65" s="252"/>
      <c r="SG65" s="252"/>
      <c r="SH65" s="252"/>
      <c r="SI65" s="252"/>
      <c r="SJ65" s="252"/>
      <c r="SK65" s="252"/>
      <c r="SL65" s="252"/>
      <c r="SM65" s="252"/>
      <c r="SN65" s="252"/>
    </row>
    <row r="66" spans="1:508" s="243" customFormat="1" ht="15.6" customHeight="1" x14ac:dyDescent="0.55000000000000004">
      <c r="A66" s="220" t="str" cm="1">
        <f t="array" ref="A66">_xlfn.IFS(LEFT('Monthly Update'!A66, 3) = "*((", "", 'Monthly Update'!A66="", "", TRUE, 'Monthly Update'!A66)</f>
        <v/>
      </c>
      <c r="B66" s="220" t="str" cm="1">
        <f t="array" ref="B66">_xlfn.IFS(LEFT('Monthly Update'!B66, 3) = "*((", "", 'Monthly Update'!B66="", "", TRUE, 'Monthly Update'!B66)</f>
        <v/>
      </c>
      <c r="C66" s="221" t="str" cm="1">
        <f t="array" ref="C66">_xlfn.IFS(LEFT('Monthly Update'!CU66, 3) = "*((", "", 'Monthly Update'!CU66="", "", TRUE, 'Monthly Update'!CU66)</f>
        <v/>
      </c>
      <c r="D66" s="221" t="str" cm="1">
        <f t="array" ref="D66">_xlfn.IFS(LEFT('Monthly Update'!CV66, 3) = "*((", "", 'Monthly Update'!CV66="", "", TRUE, 'Monthly Update'!CV66)</f>
        <v/>
      </c>
      <c r="E66" s="221" t="str" cm="1">
        <f t="array" ref="E66">_xlfn.IFS(LEFT('Monthly Update'!CW66, 3) = "*((", "", 'Monthly Update'!CW66="", "", TRUE, 'Monthly Update'!CW66)</f>
        <v/>
      </c>
      <c r="F66" s="221" t="str" cm="1">
        <f t="array" ref="F66">_xlfn.IFS(LEFT('Monthly Update'!CX66, 3) = "*((", "", 'Monthly Update'!CX66="", "", TRUE, 'Monthly Update'!CX66)</f>
        <v/>
      </c>
      <c r="G66" s="221" t="str" cm="1">
        <f t="array" ref="G66">_xlfn.IFS(LEFT('Monthly Update'!CY66, 3) = "*((", "", 'Monthly Update'!CY66="", "", TRUE, 'Monthly Update'!CY66)</f>
        <v/>
      </c>
      <c r="H66" s="221" t="str" cm="1">
        <f t="array" ref="H66">_xlfn.IFS(LEFT('Monthly Update'!CZ66, 3) = "*((", "", 'Monthly Update'!CZ66="", "", TRUE, 'Monthly Update'!CZ66)</f>
        <v/>
      </c>
      <c r="I66" s="221" t="str" cm="1">
        <f t="array" ref="I66">_xlfn.IFS(LEFT('Monthly Update'!DA66, 3) = "*((", "", 'Monthly Update'!DA66="", "", TRUE, 'Monthly Update'!DA66)</f>
        <v/>
      </c>
      <c r="J66" s="221" t="str" cm="1">
        <f t="array" ref="J66">_xlfn.IFS(LEFT('Monthly Update'!DB66, 3) = "*((", "", 'Monthly Update'!DB66="", "", TRUE, 'Monthly Update'!DB66)</f>
        <v/>
      </c>
      <c r="K66" s="221" t="str" cm="1">
        <f t="array" ref="K66">_xlfn.IFS(LEFT('Monthly Update'!DC66, 3) = "*((", "", 'Monthly Update'!DC66="", "", TRUE, 'Monthly Update'!DC66)</f>
        <v/>
      </c>
      <c r="L66" s="221" t="str" cm="1">
        <f t="array" ref="L66">_xlfn.IFS(LEFT('Monthly Update'!DD66, 3) = "*((", "", 'Monthly Update'!DD66="", "", TRUE, 'Monthly Update'!DD66)</f>
        <v/>
      </c>
      <c r="M66" s="221" t="str" cm="1">
        <f t="array" ref="M66">_xlfn.IFS(LEFT('Monthly Update'!DE66, 3) = "*((", "", 'Monthly Update'!DE66="", "", TRUE, 'Monthly Update'!DE66)</f>
        <v/>
      </c>
      <c r="N66" s="221" t="str" cm="1">
        <f t="array" ref="N66">_xlfn.IFS(LEFT('Monthly Update'!DF66, 3) = "*((", "", 'Monthly Update'!DF66="", "", TRUE, 'Monthly Update'!DF66)</f>
        <v/>
      </c>
      <c r="O66" s="221" t="str" cm="1">
        <f t="array" ref="O66">_xlfn.IFS(LEFT('Monthly Update'!DG66, 3) = "*((", "", 'Monthly Update'!DG66="", "", TRUE, 'Monthly Update'!DG66)</f>
        <v/>
      </c>
      <c r="P66" s="221" t="str" cm="1">
        <f t="array" ref="P66">_xlfn.IFS(LEFT('Monthly Update'!DH66, 3) = "*((", "", 'Monthly Update'!DH66="", "", TRUE, 'Monthly Update'!DH66)</f>
        <v/>
      </c>
      <c r="Q66" s="221" t="str" cm="1">
        <f t="array" ref="Q66">_xlfn.IFS(LEFT('Monthly Update'!DI66, 3) = "*((", "", 'Monthly Update'!DI66="", "", TRUE, 'Monthly Update'!DI66)</f>
        <v/>
      </c>
      <c r="R66" s="221" t="str" cm="1">
        <f t="array" ref="R66">_xlfn.IFS(LEFT('Monthly Update'!DJ66, 3) = "*((", "", 'Monthly Update'!DJ66="", "", TRUE, 'Monthly Update'!DJ66)</f>
        <v/>
      </c>
      <c r="S66" s="221" t="str" cm="1">
        <f t="array" ref="S66">_xlfn.IFS(LEFT('Monthly Update'!DK66, 3) = "*((", "", 'Monthly Update'!DK66="", "", TRUE, 'Monthly Update'!DK66)</f>
        <v/>
      </c>
      <c r="T66" s="221" t="str" cm="1">
        <f t="array" ref="T66">_xlfn.IFS(LEFT('Monthly Update'!DL66, 3) = "*((", "", 'Monthly Update'!DL66="", "", TRUE, 'Monthly Update'!DL66)</f>
        <v/>
      </c>
      <c r="U66" s="221" t="str" cm="1">
        <f t="array" ref="U66">_xlfn.IFS(LEFT('Monthly Update'!DM66, 3) = "*((", "", 'Monthly Update'!DM66="", "", TRUE, 'Monthly Update'!DM66)</f>
        <v/>
      </c>
      <c r="V66" s="221" t="str" cm="1">
        <f t="array" ref="V66">_xlfn.IFS(LEFT('Monthly Update'!DN66, 3) = "*((", "", 'Monthly Update'!DN66="", "", TRUE, 'Monthly Update'!DN66)</f>
        <v/>
      </c>
      <c r="W66" s="221" t="str" cm="1">
        <f t="array" ref="W66">_xlfn.IFS(LEFT('Monthly Update'!DO66, 3) = "*((", "", 'Monthly Update'!DO66="", "", TRUE, 'Monthly Update'!DO66)</f>
        <v/>
      </c>
      <c r="X66" s="221" t="str" cm="1">
        <f t="array" ref="X66">_xlfn.IFS(LEFT('Monthly Update'!DP66, 3) = "*((", "", 'Monthly Update'!DP66="", "", TRUE, 'Monthly Update'!DP66)</f>
        <v/>
      </c>
      <c r="Y66" s="221" t="str" cm="1">
        <f t="array" ref="Y66">_xlfn.IFS(LEFT('Monthly Update'!DQ66, 3) = "*((", "", 'Monthly Update'!DQ66="", "", TRUE, 'Monthly Update'!DQ66)</f>
        <v/>
      </c>
      <c r="Z66" s="221" t="str" cm="1">
        <f t="array" ref="Z66">_xlfn.IFS(LEFT('Monthly Update'!DR66, 3) = "*((", "", 'Monthly Update'!DR66="", "", TRUE, 'Monthly Update'!DR66)</f>
        <v/>
      </c>
      <c r="AA66" s="221" t="str" cm="1">
        <f t="array" ref="AA66">_xlfn.IFS(LEFT('Monthly Update'!DS66, 3) = "*((", "", 'Monthly Update'!DS66="", "", TRUE, 'Monthly Update'!DS66)</f>
        <v/>
      </c>
      <c r="AB66" s="221" t="str" cm="1">
        <f t="array" ref="AB66">_xlfn.IFS(LEFT('Monthly Update'!DT66, 3) = "*((", "", 'Monthly Update'!DT66="", "", TRUE, 'Monthly Update'!DT66)</f>
        <v/>
      </c>
      <c r="AC66" s="221" t="str" cm="1">
        <f t="array" ref="AC66">_xlfn.IFS(LEFT('Monthly Update'!DU66, 3) = "*((", "", 'Monthly Update'!DU66="", "", TRUE, 'Monthly Update'!DU66)</f>
        <v/>
      </c>
      <c r="AD66" s="221" t="str" cm="1">
        <f t="array" ref="AD66">_xlfn.IFS(LEFT('Monthly Update'!DV66, 3) = "*((", "", 'Monthly Update'!DV66="", "", TRUE, 'Monthly Update'!DV66)</f>
        <v/>
      </c>
      <c r="AE66" s="221" t="str" cm="1">
        <f t="array" ref="AE66">_xlfn.IFS(LEFT('Monthly Update'!DW66, 3) = "*((", "", 'Monthly Update'!DW66="", "", TRUE, 'Monthly Update'!DW66)</f>
        <v/>
      </c>
      <c r="AF66" s="221" t="str" cm="1">
        <f t="array" ref="AF66">_xlfn.IFS(LEFT('Monthly Update'!DX66, 3) = "*((", "", 'Monthly Update'!DX66="", "", TRUE, 'Monthly Update'!DX66)</f>
        <v/>
      </c>
      <c r="AG66" s="221" t="str" cm="1">
        <f t="array" ref="AG66">_xlfn.IFS(LEFT('Monthly Update'!DY66, 3) = "*((", "", 'Monthly Update'!DY66="", "", TRUE, 'Monthly Update'!DY66)</f>
        <v/>
      </c>
      <c r="AH66" s="221" t="str" cm="1">
        <f t="array" ref="AH66">_xlfn.IFS(LEFT('Monthly Update'!DZ66, 3) = "*((", "", 'Monthly Update'!DZ66="", "", TRUE, 'Monthly Update'!DZ66)</f>
        <v/>
      </c>
      <c r="AI66" s="221" t="str" cm="1">
        <f t="array" ref="AI66">_xlfn.IFS(LEFT('Monthly Update'!EA66, 3) = "*((", "", 'Monthly Update'!EA66="", "", TRUE, 'Monthly Update'!EA66)</f>
        <v/>
      </c>
      <c r="AJ66" s="221" t="str" cm="1">
        <f t="array" ref="AJ66">_xlfn.IFS(LEFT('Monthly Update'!EB66, 3) = "*((", "", 'Monthly Update'!EB66="", "", TRUE, 'Monthly Update'!EB66)</f>
        <v/>
      </c>
      <c r="AK66" s="221" t="str" cm="1">
        <f t="array" ref="AK66">_xlfn.IFS(LEFT('Monthly Update'!EC66, 3) = "*((", "", 'Monthly Update'!EC66="", "", TRUE, 'Monthly Update'!EC66)</f>
        <v/>
      </c>
      <c r="AL66" s="221" t="str" cm="1">
        <f t="array" ref="AL66">_xlfn.IFS(LEFT('Monthly Update'!ED66, 3) = "*((", "", 'Monthly Update'!ED66="", "", TRUE, 'Monthly Update'!ED66)</f>
        <v/>
      </c>
      <c r="AM66" s="221" t="str" cm="1">
        <f t="array" ref="AM66">_xlfn.IFS(LEFT('Monthly Update'!EE66, 3) = "*((", "", 'Monthly Update'!EE66="", "", TRUE, 'Monthly Update'!EE66)</f>
        <v/>
      </c>
      <c r="AN66" s="221" t="str" cm="1">
        <f t="array" ref="AN66">_xlfn.IFS(LEFT('Monthly Update'!EF66, 3) = "*((", "", 'Monthly Update'!EF66="", "", TRUE, 'Monthly Update'!EF66)</f>
        <v/>
      </c>
      <c r="AO66" s="221" t="str" cm="1">
        <f t="array" ref="AO66">_xlfn.IFS(LEFT('Monthly Update'!EG66, 3) = "*((", "", 'Monthly Update'!EG66="", "", TRUE, 'Monthly Update'!EG66)</f>
        <v/>
      </c>
      <c r="AP66" s="221" t="str" cm="1">
        <f t="array" ref="AP66">_xlfn.IFS(LEFT('Monthly Update'!EH66, 3) = "*((", "", 'Monthly Update'!EH66="", "", TRUE, 'Monthly Update'!EH66)</f>
        <v/>
      </c>
      <c r="AQ66" s="221" t="str" cm="1">
        <f t="array" ref="AQ66">_xlfn.IFS(LEFT('Monthly Update'!EI66, 3) = "*((", "", 'Monthly Update'!EI66="", "", TRUE, 'Monthly Update'!EI66)</f>
        <v/>
      </c>
      <c r="AR66" s="221" t="str" cm="1">
        <f t="array" ref="AR66">_xlfn.IFS(LEFT('Monthly Update'!EJ66, 3) = "*((", "", 'Monthly Update'!EJ66="", "", TRUE, 'Monthly Update'!EJ66)</f>
        <v/>
      </c>
      <c r="AS66" s="221" t="str" cm="1">
        <f t="array" ref="AS66">_xlfn.IFS(LEFT('Monthly Update'!EK66, 3) = "*((", "", 'Monthly Update'!EK66="", "", TRUE, 'Monthly Update'!EK66)</f>
        <v/>
      </c>
      <c r="AT66" s="221" t="str" cm="1">
        <f t="array" ref="AT66">_xlfn.IFS(LEFT('Monthly Update'!EL66, 3) = "*((", "", 'Monthly Update'!EL66="", "", TRUE, 'Monthly Update'!EL66)</f>
        <v/>
      </c>
      <c r="AU66" s="221" t="str" cm="1">
        <f t="array" ref="AU66">_xlfn.IFS(LEFT('Monthly Update'!EM66, 3) = "*((", "", 'Monthly Update'!EM66="", "", TRUE, 'Monthly Update'!EM66)</f>
        <v/>
      </c>
      <c r="AV66" s="221" t="str" cm="1">
        <f t="array" ref="AV66">_xlfn.IFS(LEFT('Monthly Update'!EN66, 3) = "*((", "", 'Monthly Update'!EN66="", "", TRUE, 'Monthly Update'!EN66)</f>
        <v/>
      </c>
      <c r="AW66" s="221" t="str" cm="1">
        <f t="array" ref="AW66">_xlfn.IFS(LEFT('Monthly Update'!EO66, 3) = "*((", "", 'Monthly Update'!EO66="", "", TRUE, 'Monthly Update'!EO66)</f>
        <v/>
      </c>
      <c r="NU66" s="252"/>
      <c r="NV66" s="252"/>
      <c r="NW66" s="252"/>
      <c r="NX66" s="252"/>
      <c r="NY66" s="252"/>
      <c r="NZ66" s="252"/>
      <c r="OA66" s="252"/>
      <c r="OB66" s="252"/>
      <c r="OC66" s="252"/>
      <c r="OD66" s="252"/>
      <c r="OE66" s="252"/>
      <c r="OF66" s="252"/>
      <c r="OG66" s="252"/>
      <c r="OH66" s="252"/>
      <c r="OI66" s="252"/>
      <c r="OJ66" s="252"/>
      <c r="OK66" s="252"/>
      <c r="OL66" s="252"/>
      <c r="OM66" s="252"/>
      <c r="ON66" s="252"/>
      <c r="OO66" s="252"/>
      <c r="OP66" s="252"/>
      <c r="OQ66" s="252"/>
      <c r="OR66" s="252"/>
      <c r="OS66" s="252"/>
      <c r="OT66" s="252"/>
      <c r="OU66" s="252"/>
      <c r="OV66" s="252"/>
      <c r="OW66" s="252"/>
      <c r="OX66" s="252"/>
      <c r="OY66" s="252"/>
      <c r="OZ66" s="252"/>
      <c r="PA66" s="252"/>
      <c r="PB66" s="252"/>
      <c r="PC66" s="252"/>
      <c r="PD66" s="252"/>
      <c r="PE66" s="252"/>
      <c r="PF66" s="252"/>
      <c r="PG66" s="252"/>
      <c r="PH66" s="252"/>
      <c r="PI66" s="252"/>
      <c r="PJ66" s="252"/>
      <c r="PK66" s="252"/>
      <c r="PL66" s="252"/>
      <c r="PM66" s="252"/>
      <c r="PN66" s="252"/>
      <c r="PO66" s="252"/>
      <c r="PP66" s="252"/>
      <c r="PQ66" s="252"/>
      <c r="PR66" s="252"/>
      <c r="PS66" s="252"/>
      <c r="PT66" s="252"/>
      <c r="PU66" s="252"/>
      <c r="PV66" s="252"/>
      <c r="PW66" s="252"/>
      <c r="PX66" s="252"/>
      <c r="PY66" s="252"/>
      <c r="PZ66" s="252"/>
      <c r="QA66" s="252"/>
      <c r="QB66" s="252"/>
      <c r="QC66" s="252"/>
      <c r="QD66" s="252"/>
      <c r="QE66" s="252"/>
      <c r="QF66" s="252"/>
      <c r="QG66" s="252"/>
      <c r="QH66" s="252"/>
      <c r="QI66" s="252"/>
      <c r="QJ66" s="252"/>
      <c r="QK66" s="252"/>
      <c r="QL66" s="252"/>
      <c r="QM66" s="252"/>
      <c r="QN66" s="252"/>
      <c r="QO66" s="252"/>
      <c r="QP66" s="252"/>
      <c r="QQ66" s="252"/>
      <c r="QR66" s="252"/>
      <c r="QS66" s="252"/>
      <c r="QT66" s="252"/>
      <c r="QU66" s="252"/>
      <c r="QV66" s="252"/>
      <c r="QW66" s="252"/>
      <c r="QX66" s="252"/>
      <c r="QY66" s="252"/>
      <c r="QZ66" s="252"/>
      <c r="RA66" s="252"/>
      <c r="RB66" s="252"/>
      <c r="RC66" s="252"/>
      <c r="RD66" s="252"/>
      <c r="RE66" s="252"/>
      <c r="RF66" s="252"/>
      <c r="RG66" s="252"/>
      <c r="RH66" s="252"/>
      <c r="RI66" s="252"/>
      <c r="RJ66" s="252"/>
      <c r="RK66" s="252"/>
      <c r="RL66" s="252"/>
      <c r="RM66" s="252"/>
      <c r="RN66" s="252"/>
      <c r="RO66" s="252"/>
      <c r="RP66" s="252"/>
      <c r="RQ66" s="252"/>
      <c r="RR66" s="252"/>
      <c r="RS66" s="252"/>
      <c r="RT66" s="252"/>
      <c r="RU66" s="252"/>
      <c r="RV66" s="252"/>
      <c r="RW66" s="252"/>
      <c r="RX66" s="252"/>
      <c r="RY66" s="252"/>
      <c r="RZ66" s="252"/>
      <c r="SA66" s="252"/>
      <c r="SB66" s="252"/>
      <c r="SC66" s="252"/>
      <c r="SD66" s="252"/>
      <c r="SE66" s="252"/>
      <c r="SF66" s="252"/>
      <c r="SG66" s="252"/>
      <c r="SH66" s="252"/>
      <c r="SI66" s="252"/>
      <c r="SJ66" s="252"/>
      <c r="SK66" s="252"/>
      <c r="SL66" s="252"/>
      <c r="SM66" s="252"/>
      <c r="SN66" s="252"/>
    </row>
    <row r="67" spans="1:508" s="243" customFormat="1" ht="15.6" customHeight="1" x14ac:dyDescent="0.55000000000000004">
      <c r="A67" s="220" t="str" cm="1">
        <f t="array" ref="A67">_xlfn.IFS(LEFT('Monthly Update'!A67, 3) = "*((", "", 'Monthly Update'!A67="", "", TRUE, 'Monthly Update'!A67)</f>
        <v/>
      </c>
      <c r="B67" s="220" t="str" cm="1">
        <f t="array" ref="B67">_xlfn.IFS(LEFT('Monthly Update'!B67, 3) = "*((", "", 'Monthly Update'!B67="", "", TRUE, 'Monthly Update'!B67)</f>
        <v/>
      </c>
      <c r="C67" s="221" t="str" cm="1">
        <f t="array" ref="C67">_xlfn.IFS(LEFT('Monthly Update'!CU67, 3) = "*((", "", 'Monthly Update'!CU67="", "", TRUE, 'Monthly Update'!CU67)</f>
        <v/>
      </c>
      <c r="D67" s="221" t="str" cm="1">
        <f t="array" ref="D67">_xlfn.IFS(LEFT('Monthly Update'!CV67, 3) = "*((", "", 'Monthly Update'!CV67="", "", TRUE, 'Monthly Update'!CV67)</f>
        <v/>
      </c>
      <c r="E67" s="221" t="str" cm="1">
        <f t="array" ref="E67">_xlfn.IFS(LEFT('Monthly Update'!CW67, 3) = "*((", "", 'Monthly Update'!CW67="", "", TRUE, 'Monthly Update'!CW67)</f>
        <v/>
      </c>
      <c r="F67" s="221" t="str" cm="1">
        <f t="array" ref="F67">_xlfn.IFS(LEFT('Monthly Update'!CX67, 3) = "*((", "", 'Monthly Update'!CX67="", "", TRUE, 'Monthly Update'!CX67)</f>
        <v/>
      </c>
      <c r="G67" s="221" t="str" cm="1">
        <f t="array" ref="G67">_xlfn.IFS(LEFT('Monthly Update'!CY67, 3) = "*((", "", 'Monthly Update'!CY67="", "", TRUE, 'Monthly Update'!CY67)</f>
        <v/>
      </c>
      <c r="H67" s="221" t="str" cm="1">
        <f t="array" ref="H67">_xlfn.IFS(LEFT('Monthly Update'!CZ67, 3) = "*((", "", 'Monthly Update'!CZ67="", "", TRUE, 'Monthly Update'!CZ67)</f>
        <v/>
      </c>
      <c r="I67" s="221" t="str" cm="1">
        <f t="array" ref="I67">_xlfn.IFS(LEFT('Monthly Update'!DA67, 3) = "*((", "", 'Monthly Update'!DA67="", "", TRUE, 'Monthly Update'!DA67)</f>
        <v/>
      </c>
      <c r="J67" s="221" t="str" cm="1">
        <f t="array" ref="J67">_xlfn.IFS(LEFT('Monthly Update'!DB67, 3) = "*((", "", 'Monthly Update'!DB67="", "", TRUE, 'Monthly Update'!DB67)</f>
        <v/>
      </c>
      <c r="K67" s="221" t="str" cm="1">
        <f t="array" ref="K67">_xlfn.IFS(LEFT('Monthly Update'!DC67, 3) = "*((", "", 'Monthly Update'!DC67="", "", TRUE, 'Monthly Update'!DC67)</f>
        <v/>
      </c>
      <c r="L67" s="221" t="str" cm="1">
        <f t="array" ref="L67">_xlfn.IFS(LEFT('Monthly Update'!DD67, 3) = "*((", "", 'Monthly Update'!DD67="", "", TRUE, 'Monthly Update'!DD67)</f>
        <v/>
      </c>
      <c r="M67" s="221" t="str" cm="1">
        <f t="array" ref="M67">_xlfn.IFS(LEFT('Monthly Update'!DE67, 3) = "*((", "", 'Monthly Update'!DE67="", "", TRUE, 'Monthly Update'!DE67)</f>
        <v/>
      </c>
      <c r="N67" s="221" t="str" cm="1">
        <f t="array" ref="N67">_xlfn.IFS(LEFT('Monthly Update'!DF67, 3) = "*((", "", 'Monthly Update'!DF67="", "", TRUE, 'Monthly Update'!DF67)</f>
        <v/>
      </c>
      <c r="O67" s="221" t="str" cm="1">
        <f t="array" ref="O67">_xlfn.IFS(LEFT('Monthly Update'!DG67, 3) = "*((", "", 'Monthly Update'!DG67="", "", TRUE, 'Monthly Update'!DG67)</f>
        <v/>
      </c>
      <c r="P67" s="221" t="str" cm="1">
        <f t="array" ref="P67">_xlfn.IFS(LEFT('Monthly Update'!DH67, 3) = "*((", "", 'Monthly Update'!DH67="", "", TRUE, 'Monthly Update'!DH67)</f>
        <v/>
      </c>
      <c r="Q67" s="221" t="str" cm="1">
        <f t="array" ref="Q67">_xlfn.IFS(LEFT('Monthly Update'!DI67, 3) = "*((", "", 'Monthly Update'!DI67="", "", TRUE, 'Monthly Update'!DI67)</f>
        <v/>
      </c>
      <c r="R67" s="221" t="str" cm="1">
        <f t="array" ref="R67">_xlfn.IFS(LEFT('Monthly Update'!DJ67, 3) = "*((", "", 'Monthly Update'!DJ67="", "", TRUE, 'Monthly Update'!DJ67)</f>
        <v/>
      </c>
      <c r="S67" s="221" t="str" cm="1">
        <f t="array" ref="S67">_xlfn.IFS(LEFT('Monthly Update'!DK67, 3) = "*((", "", 'Monthly Update'!DK67="", "", TRUE, 'Monthly Update'!DK67)</f>
        <v/>
      </c>
      <c r="T67" s="221" t="str" cm="1">
        <f t="array" ref="T67">_xlfn.IFS(LEFT('Monthly Update'!DL67, 3) = "*((", "", 'Monthly Update'!DL67="", "", TRUE, 'Monthly Update'!DL67)</f>
        <v/>
      </c>
      <c r="U67" s="221" t="str" cm="1">
        <f t="array" ref="U67">_xlfn.IFS(LEFT('Monthly Update'!DM67, 3) = "*((", "", 'Monthly Update'!DM67="", "", TRUE, 'Monthly Update'!DM67)</f>
        <v/>
      </c>
      <c r="V67" s="221" t="str" cm="1">
        <f t="array" ref="V67">_xlfn.IFS(LEFT('Monthly Update'!DN67, 3) = "*((", "", 'Monthly Update'!DN67="", "", TRUE, 'Monthly Update'!DN67)</f>
        <v/>
      </c>
      <c r="W67" s="221" t="str" cm="1">
        <f t="array" ref="W67">_xlfn.IFS(LEFT('Monthly Update'!DO67, 3) = "*((", "", 'Monthly Update'!DO67="", "", TRUE, 'Monthly Update'!DO67)</f>
        <v/>
      </c>
      <c r="X67" s="221" t="str" cm="1">
        <f t="array" ref="X67">_xlfn.IFS(LEFT('Monthly Update'!DP67, 3) = "*((", "", 'Monthly Update'!DP67="", "", TRUE, 'Monthly Update'!DP67)</f>
        <v/>
      </c>
      <c r="Y67" s="221" t="str" cm="1">
        <f t="array" ref="Y67">_xlfn.IFS(LEFT('Monthly Update'!DQ67, 3) = "*((", "", 'Monthly Update'!DQ67="", "", TRUE, 'Monthly Update'!DQ67)</f>
        <v/>
      </c>
      <c r="Z67" s="221" t="str" cm="1">
        <f t="array" ref="Z67">_xlfn.IFS(LEFT('Monthly Update'!DR67, 3) = "*((", "", 'Monthly Update'!DR67="", "", TRUE, 'Monthly Update'!DR67)</f>
        <v/>
      </c>
      <c r="AA67" s="221" t="str" cm="1">
        <f t="array" ref="AA67">_xlfn.IFS(LEFT('Monthly Update'!DS67, 3) = "*((", "", 'Monthly Update'!DS67="", "", TRUE, 'Monthly Update'!DS67)</f>
        <v/>
      </c>
      <c r="AB67" s="221" t="str" cm="1">
        <f t="array" ref="AB67">_xlfn.IFS(LEFT('Monthly Update'!DT67, 3) = "*((", "", 'Monthly Update'!DT67="", "", TRUE, 'Monthly Update'!DT67)</f>
        <v/>
      </c>
      <c r="AC67" s="221" t="str" cm="1">
        <f t="array" ref="AC67">_xlfn.IFS(LEFT('Monthly Update'!DU67, 3) = "*((", "", 'Monthly Update'!DU67="", "", TRUE, 'Monthly Update'!DU67)</f>
        <v/>
      </c>
      <c r="AD67" s="221" t="str" cm="1">
        <f t="array" ref="AD67">_xlfn.IFS(LEFT('Monthly Update'!DV67, 3) = "*((", "", 'Monthly Update'!DV67="", "", TRUE, 'Monthly Update'!DV67)</f>
        <v/>
      </c>
      <c r="AE67" s="221" t="str" cm="1">
        <f t="array" ref="AE67">_xlfn.IFS(LEFT('Monthly Update'!DW67, 3) = "*((", "", 'Monthly Update'!DW67="", "", TRUE, 'Monthly Update'!DW67)</f>
        <v/>
      </c>
      <c r="AF67" s="221" t="str" cm="1">
        <f t="array" ref="AF67">_xlfn.IFS(LEFT('Monthly Update'!DX67, 3) = "*((", "", 'Monthly Update'!DX67="", "", TRUE, 'Monthly Update'!DX67)</f>
        <v/>
      </c>
      <c r="AG67" s="221" t="str" cm="1">
        <f t="array" ref="AG67">_xlfn.IFS(LEFT('Monthly Update'!DY67, 3) = "*((", "", 'Monthly Update'!DY67="", "", TRUE, 'Monthly Update'!DY67)</f>
        <v/>
      </c>
      <c r="AH67" s="221" t="str" cm="1">
        <f t="array" ref="AH67">_xlfn.IFS(LEFT('Monthly Update'!DZ67, 3) = "*((", "", 'Monthly Update'!DZ67="", "", TRUE, 'Monthly Update'!DZ67)</f>
        <v/>
      </c>
      <c r="AI67" s="221" t="str" cm="1">
        <f t="array" ref="AI67">_xlfn.IFS(LEFT('Monthly Update'!EA67, 3) = "*((", "", 'Monthly Update'!EA67="", "", TRUE, 'Monthly Update'!EA67)</f>
        <v/>
      </c>
      <c r="AJ67" s="221" t="str" cm="1">
        <f t="array" ref="AJ67">_xlfn.IFS(LEFT('Monthly Update'!EB67, 3) = "*((", "", 'Monthly Update'!EB67="", "", TRUE, 'Monthly Update'!EB67)</f>
        <v/>
      </c>
      <c r="AK67" s="221" t="str" cm="1">
        <f t="array" ref="AK67">_xlfn.IFS(LEFT('Monthly Update'!EC67, 3) = "*((", "", 'Monthly Update'!EC67="", "", TRUE, 'Monthly Update'!EC67)</f>
        <v/>
      </c>
      <c r="AL67" s="221" t="str" cm="1">
        <f t="array" ref="AL67">_xlfn.IFS(LEFT('Monthly Update'!ED67, 3) = "*((", "", 'Monthly Update'!ED67="", "", TRUE, 'Monthly Update'!ED67)</f>
        <v/>
      </c>
      <c r="AM67" s="221" t="str" cm="1">
        <f t="array" ref="AM67">_xlfn.IFS(LEFT('Monthly Update'!EE67, 3) = "*((", "", 'Monthly Update'!EE67="", "", TRUE, 'Monthly Update'!EE67)</f>
        <v/>
      </c>
      <c r="AN67" s="221" t="str" cm="1">
        <f t="array" ref="AN67">_xlfn.IFS(LEFT('Monthly Update'!EF67, 3) = "*((", "", 'Monthly Update'!EF67="", "", TRUE, 'Monthly Update'!EF67)</f>
        <v/>
      </c>
      <c r="AO67" s="221" t="str" cm="1">
        <f t="array" ref="AO67">_xlfn.IFS(LEFT('Monthly Update'!EG67, 3) = "*((", "", 'Monthly Update'!EG67="", "", TRUE, 'Monthly Update'!EG67)</f>
        <v/>
      </c>
      <c r="AP67" s="221" t="str" cm="1">
        <f t="array" ref="AP67">_xlfn.IFS(LEFT('Monthly Update'!EH67, 3) = "*((", "", 'Monthly Update'!EH67="", "", TRUE, 'Monthly Update'!EH67)</f>
        <v/>
      </c>
      <c r="AQ67" s="221" t="str" cm="1">
        <f t="array" ref="AQ67">_xlfn.IFS(LEFT('Monthly Update'!EI67, 3) = "*((", "", 'Monthly Update'!EI67="", "", TRUE, 'Monthly Update'!EI67)</f>
        <v/>
      </c>
      <c r="AR67" s="221" t="str" cm="1">
        <f t="array" ref="AR67">_xlfn.IFS(LEFT('Monthly Update'!EJ67, 3) = "*((", "", 'Monthly Update'!EJ67="", "", TRUE, 'Monthly Update'!EJ67)</f>
        <v/>
      </c>
      <c r="AS67" s="221" t="str" cm="1">
        <f t="array" ref="AS67">_xlfn.IFS(LEFT('Monthly Update'!EK67, 3) = "*((", "", 'Monthly Update'!EK67="", "", TRUE, 'Monthly Update'!EK67)</f>
        <v/>
      </c>
      <c r="AT67" s="221" t="str" cm="1">
        <f t="array" ref="AT67">_xlfn.IFS(LEFT('Monthly Update'!EL67, 3) = "*((", "", 'Monthly Update'!EL67="", "", TRUE, 'Monthly Update'!EL67)</f>
        <v/>
      </c>
      <c r="AU67" s="221" t="str" cm="1">
        <f t="array" ref="AU67">_xlfn.IFS(LEFT('Monthly Update'!EM67, 3) = "*((", "", 'Monthly Update'!EM67="", "", TRUE, 'Monthly Update'!EM67)</f>
        <v/>
      </c>
      <c r="AV67" s="221" t="str" cm="1">
        <f t="array" ref="AV67">_xlfn.IFS(LEFT('Monthly Update'!EN67, 3) = "*((", "", 'Monthly Update'!EN67="", "", TRUE, 'Monthly Update'!EN67)</f>
        <v/>
      </c>
      <c r="AW67" s="221" t="str" cm="1">
        <f t="array" ref="AW67">_xlfn.IFS(LEFT('Monthly Update'!EO67, 3) = "*((", "", 'Monthly Update'!EO67="", "", TRUE, 'Monthly Update'!EO67)</f>
        <v/>
      </c>
      <c r="NU67" s="252"/>
      <c r="NV67" s="252"/>
      <c r="NW67" s="252"/>
      <c r="NX67" s="252"/>
      <c r="NY67" s="252"/>
      <c r="NZ67" s="252"/>
      <c r="OA67" s="252"/>
      <c r="OB67" s="252"/>
      <c r="OC67" s="252"/>
      <c r="OD67" s="252"/>
      <c r="OE67" s="252"/>
      <c r="OF67" s="252"/>
      <c r="OG67" s="252"/>
      <c r="OH67" s="252"/>
      <c r="OI67" s="252"/>
      <c r="OJ67" s="252"/>
      <c r="OK67" s="252"/>
      <c r="OL67" s="252"/>
      <c r="OM67" s="252"/>
      <c r="ON67" s="252"/>
      <c r="OO67" s="252"/>
      <c r="OP67" s="252"/>
      <c r="OQ67" s="252"/>
      <c r="OR67" s="252"/>
      <c r="OS67" s="252"/>
      <c r="OT67" s="252"/>
      <c r="OU67" s="252"/>
      <c r="OV67" s="252"/>
      <c r="OW67" s="252"/>
      <c r="OX67" s="252"/>
      <c r="OY67" s="252"/>
      <c r="OZ67" s="252"/>
      <c r="PA67" s="252"/>
      <c r="PB67" s="252"/>
      <c r="PC67" s="252"/>
      <c r="PD67" s="252"/>
      <c r="PE67" s="252"/>
      <c r="PF67" s="252"/>
      <c r="PG67" s="252"/>
      <c r="PH67" s="252"/>
      <c r="PI67" s="252"/>
      <c r="PJ67" s="252"/>
      <c r="PK67" s="252"/>
      <c r="PL67" s="252"/>
      <c r="PM67" s="252"/>
      <c r="PN67" s="252"/>
      <c r="PO67" s="252"/>
      <c r="PP67" s="252"/>
      <c r="PQ67" s="252"/>
      <c r="PR67" s="252"/>
      <c r="PS67" s="252"/>
      <c r="PT67" s="252"/>
      <c r="PU67" s="252"/>
      <c r="PV67" s="252"/>
      <c r="PW67" s="252"/>
      <c r="PX67" s="252"/>
      <c r="PY67" s="252"/>
      <c r="PZ67" s="252"/>
      <c r="QA67" s="252"/>
      <c r="QB67" s="252"/>
      <c r="QC67" s="252"/>
      <c r="QD67" s="252"/>
      <c r="QE67" s="252"/>
      <c r="QF67" s="252"/>
      <c r="QG67" s="252"/>
      <c r="QH67" s="252"/>
      <c r="QI67" s="252"/>
      <c r="QJ67" s="252"/>
      <c r="QK67" s="252"/>
      <c r="QL67" s="252"/>
      <c r="QM67" s="252"/>
      <c r="QN67" s="252"/>
      <c r="QO67" s="252"/>
      <c r="QP67" s="252"/>
      <c r="QQ67" s="252"/>
      <c r="QR67" s="252"/>
      <c r="QS67" s="252"/>
      <c r="QT67" s="252"/>
      <c r="QU67" s="252"/>
      <c r="QV67" s="252"/>
      <c r="QW67" s="252"/>
      <c r="QX67" s="252"/>
      <c r="QY67" s="252"/>
      <c r="QZ67" s="252"/>
      <c r="RA67" s="252"/>
      <c r="RB67" s="252"/>
      <c r="RC67" s="252"/>
      <c r="RD67" s="252"/>
      <c r="RE67" s="252"/>
      <c r="RF67" s="252"/>
      <c r="RG67" s="252"/>
      <c r="RH67" s="252"/>
      <c r="RI67" s="252"/>
      <c r="RJ67" s="252"/>
      <c r="RK67" s="252"/>
      <c r="RL67" s="252"/>
      <c r="RM67" s="252"/>
      <c r="RN67" s="252"/>
      <c r="RO67" s="252"/>
      <c r="RP67" s="252"/>
      <c r="RQ67" s="252"/>
      <c r="RR67" s="252"/>
      <c r="RS67" s="252"/>
      <c r="RT67" s="252"/>
      <c r="RU67" s="252"/>
      <c r="RV67" s="252"/>
      <c r="RW67" s="252"/>
      <c r="RX67" s="252"/>
      <c r="RY67" s="252"/>
      <c r="RZ67" s="252"/>
      <c r="SA67" s="252"/>
      <c r="SB67" s="252"/>
      <c r="SC67" s="252"/>
      <c r="SD67" s="252"/>
      <c r="SE67" s="252"/>
      <c r="SF67" s="252"/>
      <c r="SG67" s="252"/>
      <c r="SH67" s="252"/>
      <c r="SI67" s="252"/>
      <c r="SJ67" s="252"/>
      <c r="SK67" s="252"/>
      <c r="SL67" s="252"/>
      <c r="SM67" s="252"/>
      <c r="SN67" s="252"/>
    </row>
    <row r="68" spans="1:508" s="243" customFormat="1" ht="15.6" customHeight="1" x14ac:dyDescent="0.55000000000000004">
      <c r="A68" s="220" t="str" cm="1">
        <f t="array" ref="A68">_xlfn.IFS(LEFT('Monthly Update'!A68, 3) = "*((", "", 'Monthly Update'!A68="", "", TRUE, 'Monthly Update'!A68)</f>
        <v/>
      </c>
      <c r="B68" s="220" t="str" cm="1">
        <f t="array" ref="B68">_xlfn.IFS(LEFT('Monthly Update'!B68, 3) = "*((", "", 'Monthly Update'!B68="", "", TRUE, 'Monthly Update'!B68)</f>
        <v/>
      </c>
      <c r="C68" s="221" t="str" cm="1">
        <f t="array" ref="C68">_xlfn.IFS(LEFT('Monthly Update'!CU68, 3) = "*((", "", 'Monthly Update'!CU68="", "", TRUE, 'Monthly Update'!CU68)</f>
        <v/>
      </c>
      <c r="D68" s="221" t="str" cm="1">
        <f t="array" ref="D68">_xlfn.IFS(LEFT('Monthly Update'!CV68, 3) = "*((", "", 'Monthly Update'!CV68="", "", TRUE, 'Monthly Update'!CV68)</f>
        <v/>
      </c>
      <c r="E68" s="221" t="str" cm="1">
        <f t="array" ref="E68">_xlfn.IFS(LEFT('Monthly Update'!CW68, 3) = "*((", "", 'Monthly Update'!CW68="", "", TRUE, 'Monthly Update'!CW68)</f>
        <v/>
      </c>
      <c r="F68" s="221" t="str" cm="1">
        <f t="array" ref="F68">_xlfn.IFS(LEFT('Monthly Update'!CX68, 3) = "*((", "", 'Monthly Update'!CX68="", "", TRUE, 'Monthly Update'!CX68)</f>
        <v/>
      </c>
      <c r="G68" s="221" t="str" cm="1">
        <f t="array" ref="G68">_xlfn.IFS(LEFT('Monthly Update'!CY68, 3) = "*((", "", 'Monthly Update'!CY68="", "", TRUE, 'Monthly Update'!CY68)</f>
        <v/>
      </c>
      <c r="H68" s="221" t="str" cm="1">
        <f t="array" ref="H68">_xlfn.IFS(LEFT('Monthly Update'!CZ68, 3) = "*((", "", 'Monthly Update'!CZ68="", "", TRUE, 'Monthly Update'!CZ68)</f>
        <v/>
      </c>
      <c r="I68" s="221" t="str" cm="1">
        <f t="array" ref="I68">_xlfn.IFS(LEFT('Monthly Update'!DA68, 3) = "*((", "", 'Monthly Update'!DA68="", "", TRUE, 'Monthly Update'!DA68)</f>
        <v/>
      </c>
      <c r="J68" s="221" t="str" cm="1">
        <f t="array" ref="J68">_xlfn.IFS(LEFT('Monthly Update'!DB68, 3) = "*((", "", 'Monthly Update'!DB68="", "", TRUE, 'Monthly Update'!DB68)</f>
        <v/>
      </c>
      <c r="K68" s="221" t="str" cm="1">
        <f t="array" ref="K68">_xlfn.IFS(LEFT('Monthly Update'!DC68, 3) = "*((", "", 'Monthly Update'!DC68="", "", TRUE, 'Monthly Update'!DC68)</f>
        <v/>
      </c>
      <c r="L68" s="221" t="str" cm="1">
        <f t="array" ref="L68">_xlfn.IFS(LEFT('Monthly Update'!DD68, 3) = "*((", "", 'Monthly Update'!DD68="", "", TRUE, 'Monthly Update'!DD68)</f>
        <v/>
      </c>
      <c r="M68" s="221" t="str" cm="1">
        <f t="array" ref="M68">_xlfn.IFS(LEFT('Monthly Update'!DE68, 3) = "*((", "", 'Monthly Update'!DE68="", "", TRUE, 'Monthly Update'!DE68)</f>
        <v/>
      </c>
      <c r="N68" s="221" t="str" cm="1">
        <f t="array" ref="N68">_xlfn.IFS(LEFT('Monthly Update'!DF68, 3) = "*((", "", 'Monthly Update'!DF68="", "", TRUE, 'Monthly Update'!DF68)</f>
        <v/>
      </c>
      <c r="O68" s="221" t="str" cm="1">
        <f t="array" ref="O68">_xlfn.IFS(LEFT('Monthly Update'!DG68, 3) = "*((", "", 'Monthly Update'!DG68="", "", TRUE, 'Monthly Update'!DG68)</f>
        <v/>
      </c>
      <c r="P68" s="221" t="str" cm="1">
        <f t="array" ref="P68">_xlfn.IFS(LEFT('Monthly Update'!DH68, 3) = "*((", "", 'Monthly Update'!DH68="", "", TRUE, 'Monthly Update'!DH68)</f>
        <v/>
      </c>
      <c r="Q68" s="221" t="str" cm="1">
        <f t="array" ref="Q68">_xlfn.IFS(LEFT('Monthly Update'!DI68, 3) = "*((", "", 'Monthly Update'!DI68="", "", TRUE, 'Monthly Update'!DI68)</f>
        <v/>
      </c>
      <c r="R68" s="221" t="str" cm="1">
        <f t="array" ref="R68">_xlfn.IFS(LEFT('Monthly Update'!DJ68, 3) = "*((", "", 'Monthly Update'!DJ68="", "", TRUE, 'Monthly Update'!DJ68)</f>
        <v/>
      </c>
      <c r="S68" s="221" t="str" cm="1">
        <f t="array" ref="S68">_xlfn.IFS(LEFT('Monthly Update'!DK68, 3) = "*((", "", 'Monthly Update'!DK68="", "", TRUE, 'Monthly Update'!DK68)</f>
        <v/>
      </c>
      <c r="T68" s="221" t="str" cm="1">
        <f t="array" ref="T68">_xlfn.IFS(LEFT('Monthly Update'!DL68, 3) = "*((", "", 'Monthly Update'!DL68="", "", TRUE, 'Monthly Update'!DL68)</f>
        <v/>
      </c>
      <c r="U68" s="221" t="str" cm="1">
        <f t="array" ref="U68">_xlfn.IFS(LEFT('Monthly Update'!DM68, 3) = "*((", "", 'Monthly Update'!DM68="", "", TRUE, 'Monthly Update'!DM68)</f>
        <v/>
      </c>
      <c r="V68" s="221" t="str" cm="1">
        <f t="array" ref="V68">_xlfn.IFS(LEFT('Monthly Update'!DN68, 3) = "*((", "", 'Monthly Update'!DN68="", "", TRUE, 'Monthly Update'!DN68)</f>
        <v/>
      </c>
      <c r="W68" s="221" t="str" cm="1">
        <f t="array" ref="W68">_xlfn.IFS(LEFT('Monthly Update'!DO68, 3) = "*((", "", 'Monthly Update'!DO68="", "", TRUE, 'Monthly Update'!DO68)</f>
        <v/>
      </c>
      <c r="X68" s="221" t="str" cm="1">
        <f t="array" ref="X68">_xlfn.IFS(LEFT('Monthly Update'!DP68, 3) = "*((", "", 'Monthly Update'!DP68="", "", TRUE, 'Monthly Update'!DP68)</f>
        <v/>
      </c>
      <c r="Y68" s="221" t="str" cm="1">
        <f t="array" ref="Y68">_xlfn.IFS(LEFT('Monthly Update'!DQ68, 3) = "*((", "", 'Monthly Update'!DQ68="", "", TRUE, 'Monthly Update'!DQ68)</f>
        <v/>
      </c>
      <c r="Z68" s="221" t="str" cm="1">
        <f t="array" ref="Z68">_xlfn.IFS(LEFT('Monthly Update'!DR68, 3) = "*((", "", 'Monthly Update'!DR68="", "", TRUE, 'Monthly Update'!DR68)</f>
        <v/>
      </c>
      <c r="AA68" s="221" t="str" cm="1">
        <f t="array" ref="AA68">_xlfn.IFS(LEFT('Monthly Update'!DS68, 3) = "*((", "", 'Monthly Update'!DS68="", "", TRUE, 'Monthly Update'!DS68)</f>
        <v/>
      </c>
      <c r="AB68" s="221" t="str" cm="1">
        <f t="array" ref="AB68">_xlfn.IFS(LEFT('Monthly Update'!DT68, 3) = "*((", "", 'Monthly Update'!DT68="", "", TRUE, 'Monthly Update'!DT68)</f>
        <v/>
      </c>
      <c r="AC68" s="221" t="str" cm="1">
        <f t="array" ref="AC68">_xlfn.IFS(LEFT('Monthly Update'!DU68, 3) = "*((", "", 'Monthly Update'!DU68="", "", TRUE, 'Monthly Update'!DU68)</f>
        <v/>
      </c>
      <c r="AD68" s="221" t="str" cm="1">
        <f t="array" ref="AD68">_xlfn.IFS(LEFT('Monthly Update'!DV68, 3) = "*((", "", 'Monthly Update'!DV68="", "", TRUE, 'Monthly Update'!DV68)</f>
        <v/>
      </c>
      <c r="AE68" s="221" t="str" cm="1">
        <f t="array" ref="AE68">_xlfn.IFS(LEFT('Monthly Update'!DW68, 3) = "*((", "", 'Monthly Update'!DW68="", "", TRUE, 'Monthly Update'!DW68)</f>
        <v/>
      </c>
      <c r="AF68" s="221" t="str" cm="1">
        <f t="array" ref="AF68">_xlfn.IFS(LEFT('Monthly Update'!DX68, 3) = "*((", "", 'Monthly Update'!DX68="", "", TRUE, 'Monthly Update'!DX68)</f>
        <v/>
      </c>
      <c r="AG68" s="221" t="str" cm="1">
        <f t="array" ref="AG68">_xlfn.IFS(LEFT('Monthly Update'!DY68, 3) = "*((", "", 'Monthly Update'!DY68="", "", TRUE, 'Monthly Update'!DY68)</f>
        <v/>
      </c>
      <c r="AH68" s="221" t="str" cm="1">
        <f t="array" ref="AH68">_xlfn.IFS(LEFT('Monthly Update'!DZ68, 3) = "*((", "", 'Monthly Update'!DZ68="", "", TRUE, 'Monthly Update'!DZ68)</f>
        <v/>
      </c>
      <c r="AI68" s="221" t="str" cm="1">
        <f t="array" ref="AI68">_xlfn.IFS(LEFT('Monthly Update'!EA68, 3) = "*((", "", 'Monthly Update'!EA68="", "", TRUE, 'Monthly Update'!EA68)</f>
        <v/>
      </c>
      <c r="AJ68" s="221" t="str" cm="1">
        <f t="array" ref="AJ68">_xlfn.IFS(LEFT('Monthly Update'!EB68, 3) = "*((", "", 'Monthly Update'!EB68="", "", TRUE, 'Monthly Update'!EB68)</f>
        <v/>
      </c>
      <c r="AK68" s="221" t="str" cm="1">
        <f t="array" ref="AK68">_xlfn.IFS(LEFT('Monthly Update'!EC68, 3) = "*((", "", 'Monthly Update'!EC68="", "", TRUE, 'Monthly Update'!EC68)</f>
        <v/>
      </c>
      <c r="AL68" s="221" t="str" cm="1">
        <f t="array" ref="AL68">_xlfn.IFS(LEFT('Monthly Update'!ED68, 3) = "*((", "", 'Monthly Update'!ED68="", "", TRUE, 'Monthly Update'!ED68)</f>
        <v/>
      </c>
      <c r="AM68" s="221" t="str" cm="1">
        <f t="array" ref="AM68">_xlfn.IFS(LEFT('Monthly Update'!EE68, 3) = "*((", "", 'Monthly Update'!EE68="", "", TRUE, 'Monthly Update'!EE68)</f>
        <v/>
      </c>
      <c r="AN68" s="221" t="str" cm="1">
        <f t="array" ref="AN68">_xlfn.IFS(LEFT('Monthly Update'!EF68, 3) = "*((", "", 'Monthly Update'!EF68="", "", TRUE, 'Monthly Update'!EF68)</f>
        <v/>
      </c>
      <c r="AO68" s="221" t="str" cm="1">
        <f t="array" ref="AO68">_xlfn.IFS(LEFT('Monthly Update'!EG68, 3) = "*((", "", 'Monthly Update'!EG68="", "", TRUE, 'Monthly Update'!EG68)</f>
        <v/>
      </c>
      <c r="AP68" s="221" t="str" cm="1">
        <f t="array" ref="AP68">_xlfn.IFS(LEFT('Monthly Update'!EH68, 3) = "*((", "", 'Monthly Update'!EH68="", "", TRUE, 'Monthly Update'!EH68)</f>
        <v/>
      </c>
      <c r="AQ68" s="221" t="str" cm="1">
        <f t="array" ref="AQ68">_xlfn.IFS(LEFT('Monthly Update'!EI68, 3) = "*((", "", 'Monthly Update'!EI68="", "", TRUE, 'Monthly Update'!EI68)</f>
        <v/>
      </c>
      <c r="AR68" s="221" t="str" cm="1">
        <f t="array" ref="AR68">_xlfn.IFS(LEFT('Monthly Update'!EJ68, 3) = "*((", "", 'Monthly Update'!EJ68="", "", TRUE, 'Monthly Update'!EJ68)</f>
        <v/>
      </c>
      <c r="AS68" s="221" t="str" cm="1">
        <f t="array" ref="AS68">_xlfn.IFS(LEFT('Monthly Update'!EK68, 3) = "*((", "", 'Monthly Update'!EK68="", "", TRUE, 'Monthly Update'!EK68)</f>
        <v/>
      </c>
      <c r="AT68" s="221" t="str" cm="1">
        <f t="array" ref="AT68">_xlfn.IFS(LEFT('Monthly Update'!EL68, 3) = "*((", "", 'Monthly Update'!EL68="", "", TRUE, 'Monthly Update'!EL68)</f>
        <v/>
      </c>
      <c r="AU68" s="221" t="str" cm="1">
        <f t="array" ref="AU68">_xlfn.IFS(LEFT('Monthly Update'!EM68, 3) = "*((", "", 'Monthly Update'!EM68="", "", TRUE, 'Monthly Update'!EM68)</f>
        <v/>
      </c>
      <c r="AV68" s="221" t="str" cm="1">
        <f t="array" ref="AV68">_xlfn.IFS(LEFT('Monthly Update'!EN68, 3) = "*((", "", 'Monthly Update'!EN68="", "", TRUE, 'Monthly Update'!EN68)</f>
        <v/>
      </c>
      <c r="AW68" s="221" t="str" cm="1">
        <f t="array" ref="AW68">_xlfn.IFS(LEFT('Monthly Update'!EO68, 3) = "*((", "", 'Monthly Update'!EO68="", "", TRUE, 'Monthly Update'!EO68)</f>
        <v/>
      </c>
      <c r="NU68" s="252"/>
      <c r="NV68" s="252"/>
      <c r="NW68" s="252"/>
      <c r="NX68" s="252"/>
      <c r="NY68" s="252"/>
      <c r="NZ68" s="252"/>
      <c r="OA68" s="252"/>
      <c r="OB68" s="252"/>
      <c r="OC68" s="252"/>
      <c r="OD68" s="252"/>
      <c r="OE68" s="252"/>
      <c r="OF68" s="252"/>
      <c r="OG68" s="252"/>
      <c r="OH68" s="252"/>
      <c r="OI68" s="252"/>
      <c r="OJ68" s="252"/>
      <c r="OK68" s="252"/>
      <c r="OL68" s="252"/>
      <c r="OM68" s="252"/>
      <c r="ON68" s="252"/>
      <c r="OO68" s="252"/>
      <c r="OP68" s="252"/>
      <c r="OQ68" s="252"/>
      <c r="OR68" s="252"/>
      <c r="OS68" s="252"/>
      <c r="OT68" s="252"/>
      <c r="OU68" s="252"/>
      <c r="OV68" s="252"/>
      <c r="OW68" s="252"/>
      <c r="OX68" s="252"/>
      <c r="OY68" s="252"/>
      <c r="OZ68" s="252"/>
      <c r="PA68" s="252"/>
      <c r="PB68" s="252"/>
      <c r="PC68" s="252"/>
      <c r="PD68" s="252"/>
      <c r="PE68" s="252"/>
      <c r="PF68" s="252"/>
      <c r="PG68" s="252"/>
      <c r="PH68" s="252"/>
      <c r="PI68" s="252"/>
      <c r="PJ68" s="252"/>
      <c r="PK68" s="252"/>
      <c r="PL68" s="252"/>
      <c r="PM68" s="252"/>
      <c r="PN68" s="252"/>
      <c r="PO68" s="252"/>
      <c r="PP68" s="252"/>
      <c r="PQ68" s="252"/>
      <c r="PR68" s="252"/>
      <c r="PS68" s="252"/>
      <c r="PT68" s="252"/>
      <c r="PU68" s="252"/>
      <c r="PV68" s="252"/>
      <c r="PW68" s="252"/>
      <c r="PX68" s="252"/>
      <c r="PY68" s="252"/>
      <c r="PZ68" s="252"/>
      <c r="QA68" s="252"/>
      <c r="QB68" s="252"/>
      <c r="QC68" s="252"/>
      <c r="QD68" s="252"/>
      <c r="QE68" s="252"/>
      <c r="QF68" s="252"/>
      <c r="QG68" s="252"/>
      <c r="QH68" s="252"/>
      <c r="QI68" s="252"/>
      <c r="QJ68" s="252"/>
      <c r="QK68" s="252"/>
      <c r="QL68" s="252"/>
      <c r="QM68" s="252"/>
      <c r="QN68" s="252"/>
      <c r="QO68" s="252"/>
      <c r="QP68" s="252"/>
      <c r="QQ68" s="252"/>
      <c r="QR68" s="252"/>
      <c r="QS68" s="252"/>
      <c r="QT68" s="252"/>
      <c r="QU68" s="252"/>
      <c r="QV68" s="252"/>
      <c r="QW68" s="252"/>
      <c r="QX68" s="252"/>
      <c r="QY68" s="252"/>
      <c r="QZ68" s="252"/>
      <c r="RA68" s="252"/>
      <c r="RB68" s="252"/>
      <c r="RC68" s="252"/>
      <c r="RD68" s="252"/>
      <c r="RE68" s="252"/>
      <c r="RF68" s="252"/>
      <c r="RG68" s="252"/>
      <c r="RH68" s="252"/>
      <c r="RI68" s="252"/>
      <c r="RJ68" s="252"/>
      <c r="RK68" s="252"/>
      <c r="RL68" s="252"/>
      <c r="RM68" s="252"/>
      <c r="RN68" s="252"/>
      <c r="RO68" s="252"/>
      <c r="RP68" s="252"/>
      <c r="RQ68" s="252"/>
      <c r="RR68" s="252"/>
      <c r="RS68" s="252"/>
      <c r="RT68" s="252"/>
      <c r="RU68" s="252"/>
      <c r="RV68" s="252"/>
      <c r="RW68" s="252"/>
      <c r="RX68" s="252"/>
      <c r="RY68" s="252"/>
      <c r="RZ68" s="252"/>
      <c r="SA68" s="252"/>
      <c r="SB68" s="252"/>
      <c r="SC68" s="252"/>
      <c r="SD68" s="252"/>
      <c r="SE68" s="252"/>
      <c r="SF68" s="252"/>
      <c r="SG68" s="252"/>
      <c r="SH68" s="252"/>
      <c r="SI68" s="252"/>
      <c r="SJ68" s="252"/>
      <c r="SK68" s="252"/>
      <c r="SL68" s="252"/>
      <c r="SM68" s="252"/>
      <c r="SN68" s="252"/>
    </row>
    <row r="69" spans="1:508" s="243" customFormat="1" ht="15.6" customHeight="1" x14ac:dyDescent="0.55000000000000004">
      <c r="A69" s="220" t="str" cm="1">
        <f t="array" ref="A69">_xlfn.IFS(LEFT('Monthly Update'!A69, 3) = "*((", "", 'Monthly Update'!A69="", "", TRUE, 'Monthly Update'!A69)</f>
        <v/>
      </c>
      <c r="B69" s="220" t="str" cm="1">
        <f t="array" ref="B69">_xlfn.IFS(LEFT('Monthly Update'!B69, 3) = "*((", "", 'Monthly Update'!B69="", "", TRUE, 'Monthly Update'!B69)</f>
        <v/>
      </c>
      <c r="C69" s="221" t="str" cm="1">
        <f t="array" ref="C69">_xlfn.IFS(LEFT('Monthly Update'!CU69, 3) = "*((", "", 'Monthly Update'!CU69="", "", TRUE, 'Monthly Update'!CU69)</f>
        <v/>
      </c>
      <c r="D69" s="221" t="str" cm="1">
        <f t="array" ref="D69">_xlfn.IFS(LEFT('Monthly Update'!CV69, 3) = "*((", "", 'Monthly Update'!CV69="", "", TRUE, 'Monthly Update'!CV69)</f>
        <v/>
      </c>
      <c r="E69" s="221" t="str" cm="1">
        <f t="array" ref="E69">_xlfn.IFS(LEFT('Monthly Update'!CW69, 3) = "*((", "", 'Monthly Update'!CW69="", "", TRUE, 'Monthly Update'!CW69)</f>
        <v/>
      </c>
      <c r="F69" s="221" t="str" cm="1">
        <f t="array" ref="F69">_xlfn.IFS(LEFT('Monthly Update'!CX69, 3) = "*((", "", 'Monthly Update'!CX69="", "", TRUE, 'Monthly Update'!CX69)</f>
        <v/>
      </c>
      <c r="G69" s="221" t="str" cm="1">
        <f t="array" ref="G69">_xlfn.IFS(LEFT('Monthly Update'!CY69, 3) = "*((", "", 'Monthly Update'!CY69="", "", TRUE, 'Monthly Update'!CY69)</f>
        <v/>
      </c>
      <c r="H69" s="221" t="str" cm="1">
        <f t="array" ref="H69">_xlfn.IFS(LEFT('Monthly Update'!CZ69, 3) = "*((", "", 'Monthly Update'!CZ69="", "", TRUE, 'Monthly Update'!CZ69)</f>
        <v/>
      </c>
      <c r="I69" s="221" t="str" cm="1">
        <f t="array" ref="I69">_xlfn.IFS(LEFT('Monthly Update'!DA69, 3) = "*((", "", 'Monthly Update'!DA69="", "", TRUE, 'Monthly Update'!DA69)</f>
        <v/>
      </c>
      <c r="J69" s="221" t="str" cm="1">
        <f t="array" ref="J69">_xlfn.IFS(LEFT('Monthly Update'!DB69, 3) = "*((", "", 'Monthly Update'!DB69="", "", TRUE, 'Monthly Update'!DB69)</f>
        <v/>
      </c>
      <c r="K69" s="221" t="str" cm="1">
        <f t="array" ref="K69">_xlfn.IFS(LEFT('Monthly Update'!DC69, 3) = "*((", "", 'Monthly Update'!DC69="", "", TRUE, 'Monthly Update'!DC69)</f>
        <v/>
      </c>
      <c r="L69" s="221" t="str" cm="1">
        <f t="array" ref="L69">_xlfn.IFS(LEFT('Monthly Update'!DD69, 3) = "*((", "", 'Monthly Update'!DD69="", "", TRUE, 'Monthly Update'!DD69)</f>
        <v/>
      </c>
      <c r="M69" s="221" t="str" cm="1">
        <f t="array" ref="M69">_xlfn.IFS(LEFT('Monthly Update'!DE69, 3) = "*((", "", 'Monthly Update'!DE69="", "", TRUE, 'Monthly Update'!DE69)</f>
        <v/>
      </c>
      <c r="N69" s="221" t="str" cm="1">
        <f t="array" ref="N69">_xlfn.IFS(LEFT('Monthly Update'!DF69, 3) = "*((", "", 'Monthly Update'!DF69="", "", TRUE, 'Monthly Update'!DF69)</f>
        <v/>
      </c>
      <c r="O69" s="221" t="str" cm="1">
        <f t="array" ref="O69">_xlfn.IFS(LEFT('Monthly Update'!DG69, 3) = "*((", "", 'Monthly Update'!DG69="", "", TRUE, 'Monthly Update'!DG69)</f>
        <v/>
      </c>
      <c r="P69" s="221" t="str" cm="1">
        <f t="array" ref="P69">_xlfn.IFS(LEFT('Monthly Update'!DH69, 3) = "*((", "", 'Monthly Update'!DH69="", "", TRUE, 'Monthly Update'!DH69)</f>
        <v/>
      </c>
      <c r="Q69" s="221" t="str" cm="1">
        <f t="array" ref="Q69">_xlfn.IFS(LEFT('Monthly Update'!DI69, 3) = "*((", "", 'Monthly Update'!DI69="", "", TRUE, 'Monthly Update'!DI69)</f>
        <v/>
      </c>
      <c r="R69" s="221" t="str" cm="1">
        <f t="array" ref="R69">_xlfn.IFS(LEFT('Monthly Update'!DJ69, 3) = "*((", "", 'Monthly Update'!DJ69="", "", TRUE, 'Monthly Update'!DJ69)</f>
        <v/>
      </c>
      <c r="S69" s="221" t="str" cm="1">
        <f t="array" ref="S69">_xlfn.IFS(LEFT('Monthly Update'!DK69, 3) = "*((", "", 'Monthly Update'!DK69="", "", TRUE, 'Monthly Update'!DK69)</f>
        <v/>
      </c>
      <c r="T69" s="221" t="str" cm="1">
        <f t="array" ref="T69">_xlfn.IFS(LEFT('Monthly Update'!DL69, 3) = "*((", "", 'Monthly Update'!DL69="", "", TRUE, 'Monthly Update'!DL69)</f>
        <v/>
      </c>
      <c r="U69" s="221" t="str" cm="1">
        <f t="array" ref="U69">_xlfn.IFS(LEFT('Monthly Update'!DM69, 3) = "*((", "", 'Monthly Update'!DM69="", "", TRUE, 'Monthly Update'!DM69)</f>
        <v/>
      </c>
      <c r="V69" s="221" t="str" cm="1">
        <f t="array" ref="V69">_xlfn.IFS(LEFT('Monthly Update'!DN69, 3) = "*((", "", 'Monthly Update'!DN69="", "", TRUE, 'Monthly Update'!DN69)</f>
        <v/>
      </c>
      <c r="W69" s="221" t="str" cm="1">
        <f t="array" ref="W69">_xlfn.IFS(LEFT('Monthly Update'!DO69, 3) = "*((", "", 'Monthly Update'!DO69="", "", TRUE, 'Monthly Update'!DO69)</f>
        <v/>
      </c>
      <c r="X69" s="221" t="str" cm="1">
        <f t="array" ref="X69">_xlfn.IFS(LEFT('Monthly Update'!DP69, 3) = "*((", "", 'Monthly Update'!DP69="", "", TRUE, 'Monthly Update'!DP69)</f>
        <v/>
      </c>
      <c r="Y69" s="221" t="str" cm="1">
        <f t="array" ref="Y69">_xlfn.IFS(LEFT('Monthly Update'!DQ69, 3) = "*((", "", 'Monthly Update'!DQ69="", "", TRUE, 'Monthly Update'!DQ69)</f>
        <v/>
      </c>
      <c r="Z69" s="221" t="str" cm="1">
        <f t="array" ref="Z69">_xlfn.IFS(LEFT('Monthly Update'!DR69, 3) = "*((", "", 'Monthly Update'!DR69="", "", TRUE, 'Monthly Update'!DR69)</f>
        <v/>
      </c>
      <c r="AA69" s="221" t="str" cm="1">
        <f t="array" ref="AA69">_xlfn.IFS(LEFT('Monthly Update'!DS69, 3) = "*((", "", 'Monthly Update'!DS69="", "", TRUE, 'Monthly Update'!DS69)</f>
        <v/>
      </c>
      <c r="AB69" s="221" t="str" cm="1">
        <f t="array" ref="AB69">_xlfn.IFS(LEFT('Monthly Update'!DT69, 3) = "*((", "", 'Monthly Update'!DT69="", "", TRUE, 'Monthly Update'!DT69)</f>
        <v/>
      </c>
      <c r="AC69" s="221" t="str" cm="1">
        <f t="array" ref="AC69">_xlfn.IFS(LEFT('Monthly Update'!DU69, 3) = "*((", "", 'Monthly Update'!DU69="", "", TRUE, 'Monthly Update'!DU69)</f>
        <v/>
      </c>
      <c r="AD69" s="221" t="str" cm="1">
        <f t="array" ref="AD69">_xlfn.IFS(LEFT('Monthly Update'!DV69, 3) = "*((", "", 'Monthly Update'!DV69="", "", TRUE, 'Monthly Update'!DV69)</f>
        <v/>
      </c>
      <c r="AE69" s="221" t="str" cm="1">
        <f t="array" ref="AE69">_xlfn.IFS(LEFT('Monthly Update'!DW69, 3) = "*((", "", 'Monthly Update'!DW69="", "", TRUE, 'Monthly Update'!DW69)</f>
        <v/>
      </c>
      <c r="AF69" s="221" t="str" cm="1">
        <f t="array" ref="AF69">_xlfn.IFS(LEFT('Monthly Update'!DX69, 3) = "*((", "", 'Monthly Update'!DX69="", "", TRUE, 'Monthly Update'!DX69)</f>
        <v/>
      </c>
      <c r="AG69" s="221" t="str" cm="1">
        <f t="array" ref="AG69">_xlfn.IFS(LEFT('Monthly Update'!DY69, 3) = "*((", "", 'Monthly Update'!DY69="", "", TRUE, 'Monthly Update'!DY69)</f>
        <v/>
      </c>
      <c r="AH69" s="221" t="str" cm="1">
        <f t="array" ref="AH69">_xlfn.IFS(LEFT('Monthly Update'!DZ69, 3) = "*((", "", 'Monthly Update'!DZ69="", "", TRUE, 'Monthly Update'!DZ69)</f>
        <v/>
      </c>
      <c r="AI69" s="221" t="str" cm="1">
        <f t="array" ref="AI69">_xlfn.IFS(LEFT('Monthly Update'!EA69, 3) = "*((", "", 'Monthly Update'!EA69="", "", TRUE, 'Monthly Update'!EA69)</f>
        <v/>
      </c>
      <c r="AJ69" s="221" t="str" cm="1">
        <f t="array" ref="AJ69">_xlfn.IFS(LEFT('Monthly Update'!EB69, 3) = "*((", "", 'Monthly Update'!EB69="", "", TRUE, 'Monthly Update'!EB69)</f>
        <v/>
      </c>
      <c r="AK69" s="221" t="str" cm="1">
        <f t="array" ref="AK69">_xlfn.IFS(LEFT('Monthly Update'!EC69, 3) = "*((", "", 'Monthly Update'!EC69="", "", TRUE, 'Monthly Update'!EC69)</f>
        <v/>
      </c>
      <c r="AL69" s="221" t="str" cm="1">
        <f t="array" ref="AL69">_xlfn.IFS(LEFT('Monthly Update'!ED69, 3) = "*((", "", 'Monthly Update'!ED69="", "", TRUE, 'Monthly Update'!ED69)</f>
        <v/>
      </c>
      <c r="AM69" s="221" t="str" cm="1">
        <f t="array" ref="AM69">_xlfn.IFS(LEFT('Monthly Update'!EE69, 3) = "*((", "", 'Monthly Update'!EE69="", "", TRUE, 'Monthly Update'!EE69)</f>
        <v/>
      </c>
      <c r="AN69" s="221" t="str" cm="1">
        <f t="array" ref="AN69">_xlfn.IFS(LEFT('Monthly Update'!EF69, 3) = "*((", "", 'Monthly Update'!EF69="", "", TRUE, 'Monthly Update'!EF69)</f>
        <v/>
      </c>
      <c r="AO69" s="221" t="str" cm="1">
        <f t="array" ref="AO69">_xlfn.IFS(LEFT('Monthly Update'!EG69, 3) = "*((", "", 'Monthly Update'!EG69="", "", TRUE, 'Monthly Update'!EG69)</f>
        <v/>
      </c>
      <c r="AP69" s="221" t="str" cm="1">
        <f t="array" ref="AP69">_xlfn.IFS(LEFT('Monthly Update'!EH69, 3) = "*((", "", 'Monthly Update'!EH69="", "", TRUE, 'Monthly Update'!EH69)</f>
        <v/>
      </c>
      <c r="AQ69" s="221" t="str" cm="1">
        <f t="array" ref="AQ69">_xlfn.IFS(LEFT('Monthly Update'!EI69, 3) = "*((", "", 'Monthly Update'!EI69="", "", TRUE, 'Monthly Update'!EI69)</f>
        <v/>
      </c>
      <c r="AR69" s="221" t="str" cm="1">
        <f t="array" ref="AR69">_xlfn.IFS(LEFT('Monthly Update'!EJ69, 3) = "*((", "", 'Monthly Update'!EJ69="", "", TRUE, 'Monthly Update'!EJ69)</f>
        <v/>
      </c>
      <c r="AS69" s="221" t="str" cm="1">
        <f t="array" ref="AS69">_xlfn.IFS(LEFT('Monthly Update'!EK69, 3) = "*((", "", 'Monthly Update'!EK69="", "", TRUE, 'Monthly Update'!EK69)</f>
        <v/>
      </c>
      <c r="AT69" s="221" t="str" cm="1">
        <f t="array" ref="AT69">_xlfn.IFS(LEFT('Monthly Update'!EL69, 3) = "*((", "", 'Monthly Update'!EL69="", "", TRUE, 'Monthly Update'!EL69)</f>
        <v/>
      </c>
      <c r="AU69" s="221" t="str" cm="1">
        <f t="array" ref="AU69">_xlfn.IFS(LEFT('Monthly Update'!EM69, 3) = "*((", "", 'Monthly Update'!EM69="", "", TRUE, 'Monthly Update'!EM69)</f>
        <v/>
      </c>
      <c r="AV69" s="221" t="str" cm="1">
        <f t="array" ref="AV69">_xlfn.IFS(LEFT('Monthly Update'!EN69, 3) = "*((", "", 'Monthly Update'!EN69="", "", TRUE, 'Monthly Update'!EN69)</f>
        <v/>
      </c>
      <c r="AW69" s="221" t="str" cm="1">
        <f t="array" ref="AW69">_xlfn.IFS(LEFT('Monthly Update'!EO69, 3) = "*((", "", 'Monthly Update'!EO69="", "", TRUE, 'Monthly Update'!EO69)</f>
        <v/>
      </c>
      <c r="NU69" s="252"/>
      <c r="NV69" s="252"/>
      <c r="NW69" s="252"/>
      <c r="NX69" s="252"/>
      <c r="NY69" s="252"/>
      <c r="NZ69" s="252"/>
      <c r="OA69" s="252"/>
      <c r="OB69" s="252"/>
      <c r="OC69" s="252"/>
      <c r="OD69" s="252"/>
      <c r="OE69" s="252"/>
      <c r="OF69" s="252"/>
      <c r="OG69" s="252"/>
      <c r="OH69" s="252"/>
      <c r="OI69" s="252"/>
      <c r="OJ69" s="252"/>
      <c r="OK69" s="252"/>
      <c r="OL69" s="252"/>
      <c r="OM69" s="252"/>
      <c r="ON69" s="252"/>
      <c r="OO69" s="252"/>
      <c r="OP69" s="252"/>
      <c r="OQ69" s="252"/>
      <c r="OR69" s="252"/>
      <c r="OS69" s="252"/>
      <c r="OT69" s="252"/>
      <c r="OU69" s="252"/>
      <c r="OV69" s="252"/>
      <c r="OW69" s="252"/>
      <c r="OX69" s="252"/>
      <c r="OY69" s="252"/>
      <c r="OZ69" s="252"/>
      <c r="PA69" s="252"/>
      <c r="PB69" s="252"/>
      <c r="PC69" s="252"/>
      <c r="PD69" s="252"/>
      <c r="PE69" s="252"/>
      <c r="PF69" s="252"/>
      <c r="PG69" s="252"/>
      <c r="PH69" s="252"/>
      <c r="PI69" s="252"/>
      <c r="PJ69" s="252"/>
      <c r="PK69" s="252"/>
      <c r="PL69" s="252"/>
      <c r="PM69" s="252"/>
      <c r="PN69" s="252"/>
      <c r="PO69" s="252"/>
      <c r="PP69" s="252"/>
      <c r="PQ69" s="252"/>
      <c r="PR69" s="252"/>
      <c r="PS69" s="252"/>
      <c r="PT69" s="252"/>
      <c r="PU69" s="252"/>
      <c r="PV69" s="252"/>
      <c r="PW69" s="252"/>
      <c r="PX69" s="252"/>
      <c r="PY69" s="252"/>
      <c r="PZ69" s="252"/>
      <c r="QA69" s="252"/>
      <c r="QB69" s="252"/>
      <c r="QC69" s="252"/>
      <c r="QD69" s="252"/>
      <c r="QE69" s="252"/>
      <c r="QF69" s="252"/>
      <c r="QG69" s="252"/>
      <c r="QH69" s="252"/>
      <c r="QI69" s="252"/>
      <c r="QJ69" s="252"/>
      <c r="QK69" s="252"/>
      <c r="QL69" s="252"/>
      <c r="QM69" s="252"/>
      <c r="QN69" s="252"/>
      <c r="QO69" s="252"/>
      <c r="QP69" s="252"/>
      <c r="QQ69" s="252"/>
      <c r="QR69" s="252"/>
      <c r="QS69" s="252"/>
      <c r="QT69" s="252"/>
      <c r="QU69" s="252"/>
      <c r="QV69" s="252"/>
      <c r="QW69" s="252"/>
      <c r="QX69" s="252"/>
      <c r="QY69" s="252"/>
      <c r="QZ69" s="252"/>
      <c r="RA69" s="252"/>
      <c r="RB69" s="252"/>
      <c r="RC69" s="252"/>
      <c r="RD69" s="252"/>
      <c r="RE69" s="252"/>
      <c r="RF69" s="252"/>
      <c r="RG69" s="252"/>
      <c r="RH69" s="252"/>
      <c r="RI69" s="252"/>
      <c r="RJ69" s="252"/>
      <c r="RK69" s="252"/>
      <c r="RL69" s="252"/>
      <c r="RM69" s="252"/>
      <c r="RN69" s="252"/>
      <c r="RO69" s="252"/>
      <c r="RP69" s="252"/>
      <c r="RQ69" s="252"/>
      <c r="RR69" s="252"/>
      <c r="RS69" s="252"/>
      <c r="RT69" s="252"/>
      <c r="RU69" s="252"/>
      <c r="RV69" s="252"/>
      <c r="RW69" s="252"/>
      <c r="RX69" s="252"/>
      <c r="RY69" s="252"/>
      <c r="RZ69" s="252"/>
      <c r="SA69" s="252"/>
      <c r="SB69" s="252"/>
      <c r="SC69" s="252"/>
      <c r="SD69" s="252"/>
      <c r="SE69" s="252"/>
      <c r="SF69" s="252"/>
      <c r="SG69" s="252"/>
      <c r="SH69" s="252"/>
      <c r="SI69" s="252"/>
      <c r="SJ69" s="252"/>
      <c r="SK69" s="252"/>
      <c r="SL69" s="252"/>
      <c r="SM69" s="252"/>
      <c r="SN69" s="252"/>
    </row>
    <row r="70" spans="1:508" s="243" customFormat="1" ht="15.6" customHeight="1" x14ac:dyDescent="0.55000000000000004">
      <c r="A70" s="220" t="str" cm="1">
        <f t="array" ref="A70">_xlfn.IFS(LEFT('Monthly Update'!A70, 3) = "*((", "", 'Monthly Update'!A70="", "", TRUE, 'Monthly Update'!A70)</f>
        <v/>
      </c>
      <c r="B70" s="220" t="str" cm="1">
        <f t="array" ref="B70">_xlfn.IFS(LEFT('Monthly Update'!B70, 3) = "*((", "", 'Monthly Update'!B70="", "", TRUE, 'Monthly Update'!B70)</f>
        <v/>
      </c>
      <c r="C70" s="221" t="str" cm="1">
        <f t="array" ref="C70">_xlfn.IFS(LEFT('Monthly Update'!CU70, 3) = "*((", "", 'Monthly Update'!CU70="", "", TRUE, 'Monthly Update'!CU70)</f>
        <v/>
      </c>
      <c r="D70" s="221" t="str" cm="1">
        <f t="array" ref="D70">_xlfn.IFS(LEFT('Monthly Update'!CV70, 3) = "*((", "", 'Monthly Update'!CV70="", "", TRUE, 'Monthly Update'!CV70)</f>
        <v/>
      </c>
      <c r="E70" s="221" t="str" cm="1">
        <f t="array" ref="E70">_xlfn.IFS(LEFT('Monthly Update'!CW70, 3) = "*((", "", 'Monthly Update'!CW70="", "", TRUE, 'Monthly Update'!CW70)</f>
        <v/>
      </c>
      <c r="F70" s="221" t="str" cm="1">
        <f t="array" ref="F70">_xlfn.IFS(LEFT('Monthly Update'!CX70, 3) = "*((", "", 'Monthly Update'!CX70="", "", TRUE, 'Monthly Update'!CX70)</f>
        <v/>
      </c>
      <c r="G70" s="221" t="str" cm="1">
        <f t="array" ref="G70">_xlfn.IFS(LEFT('Monthly Update'!CY70, 3) = "*((", "", 'Monthly Update'!CY70="", "", TRUE, 'Monthly Update'!CY70)</f>
        <v/>
      </c>
      <c r="H70" s="221" t="str" cm="1">
        <f t="array" ref="H70">_xlfn.IFS(LEFT('Monthly Update'!CZ70, 3) = "*((", "", 'Monthly Update'!CZ70="", "", TRUE, 'Monthly Update'!CZ70)</f>
        <v/>
      </c>
      <c r="I70" s="221" t="str" cm="1">
        <f t="array" ref="I70">_xlfn.IFS(LEFT('Monthly Update'!DA70, 3) = "*((", "", 'Monthly Update'!DA70="", "", TRUE, 'Monthly Update'!DA70)</f>
        <v/>
      </c>
      <c r="J70" s="221" t="str" cm="1">
        <f t="array" ref="J70">_xlfn.IFS(LEFT('Monthly Update'!DB70, 3) = "*((", "", 'Monthly Update'!DB70="", "", TRUE, 'Monthly Update'!DB70)</f>
        <v/>
      </c>
      <c r="K70" s="221" t="str" cm="1">
        <f t="array" ref="K70">_xlfn.IFS(LEFT('Monthly Update'!DC70, 3) = "*((", "", 'Monthly Update'!DC70="", "", TRUE, 'Monthly Update'!DC70)</f>
        <v/>
      </c>
      <c r="L70" s="221" t="str" cm="1">
        <f t="array" ref="L70">_xlfn.IFS(LEFT('Monthly Update'!DD70, 3) = "*((", "", 'Monthly Update'!DD70="", "", TRUE, 'Monthly Update'!DD70)</f>
        <v/>
      </c>
      <c r="M70" s="221" t="str" cm="1">
        <f t="array" ref="M70">_xlfn.IFS(LEFT('Monthly Update'!DE70, 3) = "*((", "", 'Monthly Update'!DE70="", "", TRUE, 'Monthly Update'!DE70)</f>
        <v/>
      </c>
      <c r="N70" s="221" t="str" cm="1">
        <f t="array" ref="N70">_xlfn.IFS(LEFT('Monthly Update'!DF70, 3) = "*((", "", 'Monthly Update'!DF70="", "", TRUE, 'Monthly Update'!DF70)</f>
        <v/>
      </c>
      <c r="O70" s="221" t="str" cm="1">
        <f t="array" ref="O70">_xlfn.IFS(LEFT('Monthly Update'!DG70, 3) = "*((", "", 'Monthly Update'!DG70="", "", TRUE, 'Monthly Update'!DG70)</f>
        <v/>
      </c>
      <c r="P70" s="221" t="str" cm="1">
        <f t="array" ref="P70">_xlfn.IFS(LEFT('Monthly Update'!DH70, 3) = "*((", "", 'Monthly Update'!DH70="", "", TRUE, 'Monthly Update'!DH70)</f>
        <v/>
      </c>
      <c r="Q70" s="221" t="str" cm="1">
        <f t="array" ref="Q70">_xlfn.IFS(LEFT('Monthly Update'!DI70, 3) = "*((", "", 'Monthly Update'!DI70="", "", TRUE, 'Monthly Update'!DI70)</f>
        <v/>
      </c>
      <c r="R70" s="221" t="str" cm="1">
        <f t="array" ref="R70">_xlfn.IFS(LEFT('Monthly Update'!DJ70, 3) = "*((", "", 'Monthly Update'!DJ70="", "", TRUE, 'Monthly Update'!DJ70)</f>
        <v/>
      </c>
      <c r="S70" s="221" t="str" cm="1">
        <f t="array" ref="S70">_xlfn.IFS(LEFT('Monthly Update'!DK70, 3) = "*((", "", 'Monthly Update'!DK70="", "", TRUE, 'Monthly Update'!DK70)</f>
        <v/>
      </c>
      <c r="T70" s="221" t="str" cm="1">
        <f t="array" ref="T70">_xlfn.IFS(LEFT('Monthly Update'!DL70, 3) = "*((", "", 'Monthly Update'!DL70="", "", TRUE, 'Monthly Update'!DL70)</f>
        <v/>
      </c>
      <c r="U70" s="221" t="str" cm="1">
        <f t="array" ref="U70">_xlfn.IFS(LEFT('Monthly Update'!DM70, 3) = "*((", "", 'Monthly Update'!DM70="", "", TRUE, 'Monthly Update'!DM70)</f>
        <v/>
      </c>
      <c r="V70" s="221" t="str" cm="1">
        <f t="array" ref="V70">_xlfn.IFS(LEFT('Monthly Update'!DN70, 3) = "*((", "", 'Monthly Update'!DN70="", "", TRUE, 'Monthly Update'!DN70)</f>
        <v/>
      </c>
      <c r="W70" s="221" t="str" cm="1">
        <f t="array" ref="W70">_xlfn.IFS(LEFT('Monthly Update'!DO70, 3) = "*((", "", 'Monthly Update'!DO70="", "", TRUE, 'Monthly Update'!DO70)</f>
        <v/>
      </c>
      <c r="X70" s="221" t="str" cm="1">
        <f t="array" ref="X70">_xlfn.IFS(LEFT('Monthly Update'!DP70, 3) = "*((", "", 'Monthly Update'!DP70="", "", TRUE, 'Monthly Update'!DP70)</f>
        <v/>
      </c>
      <c r="Y70" s="221" t="str" cm="1">
        <f t="array" ref="Y70">_xlfn.IFS(LEFT('Monthly Update'!DQ70, 3) = "*((", "", 'Monthly Update'!DQ70="", "", TRUE, 'Monthly Update'!DQ70)</f>
        <v/>
      </c>
      <c r="Z70" s="221" t="str" cm="1">
        <f t="array" ref="Z70">_xlfn.IFS(LEFT('Monthly Update'!DR70, 3) = "*((", "", 'Monthly Update'!DR70="", "", TRUE, 'Monthly Update'!DR70)</f>
        <v/>
      </c>
      <c r="AA70" s="221" t="str" cm="1">
        <f t="array" ref="AA70">_xlfn.IFS(LEFT('Monthly Update'!DS70, 3) = "*((", "", 'Monthly Update'!DS70="", "", TRUE, 'Monthly Update'!DS70)</f>
        <v/>
      </c>
      <c r="AB70" s="221" t="str" cm="1">
        <f t="array" ref="AB70">_xlfn.IFS(LEFT('Monthly Update'!DT70, 3) = "*((", "", 'Monthly Update'!DT70="", "", TRUE, 'Monthly Update'!DT70)</f>
        <v/>
      </c>
      <c r="AC70" s="221" t="str" cm="1">
        <f t="array" ref="AC70">_xlfn.IFS(LEFT('Monthly Update'!DU70, 3) = "*((", "", 'Monthly Update'!DU70="", "", TRUE, 'Monthly Update'!DU70)</f>
        <v/>
      </c>
      <c r="AD70" s="221" t="str" cm="1">
        <f t="array" ref="AD70">_xlfn.IFS(LEFT('Monthly Update'!DV70, 3) = "*((", "", 'Monthly Update'!DV70="", "", TRUE, 'Monthly Update'!DV70)</f>
        <v/>
      </c>
      <c r="AE70" s="221" t="str" cm="1">
        <f t="array" ref="AE70">_xlfn.IFS(LEFT('Monthly Update'!DW70, 3) = "*((", "", 'Monthly Update'!DW70="", "", TRUE, 'Monthly Update'!DW70)</f>
        <v/>
      </c>
      <c r="AF70" s="221" t="str" cm="1">
        <f t="array" ref="AF70">_xlfn.IFS(LEFT('Monthly Update'!DX70, 3) = "*((", "", 'Monthly Update'!DX70="", "", TRUE, 'Monthly Update'!DX70)</f>
        <v/>
      </c>
      <c r="AG70" s="221" t="str" cm="1">
        <f t="array" ref="AG70">_xlfn.IFS(LEFT('Monthly Update'!DY70, 3) = "*((", "", 'Monthly Update'!DY70="", "", TRUE, 'Monthly Update'!DY70)</f>
        <v/>
      </c>
      <c r="AH70" s="221" t="str" cm="1">
        <f t="array" ref="AH70">_xlfn.IFS(LEFT('Monthly Update'!DZ70, 3) = "*((", "", 'Monthly Update'!DZ70="", "", TRUE, 'Monthly Update'!DZ70)</f>
        <v/>
      </c>
      <c r="AI70" s="221" t="str" cm="1">
        <f t="array" ref="AI70">_xlfn.IFS(LEFT('Monthly Update'!EA70, 3) = "*((", "", 'Monthly Update'!EA70="", "", TRUE, 'Monthly Update'!EA70)</f>
        <v/>
      </c>
      <c r="AJ70" s="221" t="str" cm="1">
        <f t="array" ref="AJ70">_xlfn.IFS(LEFT('Monthly Update'!EB70, 3) = "*((", "", 'Monthly Update'!EB70="", "", TRUE, 'Monthly Update'!EB70)</f>
        <v/>
      </c>
      <c r="AK70" s="221" t="str" cm="1">
        <f t="array" ref="AK70">_xlfn.IFS(LEFT('Monthly Update'!EC70, 3) = "*((", "", 'Monthly Update'!EC70="", "", TRUE, 'Monthly Update'!EC70)</f>
        <v/>
      </c>
      <c r="AL70" s="221" t="str" cm="1">
        <f t="array" ref="AL70">_xlfn.IFS(LEFT('Monthly Update'!ED70, 3) = "*((", "", 'Monthly Update'!ED70="", "", TRUE, 'Monthly Update'!ED70)</f>
        <v/>
      </c>
      <c r="AM70" s="221" t="str" cm="1">
        <f t="array" ref="AM70">_xlfn.IFS(LEFT('Monthly Update'!EE70, 3) = "*((", "", 'Monthly Update'!EE70="", "", TRUE, 'Monthly Update'!EE70)</f>
        <v/>
      </c>
      <c r="AN70" s="221" t="str" cm="1">
        <f t="array" ref="AN70">_xlfn.IFS(LEFT('Monthly Update'!EF70, 3) = "*((", "", 'Monthly Update'!EF70="", "", TRUE, 'Monthly Update'!EF70)</f>
        <v/>
      </c>
      <c r="AO70" s="221" t="str" cm="1">
        <f t="array" ref="AO70">_xlfn.IFS(LEFT('Monthly Update'!EG70, 3) = "*((", "", 'Monthly Update'!EG70="", "", TRUE, 'Monthly Update'!EG70)</f>
        <v/>
      </c>
      <c r="AP70" s="221" t="str" cm="1">
        <f t="array" ref="AP70">_xlfn.IFS(LEFT('Monthly Update'!EH70, 3) = "*((", "", 'Monthly Update'!EH70="", "", TRUE, 'Monthly Update'!EH70)</f>
        <v/>
      </c>
      <c r="AQ70" s="221" t="str" cm="1">
        <f t="array" ref="AQ70">_xlfn.IFS(LEFT('Monthly Update'!EI70, 3) = "*((", "", 'Monthly Update'!EI70="", "", TRUE, 'Monthly Update'!EI70)</f>
        <v/>
      </c>
      <c r="AR70" s="221" t="str" cm="1">
        <f t="array" ref="AR70">_xlfn.IFS(LEFT('Monthly Update'!EJ70, 3) = "*((", "", 'Monthly Update'!EJ70="", "", TRUE, 'Monthly Update'!EJ70)</f>
        <v/>
      </c>
      <c r="AS70" s="221" t="str" cm="1">
        <f t="array" ref="AS70">_xlfn.IFS(LEFT('Monthly Update'!EK70, 3) = "*((", "", 'Monthly Update'!EK70="", "", TRUE, 'Monthly Update'!EK70)</f>
        <v/>
      </c>
      <c r="AT70" s="221" t="str" cm="1">
        <f t="array" ref="AT70">_xlfn.IFS(LEFT('Monthly Update'!EL70, 3) = "*((", "", 'Monthly Update'!EL70="", "", TRUE, 'Monthly Update'!EL70)</f>
        <v/>
      </c>
      <c r="AU70" s="221" t="str" cm="1">
        <f t="array" ref="AU70">_xlfn.IFS(LEFT('Monthly Update'!EM70, 3) = "*((", "", 'Monthly Update'!EM70="", "", TRUE, 'Monthly Update'!EM70)</f>
        <v/>
      </c>
      <c r="AV70" s="221" t="str" cm="1">
        <f t="array" ref="AV70">_xlfn.IFS(LEFT('Monthly Update'!EN70, 3) = "*((", "", 'Monthly Update'!EN70="", "", TRUE, 'Monthly Update'!EN70)</f>
        <v/>
      </c>
      <c r="AW70" s="221" t="str" cm="1">
        <f t="array" ref="AW70">_xlfn.IFS(LEFT('Monthly Update'!EO70, 3) = "*((", "", 'Monthly Update'!EO70="", "", TRUE, 'Monthly Update'!EO70)</f>
        <v/>
      </c>
      <c r="NU70" s="252"/>
      <c r="NV70" s="252"/>
      <c r="NW70" s="252"/>
      <c r="NX70" s="252"/>
      <c r="NY70" s="252"/>
      <c r="NZ70" s="252"/>
      <c r="OA70" s="252"/>
      <c r="OB70" s="252"/>
      <c r="OC70" s="252"/>
      <c r="OD70" s="252"/>
      <c r="OE70" s="252"/>
      <c r="OF70" s="252"/>
      <c r="OG70" s="252"/>
      <c r="OH70" s="252"/>
      <c r="OI70" s="252"/>
      <c r="OJ70" s="252"/>
      <c r="OK70" s="252"/>
      <c r="OL70" s="252"/>
      <c r="OM70" s="252"/>
      <c r="ON70" s="252"/>
      <c r="OO70" s="252"/>
      <c r="OP70" s="252"/>
      <c r="OQ70" s="252"/>
      <c r="OR70" s="252"/>
      <c r="OS70" s="252"/>
      <c r="OT70" s="252"/>
      <c r="OU70" s="252"/>
      <c r="OV70" s="252"/>
      <c r="OW70" s="252"/>
      <c r="OX70" s="252"/>
      <c r="OY70" s="252"/>
      <c r="OZ70" s="252"/>
      <c r="PA70" s="252"/>
      <c r="PB70" s="252"/>
      <c r="PC70" s="252"/>
      <c r="PD70" s="252"/>
      <c r="PE70" s="252"/>
      <c r="PF70" s="252"/>
      <c r="PG70" s="252"/>
      <c r="PH70" s="252"/>
      <c r="PI70" s="252"/>
      <c r="PJ70" s="252"/>
      <c r="PK70" s="252"/>
      <c r="PL70" s="252"/>
      <c r="PM70" s="252"/>
      <c r="PN70" s="252"/>
      <c r="PO70" s="252"/>
      <c r="PP70" s="252"/>
      <c r="PQ70" s="252"/>
      <c r="PR70" s="252"/>
      <c r="PS70" s="252"/>
      <c r="PT70" s="252"/>
      <c r="PU70" s="252"/>
      <c r="PV70" s="252"/>
      <c r="PW70" s="252"/>
      <c r="PX70" s="252"/>
      <c r="PY70" s="252"/>
      <c r="PZ70" s="252"/>
      <c r="QA70" s="252"/>
      <c r="QB70" s="252"/>
      <c r="QC70" s="252"/>
      <c r="QD70" s="252"/>
      <c r="QE70" s="252"/>
      <c r="QF70" s="252"/>
      <c r="QG70" s="252"/>
      <c r="QH70" s="252"/>
      <c r="QI70" s="252"/>
      <c r="QJ70" s="252"/>
      <c r="QK70" s="252"/>
      <c r="QL70" s="252"/>
      <c r="QM70" s="252"/>
      <c r="QN70" s="252"/>
      <c r="QO70" s="252"/>
      <c r="QP70" s="252"/>
      <c r="QQ70" s="252"/>
      <c r="QR70" s="252"/>
      <c r="QS70" s="252"/>
      <c r="QT70" s="252"/>
      <c r="QU70" s="252"/>
      <c r="QV70" s="252"/>
      <c r="QW70" s="252"/>
      <c r="QX70" s="252"/>
      <c r="QY70" s="252"/>
      <c r="QZ70" s="252"/>
      <c r="RA70" s="252"/>
      <c r="RB70" s="252"/>
      <c r="RC70" s="252"/>
      <c r="RD70" s="252"/>
      <c r="RE70" s="252"/>
      <c r="RF70" s="252"/>
      <c r="RG70" s="252"/>
      <c r="RH70" s="252"/>
      <c r="RI70" s="252"/>
      <c r="RJ70" s="252"/>
      <c r="RK70" s="252"/>
      <c r="RL70" s="252"/>
      <c r="RM70" s="252"/>
      <c r="RN70" s="252"/>
      <c r="RO70" s="252"/>
      <c r="RP70" s="252"/>
      <c r="RQ70" s="252"/>
      <c r="RR70" s="252"/>
      <c r="RS70" s="252"/>
      <c r="RT70" s="252"/>
      <c r="RU70" s="252"/>
      <c r="RV70" s="252"/>
      <c r="RW70" s="252"/>
      <c r="RX70" s="252"/>
      <c r="RY70" s="252"/>
      <c r="RZ70" s="252"/>
      <c r="SA70" s="252"/>
      <c r="SB70" s="252"/>
      <c r="SC70" s="252"/>
      <c r="SD70" s="252"/>
      <c r="SE70" s="252"/>
      <c r="SF70" s="252"/>
      <c r="SG70" s="252"/>
      <c r="SH70" s="252"/>
      <c r="SI70" s="252"/>
      <c r="SJ70" s="252"/>
      <c r="SK70" s="252"/>
      <c r="SL70" s="252"/>
      <c r="SM70" s="252"/>
      <c r="SN70" s="252"/>
    </row>
    <row r="71" spans="1:508" s="243" customFormat="1" ht="15.6" customHeight="1" x14ac:dyDescent="0.55000000000000004">
      <c r="A71" s="220" t="str" cm="1">
        <f t="array" ref="A71">_xlfn.IFS(LEFT('Monthly Update'!A71, 3) = "*((", "", 'Monthly Update'!A71="", "", TRUE, 'Monthly Update'!A71)</f>
        <v/>
      </c>
      <c r="B71" s="220" t="str" cm="1">
        <f t="array" ref="B71">_xlfn.IFS(LEFT('Monthly Update'!B71, 3) = "*((", "", 'Monthly Update'!B71="", "", TRUE, 'Monthly Update'!B71)</f>
        <v/>
      </c>
      <c r="C71" s="221" t="str" cm="1">
        <f t="array" ref="C71">_xlfn.IFS(LEFT('Monthly Update'!CU71, 3) = "*((", "", 'Monthly Update'!CU71="", "", TRUE, 'Monthly Update'!CU71)</f>
        <v/>
      </c>
      <c r="D71" s="221" t="str" cm="1">
        <f t="array" ref="D71">_xlfn.IFS(LEFT('Monthly Update'!CV71, 3) = "*((", "", 'Monthly Update'!CV71="", "", TRUE, 'Monthly Update'!CV71)</f>
        <v/>
      </c>
      <c r="E71" s="221" t="str" cm="1">
        <f t="array" ref="E71">_xlfn.IFS(LEFT('Monthly Update'!CW71, 3) = "*((", "", 'Monthly Update'!CW71="", "", TRUE, 'Monthly Update'!CW71)</f>
        <v/>
      </c>
      <c r="F71" s="221" t="str" cm="1">
        <f t="array" ref="F71">_xlfn.IFS(LEFT('Monthly Update'!CX71, 3) = "*((", "", 'Monthly Update'!CX71="", "", TRUE, 'Monthly Update'!CX71)</f>
        <v/>
      </c>
      <c r="G71" s="221" t="str" cm="1">
        <f t="array" ref="G71">_xlfn.IFS(LEFT('Monthly Update'!CY71, 3) = "*((", "", 'Monthly Update'!CY71="", "", TRUE, 'Monthly Update'!CY71)</f>
        <v/>
      </c>
      <c r="H71" s="221" t="str" cm="1">
        <f t="array" ref="H71">_xlfn.IFS(LEFT('Monthly Update'!CZ71, 3) = "*((", "", 'Monthly Update'!CZ71="", "", TRUE, 'Monthly Update'!CZ71)</f>
        <v/>
      </c>
      <c r="I71" s="221" t="str" cm="1">
        <f t="array" ref="I71">_xlfn.IFS(LEFT('Monthly Update'!DA71, 3) = "*((", "", 'Monthly Update'!DA71="", "", TRUE, 'Monthly Update'!DA71)</f>
        <v/>
      </c>
      <c r="J71" s="221" t="str" cm="1">
        <f t="array" ref="J71">_xlfn.IFS(LEFT('Monthly Update'!DB71, 3) = "*((", "", 'Monthly Update'!DB71="", "", TRUE, 'Monthly Update'!DB71)</f>
        <v/>
      </c>
      <c r="K71" s="221" t="str" cm="1">
        <f t="array" ref="K71">_xlfn.IFS(LEFT('Monthly Update'!DC71, 3) = "*((", "", 'Monthly Update'!DC71="", "", TRUE, 'Monthly Update'!DC71)</f>
        <v/>
      </c>
      <c r="L71" s="221" t="str" cm="1">
        <f t="array" ref="L71">_xlfn.IFS(LEFT('Monthly Update'!DD71, 3) = "*((", "", 'Monthly Update'!DD71="", "", TRUE, 'Monthly Update'!DD71)</f>
        <v/>
      </c>
      <c r="M71" s="221" t="str" cm="1">
        <f t="array" ref="M71">_xlfn.IFS(LEFT('Monthly Update'!DE71, 3) = "*((", "", 'Monthly Update'!DE71="", "", TRUE, 'Monthly Update'!DE71)</f>
        <v/>
      </c>
      <c r="N71" s="221" t="str" cm="1">
        <f t="array" ref="N71">_xlfn.IFS(LEFT('Monthly Update'!DF71, 3) = "*((", "", 'Monthly Update'!DF71="", "", TRUE, 'Monthly Update'!DF71)</f>
        <v/>
      </c>
      <c r="O71" s="221" t="str" cm="1">
        <f t="array" ref="O71">_xlfn.IFS(LEFT('Monthly Update'!DG71, 3) = "*((", "", 'Monthly Update'!DG71="", "", TRUE, 'Monthly Update'!DG71)</f>
        <v/>
      </c>
      <c r="P71" s="221" t="str" cm="1">
        <f t="array" ref="P71">_xlfn.IFS(LEFT('Monthly Update'!DH71, 3) = "*((", "", 'Monthly Update'!DH71="", "", TRUE, 'Monthly Update'!DH71)</f>
        <v/>
      </c>
      <c r="Q71" s="221" t="str" cm="1">
        <f t="array" ref="Q71">_xlfn.IFS(LEFT('Monthly Update'!DI71, 3) = "*((", "", 'Monthly Update'!DI71="", "", TRUE, 'Monthly Update'!DI71)</f>
        <v/>
      </c>
      <c r="R71" s="221" t="str" cm="1">
        <f t="array" ref="R71">_xlfn.IFS(LEFT('Monthly Update'!DJ71, 3) = "*((", "", 'Monthly Update'!DJ71="", "", TRUE, 'Monthly Update'!DJ71)</f>
        <v/>
      </c>
      <c r="S71" s="221" t="str" cm="1">
        <f t="array" ref="S71">_xlfn.IFS(LEFT('Monthly Update'!DK71, 3) = "*((", "", 'Monthly Update'!DK71="", "", TRUE, 'Monthly Update'!DK71)</f>
        <v/>
      </c>
      <c r="T71" s="221" t="str" cm="1">
        <f t="array" ref="T71">_xlfn.IFS(LEFT('Monthly Update'!DL71, 3) = "*((", "", 'Monthly Update'!DL71="", "", TRUE, 'Monthly Update'!DL71)</f>
        <v/>
      </c>
      <c r="U71" s="221" t="str" cm="1">
        <f t="array" ref="U71">_xlfn.IFS(LEFT('Monthly Update'!DM71, 3) = "*((", "", 'Monthly Update'!DM71="", "", TRUE, 'Monthly Update'!DM71)</f>
        <v/>
      </c>
      <c r="V71" s="221" t="str" cm="1">
        <f t="array" ref="V71">_xlfn.IFS(LEFT('Monthly Update'!DN71, 3) = "*((", "", 'Monthly Update'!DN71="", "", TRUE, 'Monthly Update'!DN71)</f>
        <v/>
      </c>
      <c r="W71" s="221" t="str" cm="1">
        <f t="array" ref="W71">_xlfn.IFS(LEFT('Monthly Update'!DO71, 3) = "*((", "", 'Monthly Update'!DO71="", "", TRUE, 'Monthly Update'!DO71)</f>
        <v/>
      </c>
      <c r="X71" s="221" t="str" cm="1">
        <f t="array" ref="X71">_xlfn.IFS(LEFT('Monthly Update'!DP71, 3) = "*((", "", 'Monthly Update'!DP71="", "", TRUE, 'Monthly Update'!DP71)</f>
        <v/>
      </c>
      <c r="Y71" s="221" t="str" cm="1">
        <f t="array" ref="Y71">_xlfn.IFS(LEFT('Monthly Update'!DQ71, 3) = "*((", "", 'Monthly Update'!DQ71="", "", TRUE, 'Monthly Update'!DQ71)</f>
        <v/>
      </c>
      <c r="Z71" s="221" t="str" cm="1">
        <f t="array" ref="Z71">_xlfn.IFS(LEFT('Monthly Update'!DR71, 3) = "*((", "", 'Monthly Update'!DR71="", "", TRUE, 'Monthly Update'!DR71)</f>
        <v/>
      </c>
      <c r="AA71" s="221" t="str" cm="1">
        <f t="array" ref="AA71">_xlfn.IFS(LEFT('Monthly Update'!DS71, 3) = "*((", "", 'Monthly Update'!DS71="", "", TRUE, 'Monthly Update'!DS71)</f>
        <v/>
      </c>
      <c r="AB71" s="221" t="str" cm="1">
        <f t="array" ref="AB71">_xlfn.IFS(LEFT('Monthly Update'!DT71, 3) = "*((", "", 'Monthly Update'!DT71="", "", TRUE, 'Monthly Update'!DT71)</f>
        <v/>
      </c>
      <c r="AC71" s="221" t="str" cm="1">
        <f t="array" ref="AC71">_xlfn.IFS(LEFT('Monthly Update'!DU71, 3) = "*((", "", 'Monthly Update'!DU71="", "", TRUE, 'Monthly Update'!DU71)</f>
        <v/>
      </c>
      <c r="AD71" s="221" t="str" cm="1">
        <f t="array" ref="AD71">_xlfn.IFS(LEFT('Monthly Update'!DV71, 3) = "*((", "", 'Monthly Update'!DV71="", "", TRUE, 'Monthly Update'!DV71)</f>
        <v/>
      </c>
      <c r="AE71" s="221" t="str" cm="1">
        <f t="array" ref="AE71">_xlfn.IFS(LEFT('Monthly Update'!DW71, 3) = "*((", "", 'Monthly Update'!DW71="", "", TRUE, 'Monthly Update'!DW71)</f>
        <v/>
      </c>
      <c r="AF71" s="221" t="str" cm="1">
        <f t="array" ref="AF71">_xlfn.IFS(LEFT('Monthly Update'!DX71, 3) = "*((", "", 'Monthly Update'!DX71="", "", TRUE, 'Monthly Update'!DX71)</f>
        <v/>
      </c>
      <c r="AG71" s="221" t="str" cm="1">
        <f t="array" ref="AG71">_xlfn.IFS(LEFT('Monthly Update'!DY71, 3) = "*((", "", 'Monthly Update'!DY71="", "", TRUE, 'Monthly Update'!DY71)</f>
        <v/>
      </c>
      <c r="AH71" s="221" t="str" cm="1">
        <f t="array" ref="AH71">_xlfn.IFS(LEFT('Monthly Update'!DZ71, 3) = "*((", "", 'Monthly Update'!DZ71="", "", TRUE, 'Monthly Update'!DZ71)</f>
        <v/>
      </c>
      <c r="AI71" s="221" t="str" cm="1">
        <f t="array" ref="AI71">_xlfn.IFS(LEFT('Monthly Update'!EA71, 3) = "*((", "", 'Monthly Update'!EA71="", "", TRUE, 'Monthly Update'!EA71)</f>
        <v/>
      </c>
      <c r="AJ71" s="221" t="str" cm="1">
        <f t="array" ref="AJ71">_xlfn.IFS(LEFT('Monthly Update'!EB71, 3) = "*((", "", 'Monthly Update'!EB71="", "", TRUE, 'Monthly Update'!EB71)</f>
        <v/>
      </c>
      <c r="AK71" s="221" t="str" cm="1">
        <f t="array" ref="AK71">_xlfn.IFS(LEFT('Monthly Update'!EC71, 3) = "*((", "", 'Monthly Update'!EC71="", "", TRUE, 'Monthly Update'!EC71)</f>
        <v/>
      </c>
      <c r="AL71" s="221" t="str" cm="1">
        <f t="array" ref="AL71">_xlfn.IFS(LEFT('Monthly Update'!ED71, 3) = "*((", "", 'Monthly Update'!ED71="", "", TRUE, 'Monthly Update'!ED71)</f>
        <v/>
      </c>
      <c r="AM71" s="221" t="str" cm="1">
        <f t="array" ref="AM71">_xlfn.IFS(LEFT('Monthly Update'!EE71, 3) = "*((", "", 'Monthly Update'!EE71="", "", TRUE, 'Monthly Update'!EE71)</f>
        <v/>
      </c>
      <c r="AN71" s="221" t="str" cm="1">
        <f t="array" ref="AN71">_xlfn.IFS(LEFT('Monthly Update'!EF71, 3) = "*((", "", 'Monthly Update'!EF71="", "", TRUE, 'Monthly Update'!EF71)</f>
        <v/>
      </c>
      <c r="AO71" s="221" t="str" cm="1">
        <f t="array" ref="AO71">_xlfn.IFS(LEFT('Monthly Update'!EG71, 3) = "*((", "", 'Monthly Update'!EG71="", "", TRUE, 'Monthly Update'!EG71)</f>
        <v/>
      </c>
      <c r="AP71" s="221" t="str" cm="1">
        <f t="array" ref="AP71">_xlfn.IFS(LEFT('Monthly Update'!EH71, 3) = "*((", "", 'Monthly Update'!EH71="", "", TRUE, 'Monthly Update'!EH71)</f>
        <v/>
      </c>
      <c r="AQ71" s="221" t="str" cm="1">
        <f t="array" ref="AQ71">_xlfn.IFS(LEFT('Monthly Update'!EI71, 3) = "*((", "", 'Monthly Update'!EI71="", "", TRUE, 'Monthly Update'!EI71)</f>
        <v/>
      </c>
      <c r="AR71" s="221" t="str" cm="1">
        <f t="array" ref="AR71">_xlfn.IFS(LEFT('Monthly Update'!EJ71, 3) = "*((", "", 'Monthly Update'!EJ71="", "", TRUE, 'Monthly Update'!EJ71)</f>
        <v/>
      </c>
      <c r="AS71" s="221" t="str" cm="1">
        <f t="array" ref="AS71">_xlfn.IFS(LEFT('Monthly Update'!EK71, 3) = "*((", "", 'Monthly Update'!EK71="", "", TRUE, 'Monthly Update'!EK71)</f>
        <v/>
      </c>
      <c r="AT71" s="221" t="str" cm="1">
        <f t="array" ref="AT71">_xlfn.IFS(LEFT('Monthly Update'!EL71, 3) = "*((", "", 'Monthly Update'!EL71="", "", TRUE, 'Monthly Update'!EL71)</f>
        <v/>
      </c>
      <c r="AU71" s="221" t="str" cm="1">
        <f t="array" ref="AU71">_xlfn.IFS(LEFT('Monthly Update'!EM71, 3) = "*((", "", 'Monthly Update'!EM71="", "", TRUE, 'Monthly Update'!EM71)</f>
        <v/>
      </c>
      <c r="AV71" s="221" t="str" cm="1">
        <f t="array" ref="AV71">_xlfn.IFS(LEFT('Monthly Update'!EN71, 3) = "*((", "", 'Monthly Update'!EN71="", "", TRUE, 'Monthly Update'!EN71)</f>
        <v/>
      </c>
      <c r="AW71" s="221" t="str" cm="1">
        <f t="array" ref="AW71">_xlfn.IFS(LEFT('Monthly Update'!EO71, 3) = "*((", "", 'Monthly Update'!EO71="", "", TRUE, 'Monthly Update'!EO71)</f>
        <v/>
      </c>
      <c r="NU71" s="252"/>
      <c r="NV71" s="252"/>
      <c r="NW71" s="252"/>
      <c r="NX71" s="252"/>
      <c r="NY71" s="252"/>
      <c r="NZ71" s="252"/>
      <c r="OA71" s="252"/>
      <c r="OB71" s="252"/>
      <c r="OC71" s="252"/>
      <c r="OD71" s="252"/>
      <c r="OE71" s="252"/>
      <c r="OF71" s="252"/>
      <c r="OG71" s="252"/>
      <c r="OH71" s="252"/>
      <c r="OI71" s="252"/>
      <c r="OJ71" s="252"/>
      <c r="OK71" s="252"/>
      <c r="OL71" s="252"/>
      <c r="OM71" s="252"/>
      <c r="ON71" s="252"/>
      <c r="OO71" s="252"/>
      <c r="OP71" s="252"/>
      <c r="OQ71" s="252"/>
      <c r="OR71" s="252"/>
      <c r="OS71" s="252"/>
      <c r="OT71" s="252"/>
      <c r="OU71" s="252"/>
      <c r="OV71" s="252"/>
      <c r="OW71" s="252"/>
      <c r="OX71" s="252"/>
      <c r="OY71" s="252"/>
      <c r="OZ71" s="252"/>
      <c r="PA71" s="252"/>
      <c r="PB71" s="252"/>
      <c r="PC71" s="252"/>
      <c r="PD71" s="252"/>
      <c r="PE71" s="252"/>
      <c r="PF71" s="252"/>
      <c r="PG71" s="252"/>
      <c r="PH71" s="252"/>
      <c r="PI71" s="252"/>
      <c r="PJ71" s="252"/>
      <c r="PK71" s="252"/>
      <c r="PL71" s="252"/>
      <c r="PM71" s="252"/>
      <c r="PN71" s="252"/>
      <c r="PO71" s="252"/>
      <c r="PP71" s="252"/>
      <c r="PQ71" s="252"/>
      <c r="PR71" s="252"/>
      <c r="PS71" s="252"/>
      <c r="PT71" s="252"/>
      <c r="PU71" s="252"/>
      <c r="PV71" s="252"/>
      <c r="PW71" s="252"/>
      <c r="PX71" s="252"/>
      <c r="PY71" s="252"/>
      <c r="PZ71" s="252"/>
      <c r="QA71" s="252"/>
      <c r="QB71" s="252"/>
      <c r="QC71" s="252"/>
      <c r="QD71" s="252"/>
      <c r="QE71" s="252"/>
      <c r="QF71" s="252"/>
      <c r="QG71" s="252"/>
      <c r="QH71" s="252"/>
      <c r="QI71" s="252"/>
      <c r="QJ71" s="252"/>
      <c r="QK71" s="252"/>
      <c r="QL71" s="252"/>
      <c r="QM71" s="252"/>
      <c r="QN71" s="252"/>
      <c r="QO71" s="252"/>
      <c r="QP71" s="252"/>
      <c r="QQ71" s="252"/>
      <c r="QR71" s="252"/>
      <c r="QS71" s="252"/>
      <c r="QT71" s="252"/>
      <c r="QU71" s="252"/>
      <c r="QV71" s="252"/>
      <c r="QW71" s="252"/>
      <c r="QX71" s="252"/>
      <c r="QY71" s="252"/>
      <c r="QZ71" s="252"/>
      <c r="RA71" s="252"/>
      <c r="RB71" s="252"/>
      <c r="RC71" s="252"/>
      <c r="RD71" s="252"/>
      <c r="RE71" s="252"/>
      <c r="RF71" s="252"/>
      <c r="RG71" s="252"/>
      <c r="RH71" s="252"/>
      <c r="RI71" s="252"/>
      <c r="RJ71" s="252"/>
      <c r="RK71" s="252"/>
      <c r="RL71" s="252"/>
      <c r="RM71" s="252"/>
      <c r="RN71" s="252"/>
      <c r="RO71" s="252"/>
      <c r="RP71" s="252"/>
      <c r="RQ71" s="252"/>
      <c r="RR71" s="252"/>
      <c r="RS71" s="252"/>
      <c r="RT71" s="252"/>
      <c r="RU71" s="252"/>
      <c r="RV71" s="252"/>
      <c r="RW71" s="252"/>
      <c r="RX71" s="252"/>
      <c r="RY71" s="252"/>
      <c r="RZ71" s="252"/>
      <c r="SA71" s="252"/>
      <c r="SB71" s="252"/>
      <c r="SC71" s="252"/>
      <c r="SD71" s="252"/>
      <c r="SE71" s="252"/>
      <c r="SF71" s="252"/>
      <c r="SG71" s="252"/>
      <c r="SH71" s="252"/>
      <c r="SI71" s="252"/>
      <c r="SJ71" s="252"/>
      <c r="SK71" s="252"/>
      <c r="SL71" s="252"/>
      <c r="SM71" s="252"/>
      <c r="SN71" s="252"/>
    </row>
    <row r="72" spans="1:508" s="243" customFormat="1" ht="15.6" customHeight="1" x14ac:dyDescent="0.55000000000000004">
      <c r="A72" s="220" t="str" cm="1">
        <f t="array" ref="A72">_xlfn.IFS(LEFT('Monthly Update'!A72, 3) = "*((", "", 'Monthly Update'!A72="", "", TRUE, 'Monthly Update'!A72)</f>
        <v/>
      </c>
      <c r="B72" s="220" t="str" cm="1">
        <f t="array" ref="B72">_xlfn.IFS(LEFT('Monthly Update'!B72, 3) = "*((", "", 'Monthly Update'!B72="", "", TRUE, 'Monthly Update'!B72)</f>
        <v/>
      </c>
      <c r="C72" s="221" t="str" cm="1">
        <f t="array" ref="C72">_xlfn.IFS(LEFT('Monthly Update'!CU72, 3) = "*((", "", 'Monthly Update'!CU72="", "", TRUE, 'Monthly Update'!CU72)</f>
        <v/>
      </c>
      <c r="D72" s="221" t="str" cm="1">
        <f t="array" ref="D72">_xlfn.IFS(LEFT('Monthly Update'!CV72, 3) = "*((", "", 'Monthly Update'!CV72="", "", TRUE, 'Monthly Update'!CV72)</f>
        <v/>
      </c>
      <c r="E72" s="221" t="str" cm="1">
        <f t="array" ref="E72">_xlfn.IFS(LEFT('Monthly Update'!CW72, 3) = "*((", "", 'Monthly Update'!CW72="", "", TRUE, 'Monthly Update'!CW72)</f>
        <v/>
      </c>
      <c r="F72" s="221" t="str" cm="1">
        <f t="array" ref="F72">_xlfn.IFS(LEFT('Monthly Update'!CX72, 3) = "*((", "", 'Monthly Update'!CX72="", "", TRUE, 'Monthly Update'!CX72)</f>
        <v/>
      </c>
      <c r="G72" s="221" t="str" cm="1">
        <f t="array" ref="G72">_xlfn.IFS(LEFT('Monthly Update'!CY72, 3) = "*((", "", 'Monthly Update'!CY72="", "", TRUE, 'Monthly Update'!CY72)</f>
        <v/>
      </c>
      <c r="H72" s="221" t="str" cm="1">
        <f t="array" ref="H72">_xlfn.IFS(LEFT('Monthly Update'!CZ72, 3) = "*((", "", 'Monthly Update'!CZ72="", "", TRUE, 'Monthly Update'!CZ72)</f>
        <v/>
      </c>
      <c r="I72" s="221" t="str" cm="1">
        <f t="array" ref="I72">_xlfn.IFS(LEFT('Monthly Update'!DA72, 3) = "*((", "", 'Monthly Update'!DA72="", "", TRUE, 'Monthly Update'!DA72)</f>
        <v/>
      </c>
      <c r="J72" s="221" t="str" cm="1">
        <f t="array" ref="J72">_xlfn.IFS(LEFT('Monthly Update'!DB72, 3) = "*((", "", 'Monthly Update'!DB72="", "", TRUE, 'Monthly Update'!DB72)</f>
        <v/>
      </c>
      <c r="K72" s="221" t="str" cm="1">
        <f t="array" ref="K72">_xlfn.IFS(LEFT('Monthly Update'!DC72, 3) = "*((", "", 'Monthly Update'!DC72="", "", TRUE, 'Monthly Update'!DC72)</f>
        <v/>
      </c>
      <c r="L72" s="221" t="str" cm="1">
        <f t="array" ref="L72">_xlfn.IFS(LEFT('Monthly Update'!DD72, 3) = "*((", "", 'Monthly Update'!DD72="", "", TRUE, 'Monthly Update'!DD72)</f>
        <v/>
      </c>
      <c r="M72" s="221" t="str" cm="1">
        <f t="array" ref="M72">_xlfn.IFS(LEFT('Monthly Update'!DE72, 3) = "*((", "", 'Monthly Update'!DE72="", "", TRUE, 'Monthly Update'!DE72)</f>
        <v/>
      </c>
      <c r="N72" s="221" t="str" cm="1">
        <f t="array" ref="N72">_xlfn.IFS(LEFT('Monthly Update'!DF72, 3) = "*((", "", 'Monthly Update'!DF72="", "", TRUE, 'Monthly Update'!DF72)</f>
        <v/>
      </c>
      <c r="O72" s="221" t="str" cm="1">
        <f t="array" ref="O72">_xlfn.IFS(LEFT('Monthly Update'!DG72, 3) = "*((", "", 'Monthly Update'!DG72="", "", TRUE, 'Monthly Update'!DG72)</f>
        <v/>
      </c>
      <c r="P72" s="221" t="str" cm="1">
        <f t="array" ref="P72">_xlfn.IFS(LEFT('Monthly Update'!DH72, 3) = "*((", "", 'Monthly Update'!DH72="", "", TRUE, 'Monthly Update'!DH72)</f>
        <v/>
      </c>
      <c r="Q72" s="221" t="str" cm="1">
        <f t="array" ref="Q72">_xlfn.IFS(LEFT('Monthly Update'!DI72, 3) = "*((", "", 'Monthly Update'!DI72="", "", TRUE, 'Monthly Update'!DI72)</f>
        <v/>
      </c>
      <c r="R72" s="221" t="str" cm="1">
        <f t="array" ref="R72">_xlfn.IFS(LEFT('Monthly Update'!DJ72, 3) = "*((", "", 'Monthly Update'!DJ72="", "", TRUE, 'Monthly Update'!DJ72)</f>
        <v/>
      </c>
      <c r="S72" s="221" t="str" cm="1">
        <f t="array" ref="S72">_xlfn.IFS(LEFT('Monthly Update'!DK72, 3) = "*((", "", 'Monthly Update'!DK72="", "", TRUE, 'Monthly Update'!DK72)</f>
        <v/>
      </c>
      <c r="T72" s="221" t="str" cm="1">
        <f t="array" ref="T72">_xlfn.IFS(LEFT('Monthly Update'!DL72, 3) = "*((", "", 'Monthly Update'!DL72="", "", TRUE, 'Monthly Update'!DL72)</f>
        <v/>
      </c>
      <c r="U72" s="221" t="str" cm="1">
        <f t="array" ref="U72">_xlfn.IFS(LEFT('Monthly Update'!DM72, 3) = "*((", "", 'Monthly Update'!DM72="", "", TRUE, 'Monthly Update'!DM72)</f>
        <v/>
      </c>
      <c r="V72" s="221" t="str" cm="1">
        <f t="array" ref="V72">_xlfn.IFS(LEFT('Monthly Update'!DN72, 3) = "*((", "", 'Monthly Update'!DN72="", "", TRUE, 'Monthly Update'!DN72)</f>
        <v/>
      </c>
      <c r="W72" s="221" t="str" cm="1">
        <f t="array" ref="W72">_xlfn.IFS(LEFT('Monthly Update'!DO72, 3) = "*((", "", 'Monthly Update'!DO72="", "", TRUE, 'Monthly Update'!DO72)</f>
        <v/>
      </c>
      <c r="X72" s="221" t="str" cm="1">
        <f t="array" ref="X72">_xlfn.IFS(LEFT('Monthly Update'!DP72, 3) = "*((", "", 'Monthly Update'!DP72="", "", TRUE, 'Monthly Update'!DP72)</f>
        <v/>
      </c>
      <c r="Y72" s="221" t="str" cm="1">
        <f t="array" ref="Y72">_xlfn.IFS(LEFT('Monthly Update'!DQ72, 3) = "*((", "", 'Monthly Update'!DQ72="", "", TRUE, 'Monthly Update'!DQ72)</f>
        <v/>
      </c>
      <c r="Z72" s="221" t="str" cm="1">
        <f t="array" ref="Z72">_xlfn.IFS(LEFT('Monthly Update'!DR72, 3) = "*((", "", 'Monthly Update'!DR72="", "", TRUE, 'Monthly Update'!DR72)</f>
        <v/>
      </c>
      <c r="AA72" s="221" t="str" cm="1">
        <f t="array" ref="AA72">_xlfn.IFS(LEFT('Monthly Update'!DS72, 3) = "*((", "", 'Monthly Update'!DS72="", "", TRUE, 'Monthly Update'!DS72)</f>
        <v/>
      </c>
      <c r="AB72" s="221" t="str" cm="1">
        <f t="array" ref="AB72">_xlfn.IFS(LEFT('Monthly Update'!DT72, 3) = "*((", "", 'Monthly Update'!DT72="", "", TRUE, 'Monthly Update'!DT72)</f>
        <v/>
      </c>
      <c r="AC72" s="221" t="str" cm="1">
        <f t="array" ref="AC72">_xlfn.IFS(LEFT('Monthly Update'!DU72, 3) = "*((", "", 'Monthly Update'!DU72="", "", TRUE, 'Monthly Update'!DU72)</f>
        <v/>
      </c>
      <c r="AD72" s="221" t="str" cm="1">
        <f t="array" ref="AD72">_xlfn.IFS(LEFT('Monthly Update'!DV72, 3) = "*((", "", 'Monthly Update'!DV72="", "", TRUE, 'Monthly Update'!DV72)</f>
        <v/>
      </c>
      <c r="AE72" s="221" t="str" cm="1">
        <f t="array" ref="AE72">_xlfn.IFS(LEFT('Monthly Update'!DW72, 3) = "*((", "", 'Monthly Update'!DW72="", "", TRUE, 'Monthly Update'!DW72)</f>
        <v/>
      </c>
      <c r="AF72" s="221" t="str" cm="1">
        <f t="array" ref="AF72">_xlfn.IFS(LEFT('Monthly Update'!DX72, 3) = "*((", "", 'Monthly Update'!DX72="", "", TRUE, 'Monthly Update'!DX72)</f>
        <v/>
      </c>
      <c r="AG72" s="221" t="str" cm="1">
        <f t="array" ref="AG72">_xlfn.IFS(LEFT('Monthly Update'!DY72, 3) = "*((", "", 'Monthly Update'!DY72="", "", TRUE, 'Monthly Update'!DY72)</f>
        <v/>
      </c>
      <c r="AH72" s="221" t="str" cm="1">
        <f t="array" ref="AH72">_xlfn.IFS(LEFT('Monthly Update'!DZ72, 3) = "*((", "", 'Monthly Update'!DZ72="", "", TRUE, 'Monthly Update'!DZ72)</f>
        <v/>
      </c>
      <c r="AI72" s="221" t="str" cm="1">
        <f t="array" ref="AI72">_xlfn.IFS(LEFT('Monthly Update'!EA72, 3) = "*((", "", 'Monthly Update'!EA72="", "", TRUE, 'Monthly Update'!EA72)</f>
        <v/>
      </c>
      <c r="AJ72" s="221" t="str" cm="1">
        <f t="array" ref="AJ72">_xlfn.IFS(LEFT('Monthly Update'!EB72, 3) = "*((", "", 'Monthly Update'!EB72="", "", TRUE, 'Monthly Update'!EB72)</f>
        <v/>
      </c>
      <c r="AK72" s="221" t="str" cm="1">
        <f t="array" ref="AK72">_xlfn.IFS(LEFT('Monthly Update'!EC72, 3) = "*((", "", 'Monthly Update'!EC72="", "", TRUE, 'Monthly Update'!EC72)</f>
        <v/>
      </c>
      <c r="AL72" s="221" t="str" cm="1">
        <f t="array" ref="AL72">_xlfn.IFS(LEFT('Monthly Update'!ED72, 3) = "*((", "", 'Monthly Update'!ED72="", "", TRUE, 'Monthly Update'!ED72)</f>
        <v/>
      </c>
      <c r="AM72" s="221" t="str" cm="1">
        <f t="array" ref="AM72">_xlfn.IFS(LEFT('Monthly Update'!EE72, 3) = "*((", "", 'Monthly Update'!EE72="", "", TRUE, 'Monthly Update'!EE72)</f>
        <v/>
      </c>
      <c r="AN72" s="221" t="str" cm="1">
        <f t="array" ref="AN72">_xlfn.IFS(LEFT('Monthly Update'!EF72, 3) = "*((", "", 'Monthly Update'!EF72="", "", TRUE, 'Monthly Update'!EF72)</f>
        <v/>
      </c>
      <c r="AO72" s="221" t="str" cm="1">
        <f t="array" ref="AO72">_xlfn.IFS(LEFT('Monthly Update'!EG72, 3) = "*((", "", 'Monthly Update'!EG72="", "", TRUE, 'Monthly Update'!EG72)</f>
        <v/>
      </c>
      <c r="AP72" s="221" t="str" cm="1">
        <f t="array" ref="AP72">_xlfn.IFS(LEFT('Monthly Update'!EH72, 3) = "*((", "", 'Monthly Update'!EH72="", "", TRUE, 'Monthly Update'!EH72)</f>
        <v/>
      </c>
      <c r="AQ72" s="221" t="str" cm="1">
        <f t="array" ref="AQ72">_xlfn.IFS(LEFT('Monthly Update'!EI72, 3) = "*((", "", 'Monthly Update'!EI72="", "", TRUE, 'Monthly Update'!EI72)</f>
        <v/>
      </c>
      <c r="AR72" s="221" t="str" cm="1">
        <f t="array" ref="AR72">_xlfn.IFS(LEFT('Monthly Update'!EJ72, 3) = "*((", "", 'Monthly Update'!EJ72="", "", TRUE, 'Monthly Update'!EJ72)</f>
        <v/>
      </c>
      <c r="AS72" s="221" t="str" cm="1">
        <f t="array" ref="AS72">_xlfn.IFS(LEFT('Monthly Update'!EK72, 3) = "*((", "", 'Monthly Update'!EK72="", "", TRUE, 'Monthly Update'!EK72)</f>
        <v/>
      </c>
      <c r="AT72" s="221" t="str" cm="1">
        <f t="array" ref="AT72">_xlfn.IFS(LEFT('Monthly Update'!EL72, 3) = "*((", "", 'Monthly Update'!EL72="", "", TRUE, 'Monthly Update'!EL72)</f>
        <v/>
      </c>
      <c r="AU72" s="221" t="str" cm="1">
        <f t="array" ref="AU72">_xlfn.IFS(LEFT('Monthly Update'!EM72, 3) = "*((", "", 'Monthly Update'!EM72="", "", TRUE, 'Monthly Update'!EM72)</f>
        <v/>
      </c>
      <c r="AV72" s="221" t="str" cm="1">
        <f t="array" ref="AV72">_xlfn.IFS(LEFT('Monthly Update'!EN72, 3) = "*((", "", 'Monthly Update'!EN72="", "", TRUE, 'Monthly Update'!EN72)</f>
        <v/>
      </c>
      <c r="AW72" s="221" t="str" cm="1">
        <f t="array" ref="AW72">_xlfn.IFS(LEFT('Monthly Update'!EO72, 3) = "*((", "", 'Monthly Update'!EO72="", "", TRUE, 'Monthly Update'!EO72)</f>
        <v/>
      </c>
      <c r="NU72" s="252"/>
      <c r="NV72" s="252"/>
      <c r="NW72" s="252"/>
      <c r="NX72" s="252"/>
      <c r="NY72" s="252"/>
      <c r="NZ72" s="252"/>
      <c r="OA72" s="252"/>
      <c r="OB72" s="252"/>
      <c r="OC72" s="252"/>
      <c r="OD72" s="252"/>
      <c r="OE72" s="252"/>
      <c r="OF72" s="252"/>
      <c r="OG72" s="252"/>
      <c r="OH72" s="252"/>
      <c r="OI72" s="252"/>
      <c r="OJ72" s="252"/>
      <c r="OK72" s="252"/>
      <c r="OL72" s="252"/>
      <c r="OM72" s="252"/>
      <c r="ON72" s="252"/>
      <c r="OO72" s="252"/>
      <c r="OP72" s="252"/>
      <c r="OQ72" s="252"/>
      <c r="OR72" s="252"/>
      <c r="OS72" s="252"/>
      <c r="OT72" s="252"/>
      <c r="OU72" s="252"/>
      <c r="OV72" s="252"/>
      <c r="OW72" s="252"/>
      <c r="OX72" s="252"/>
      <c r="OY72" s="252"/>
      <c r="OZ72" s="252"/>
      <c r="PA72" s="252"/>
      <c r="PB72" s="252"/>
      <c r="PC72" s="252"/>
      <c r="PD72" s="252"/>
      <c r="PE72" s="252"/>
      <c r="PF72" s="252"/>
      <c r="PG72" s="252"/>
      <c r="PH72" s="252"/>
      <c r="PI72" s="252"/>
      <c r="PJ72" s="252"/>
      <c r="PK72" s="252"/>
      <c r="PL72" s="252"/>
      <c r="PM72" s="252"/>
      <c r="PN72" s="252"/>
      <c r="PO72" s="252"/>
      <c r="PP72" s="252"/>
      <c r="PQ72" s="252"/>
      <c r="PR72" s="252"/>
      <c r="PS72" s="252"/>
      <c r="PT72" s="252"/>
      <c r="PU72" s="252"/>
      <c r="PV72" s="252"/>
      <c r="PW72" s="252"/>
      <c r="PX72" s="252"/>
      <c r="PY72" s="252"/>
      <c r="PZ72" s="252"/>
      <c r="QA72" s="252"/>
      <c r="QB72" s="252"/>
      <c r="QC72" s="252"/>
      <c r="QD72" s="252"/>
      <c r="QE72" s="252"/>
      <c r="QF72" s="252"/>
      <c r="QG72" s="252"/>
      <c r="QH72" s="252"/>
      <c r="QI72" s="252"/>
      <c r="QJ72" s="252"/>
      <c r="QK72" s="252"/>
      <c r="QL72" s="252"/>
      <c r="QM72" s="252"/>
      <c r="QN72" s="252"/>
      <c r="QO72" s="252"/>
      <c r="QP72" s="252"/>
      <c r="QQ72" s="252"/>
      <c r="QR72" s="252"/>
      <c r="QS72" s="252"/>
      <c r="QT72" s="252"/>
      <c r="QU72" s="252"/>
      <c r="QV72" s="252"/>
      <c r="QW72" s="252"/>
      <c r="QX72" s="252"/>
      <c r="QY72" s="252"/>
      <c r="QZ72" s="252"/>
      <c r="RA72" s="252"/>
      <c r="RB72" s="252"/>
      <c r="RC72" s="252"/>
      <c r="RD72" s="252"/>
      <c r="RE72" s="252"/>
      <c r="RF72" s="252"/>
      <c r="RG72" s="252"/>
      <c r="RH72" s="252"/>
      <c r="RI72" s="252"/>
      <c r="RJ72" s="252"/>
      <c r="RK72" s="252"/>
      <c r="RL72" s="252"/>
      <c r="RM72" s="252"/>
      <c r="RN72" s="252"/>
      <c r="RO72" s="252"/>
      <c r="RP72" s="252"/>
      <c r="RQ72" s="252"/>
      <c r="RR72" s="252"/>
      <c r="RS72" s="252"/>
      <c r="RT72" s="252"/>
      <c r="RU72" s="252"/>
      <c r="RV72" s="252"/>
      <c r="RW72" s="252"/>
      <c r="RX72" s="252"/>
      <c r="RY72" s="252"/>
      <c r="RZ72" s="252"/>
      <c r="SA72" s="252"/>
      <c r="SB72" s="252"/>
      <c r="SC72" s="252"/>
      <c r="SD72" s="252"/>
      <c r="SE72" s="252"/>
      <c r="SF72" s="252"/>
      <c r="SG72" s="252"/>
      <c r="SH72" s="252"/>
      <c r="SI72" s="252"/>
      <c r="SJ72" s="252"/>
      <c r="SK72" s="252"/>
      <c r="SL72" s="252"/>
      <c r="SM72" s="252"/>
      <c r="SN72" s="252"/>
    </row>
    <row r="73" spans="1:508" s="243" customFormat="1" ht="15.6" customHeight="1" x14ac:dyDescent="0.55000000000000004">
      <c r="A73" s="220" t="str" cm="1">
        <f t="array" ref="A73">_xlfn.IFS(LEFT('Monthly Update'!A73, 3) = "*((", "", 'Monthly Update'!A73="", "", TRUE, 'Monthly Update'!A73)</f>
        <v/>
      </c>
      <c r="B73" s="220" t="str" cm="1">
        <f t="array" ref="B73">_xlfn.IFS(LEFT('Monthly Update'!B73, 3) = "*((", "", 'Monthly Update'!B73="", "", TRUE, 'Monthly Update'!B73)</f>
        <v/>
      </c>
      <c r="C73" s="221" t="str" cm="1">
        <f t="array" ref="C73">_xlfn.IFS(LEFT('Monthly Update'!CU73, 3) = "*((", "", 'Monthly Update'!CU73="", "", TRUE, 'Monthly Update'!CU73)</f>
        <v/>
      </c>
      <c r="D73" s="221" t="str" cm="1">
        <f t="array" ref="D73">_xlfn.IFS(LEFT('Monthly Update'!CV73, 3) = "*((", "", 'Monthly Update'!CV73="", "", TRUE, 'Monthly Update'!CV73)</f>
        <v/>
      </c>
      <c r="E73" s="221" t="str" cm="1">
        <f t="array" ref="E73">_xlfn.IFS(LEFT('Monthly Update'!CW73, 3) = "*((", "", 'Monthly Update'!CW73="", "", TRUE, 'Monthly Update'!CW73)</f>
        <v/>
      </c>
      <c r="F73" s="221" t="str" cm="1">
        <f t="array" ref="F73">_xlfn.IFS(LEFT('Monthly Update'!CX73, 3) = "*((", "", 'Monthly Update'!CX73="", "", TRUE, 'Monthly Update'!CX73)</f>
        <v/>
      </c>
      <c r="G73" s="221" t="str" cm="1">
        <f t="array" ref="G73">_xlfn.IFS(LEFT('Monthly Update'!CY73, 3) = "*((", "", 'Monthly Update'!CY73="", "", TRUE, 'Monthly Update'!CY73)</f>
        <v/>
      </c>
      <c r="H73" s="221" t="str" cm="1">
        <f t="array" ref="H73">_xlfn.IFS(LEFT('Monthly Update'!CZ73, 3) = "*((", "", 'Monthly Update'!CZ73="", "", TRUE, 'Monthly Update'!CZ73)</f>
        <v/>
      </c>
      <c r="I73" s="221" t="str" cm="1">
        <f t="array" ref="I73">_xlfn.IFS(LEFT('Monthly Update'!DA73, 3) = "*((", "", 'Monthly Update'!DA73="", "", TRUE, 'Monthly Update'!DA73)</f>
        <v/>
      </c>
      <c r="J73" s="221" t="str" cm="1">
        <f t="array" ref="J73">_xlfn.IFS(LEFT('Monthly Update'!DB73, 3) = "*((", "", 'Monthly Update'!DB73="", "", TRUE, 'Monthly Update'!DB73)</f>
        <v/>
      </c>
      <c r="K73" s="221" t="str" cm="1">
        <f t="array" ref="K73">_xlfn.IFS(LEFT('Monthly Update'!DC73, 3) = "*((", "", 'Monthly Update'!DC73="", "", TRUE, 'Monthly Update'!DC73)</f>
        <v/>
      </c>
      <c r="L73" s="221" t="str" cm="1">
        <f t="array" ref="L73">_xlfn.IFS(LEFT('Monthly Update'!DD73, 3) = "*((", "", 'Monthly Update'!DD73="", "", TRUE, 'Monthly Update'!DD73)</f>
        <v/>
      </c>
      <c r="M73" s="221" t="str" cm="1">
        <f t="array" ref="M73">_xlfn.IFS(LEFT('Monthly Update'!DE73, 3) = "*((", "", 'Monthly Update'!DE73="", "", TRUE, 'Monthly Update'!DE73)</f>
        <v/>
      </c>
      <c r="N73" s="221" t="str" cm="1">
        <f t="array" ref="N73">_xlfn.IFS(LEFT('Monthly Update'!DF73, 3) = "*((", "", 'Monthly Update'!DF73="", "", TRUE, 'Monthly Update'!DF73)</f>
        <v/>
      </c>
      <c r="O73" s="221" t="str" cm="1">
        <f t="array" ref="O73">_xlfn.IFS(LEFT('Monthly Update'!DG73, 3) = "*((", "", 'Monthly Update'!DG73="", "", TRUE, 'Monthly Update'!DG73)</f>
        <v/>
      </c>
      <c r="P73" s="221" t="str" cm="1">
        <f t="array" ref="P73">_xlfn.IFS(LEFT('Monthly Update'!DH73, 3) = "*((", "", 'Monthly Update'!DH73="", "", TRUE, 'Monthly Update'!DH73)</f>
        <v/>
      </c>
      <c r="Q73" s="221" t="str" cm="1">
        <f t="array" ref="Q73">_xlfn.IFS(LEFT('Monthly Update'!DI73, 3) = "*((", "", 'Monthly Update'!DI73="", "", TRUE, 'Monthly Update'!DI73)</f>
        <v/>
      </c>
      <c r="R73" s="221" t="str" cm="1">
        <f t="array" ref="R73">_xlfn.IFS(LEFT('Monthly Update'!DJ73, 3) = "*((", "", 'Monthly Update'!DJ73="", "", TRUE, 'Monthly Update'!DJ73)</f>
        <v/>
      </c>
      <c r="S73" s="221" t="str" cm="1">
        <f t="array" ref="S73">_xlfn.IFS(LEFT('Monthly Update'!DK73, 3) = "*((", "", 'Monthly Update'!DK73="", "", TRUE, 'Monthly Update'!DK73)</f>
        <v/>
      </c>
      <c r="T73" s="221" t="str" cm="1">
        <f t="array" ref="T73">_xlfn.IFS(LEFT('Monthly Update'!DL73, 3) = "*((", "", 'Monthly Update'!DL73="", "", TRUE, 'Monthly Update'!DL73)</f>
        <v/>
      </c>
      <c r="U73" s="221" t="str" cm="1">
        <f t="array" ref="U73">_xlfn.IFS(LEFT('Monthly Update'!DM73, 3) = "*((", "", 'Monthly Update'!DM73="", "", TRUE, 'Monthly Update'!DM73)</f>
        <v/>
      </c>
      <c r="V73" s="221" t="str" cm="1">
        <f t="array" ref="V73">_xlfn.IFS(LEFT('Monthly Update'!DN73, 3) = "*((", "", 'Monthly Update'!DN73="", "", TRUE, 'Monthly Update'!DN73)</f>
        <v/>
      </c>
      <c r="W73" s="221" t="str" cm="1">
        <f t="array" ref="W73">_xlfn.IFS(LEFT('Monthly Update'!DO73, 3) = "*((", "", 'Monthly Update'!DO73="", "", TRUE, 'Monthly Update'!DO73)</f>
        <v/>
      </c>
      <c r="X73" s="221" t="str" cm="1">
        <f t="array" ref="X73">_xlfn.IFS(LEFT('Monthly Update'!DP73, 3) = "*((", "", 'Monthly Update'!DP73="", "", TRUE, 'Monthly Update'!DP73)</f>
        <v/>
      </c>
      <c r="Y73" s="221" t="str" cm="1">
        <f t="array" ref="Y73">_xlfn.IFS(LEFT('Monthly Update'!DQ73, 3) = "*((", "", 'Monthly Update'!DQ73="", "", TRUE, 'Monthly Update'!DQ73)</f>
        <v/>
      </c>
      <c r="Z73" s="221" t="str" cm="1">
        <f t="array" ref="Z73">_xlfn.IFS(LEFT('Monthly Update'!DR73, 3) = "*((", "", 'Monthly Update'!DR73="", "", TRUE, 'Monthly Update'!DR73)</f>
        <v/>
      </c>
      <c r="AA73" s="221" t="str" cm="1">
        <f t="array" ref="AA73">_xlfn.IFS(LEFT('Monthly Update'!DS73, 3) = "*((", "", 'Monthly Update'!DS73="", "", TRUE, 'Monthly Update'!DS73)</f>
        <v/>
      </c>
      <c r="AB73" s="221" t="str" cm="1">
        <f t="array" ref="AB73">_xlfn.IFS(LEFT('Monthly Update'!DT73, 3) = "*((", "", 'Monthly Update'!DT73="", "", TRUE, 'Monthly Update'!DT73)</f>
        <v/>
      </c>
      <c r="AC73" s="221" t="str" cm="1">
        <f t="array" ref="AC73">_xlfn.IFS(LEFT('Monthly Update'!DU73, 3) = "*((", "", 'Monthly Update'!DU73="", "", TRUE, 'Monthly Update'!DU73)</f>
        <v/>
      </c>
      <c r="AD73" s="221" t="str" cm="1">
        <f t="array" ref="AD73">_xlfn.IFS(LEFT('Monthly Update'!DV73, 3) = "*((", "", 'Monthly Update'!DV73="", "", TRUE, 'Monthly Update'!DV73)</f>
        <v/>
      </c>
      <c r="AE73" s="221" t="str" cm="1">
        <f t="array" ref="AE73">_xlfn.IFS(LEFT('Monthly Update'!DW73, 3) = "*((", "", 'Monthly Update'!DW73="", "", TRUE, 'Monthly Update'!DW73)</f>
        <v/>
      </c>
      <c r="AF73" s="221" t="str" cm="1">
        <f t="array" ref="AF73">_xlfn.IFS(LEFT('Monthly Update'!DX73, 3) = "*((", "", 'Monthly Update'!DX73="", "", TRUE, 'Monthly Update'!DX73)</f>
        <v/>
      </c>
      <c r="AG73" s="221" t="str" cm="1">
        <f t="array" ref="AG73">_xlfn.IFS(LEFT('Monthly Update'!DY73, 3) = "*((", "", 'Monthly Update'!DY73="", "", TRUE, 'Monthly Update'!DY73)</f>
        <v/>
      </c>
      <c r="AH73" s="221" t="str" cm="1">
        <f t="array" ref="AH73">_xlfn.IFS(LEFT('Monthly Update'!DZ73, 3) = "*((", "", 'Monthly Update'!DZ73="", "", TRUE, 'Monthly Update'!DZ73)</f>
        <v/>
      </c>
      <c r="AI73" s="221" t="str" cm="1">
        <f t="array" ref="AI73">_xlfn.IFS(LEFT('Monthly Update'!EA73, 3) = "*((", "", 'Monthly Update'!EA73="", "", TRUE, 'Monthly Update'!EA73)</f>
        <v/>
      </c>
      <c r="AJ73" s="221" t="str" cm="1">
        <f t="array" ref="AJ73">_xlfn.IFS(LEFT('Monthly Update'!EB73, 3) = "*((", "", 'Monthly Update'!EB73="", "", TRUE, 'Monthly Update'!EB73)</f>
        <v/>
      </c>
      <c r="AK73" s="221" t="str" cm="1">
        <f t="array" ref="AK73">_xlfn.IFS(LEFT('Monthly Update'!EC73, 3) = "*((", "", 'Monthly Update'!EC73="", "", TRUE, 'Monthly Update'!EC73)</f>
        <v/>
      </c>
      <c r="AL73" s="221" t="str" cm="1">
        <f t="array" ref="AL73">_xlfn.IFS(LEFT('Monthly Update'!ED73, 3) = "*((", "", 'Monthly Update'!ED73="", "", TRUE, 'Monthly Update'!ED73)</f>
        <v/>
      </c>
      <c r="AM73" s="221" t="str" cm="1">
        <f t="array" ref="AM73">_xlfn.IFS(LEFT('Monthly Update'!EE73, 3) = "*((", "", 'Monthly Update'!EE73="", "", TRUE, 'Monthly Update'!EE73)</f>
        <v/>
      </c>
      <c r="AN73" s="221" t="str" cm="1">
        <f t="array" ref="AN73">_xlfn.IFS(LEFT('Monthly Update'!EF73, 3) = "*((", "", 'Monthly Update'!EF73="", "", TRUE, 'Monthly Update'!EF73)</f>
        <v/>
      </c>
      <c r="AO73" s="221" t="str" cm="1">
        <f t="array" ref="AO73">_xlfn.IFS(LEFT('Monthly Update'!EG73, 3) = "*((", "", 'Monthly Update'!EG73="", "", TRUE, 'Monthly Update'!EG73)</f>
        <v/>
      </c>
      <c r="AP73" s="221" t="str" cm="1">
        <f t="array" ref="AP73">_xlfn.IFS(LEFT('Monthly Update'!EH73, 3) = "*((", "", 'Monthly Update'!EH73="", "", TRUE, 'Monthly Update'!EH73)</f>
        <v/>
      </c>
      <c r="AQ73" s="221" t="str" cm="1">
        <f t="array" ref="AQ73">_xlfn.IFS(LEFT('Monthly Update'!EI73, 3) = "*((", "", 'Monthly Update'!EI73="", "", TRUE, 'Monthly Update'!EI73)</f>
        <v/>
      </c>
      <c r="AR73" s="221" t="str" cm="1">
        <f t="array" ref="AR73">_xlfn.IFS(LEFT('Monthly Update'!EJ73, 3) = "*((", "", 'Monthly Update'!EJ73="", "", TRUE, 'Monthly Update'!EJ73)</f>
        <v/>
      </c>
      <c r="AS73" s="221" t="str" cm="1">
        <f t="array" ref="AS73">_xlfn.IFS(LEFT('Monthly Update'!EK73, 3) = "*((", "", 'Monthly Update'!EK73="", "", TRUE, 'Monthly Update'!EK73)</f>
        <v/>
      </c>
      <c r="AT73" s="221" t="str" cm="1">
        <f t="array" ref="AT73">_xlfn.IFS(LEFT('Monthly Update'!EL73, 3) = "*((", "", 'Monthly Update'!EL73="", "", TRUE, 'Monthly Update'!EL73)</f>
        <v/>
      </c>
      <c r="AU73" s="221" t="str" cm="1">
        <f t="array" ref="AU73">_xlfn.IFS(LEFT('Monthly Update'!EM73, 3) = "*((", "", 'Monthly Update'!EM73="", "", TRUE, 'Monthly Update'!EM73)</f>
        <v/>
      </c>
      <c r="AV73" s="221" t="str" cm="1">
        <f t="array" ref="AV73">_xlfn.IFS(LEFT('Monthly Update'!EN73, 3) = "*((", "", 'Monthly Update'!EN73="", "", TRUE, 'Monthly Update'!EN73)</f>
        <v/>
      </c>
      <c r="AW73" s="221" t="str" cm="1">
        <f t="array" ref="AW73">_xlfn.IFS(LEFT('Monthly Update'!EO73, 3) = "*((", "", 'Monthly Update'!EO73="", "", TRUE, 'Monthly Update'!EO73)</f>
        <v/>
      </c>
      <c r="NU73" s="252"/>
      <c r="NV73" s="252"/>
      <c r="NW73" s="252"/>
      <c r="NX73" s="252"/>
      <c r="NY73" s="252"/>
      <c r="NZ73" s="252"/>
      <c r="OA73" s="252"/>
      <c r="OB73" s="252"/>
      <c r="OC73" s="252"/>
      <c r="OD73" s="252"/>
      <c r="OE73" s="252"/>
      <c r="OF73" s="252"/>
      <c r="OG73" s="252"/>
      <c r="OH73" s="252"/>
      <c r="OI73" s="252"/>
      <c r="OJ73" s="252"/>
      <c r="OK73" s="252"/>
      <c r="OL73" s="252"/>
      <c r="OM73" s="252"/>
      <c r="ON73" s="252"/>
      <c r="OO73" s="252"/>
      <c r="OP73" s="252"/>
      <c r="OQ73" s="252"/>
      <c r="OR73" s="252"/>
      <c r="OS73" s="252"/>
      <c r="OT73" s="252"/>
      <c r="OU73" s="252"/>
      <c r="OV73" s="252"/>
      <c r="OW73" s="252"/>
      <c r="OX73" s="252"/>
      <c r="OY73" s="252"/>
      <c r="OZ73" s="252"/>
      <c r="PA73" s="252"/>
      <c r="PB73" s="252"/>
      <c r="PC73" s="252"/>
      <c r="PD73" s="252"/>
      <c r="PE73" s="252"/>
      <c r="PF73" s="252"/>
      <c r="PG73" s="252"/>
      <c r="PH73" s="252"/>
      <c r="PI73" s="252"/>
      <c r="PJ73" s="252"/>
      <c r="PK73" s="252"/>
      <c r="PL73" s="252"/>
      <c r="PM73" s="252"/>
      <c r="PN73" s="252"/>
      <c r="PO73" s="252"/>
      <c r="PP73" s="252"/>
      <c r="PQ73" s="252"/>
      <c r="PR73" s="252"/>
      <c r="PS73" s="252"/>
      <c r="PT73" s="252"/>
      <c r="PU73" s="252"/>
      <c r="PV73" s="252"/>
      <c r="PW73" s="252"/>
      <c r="PX73" s="252"/>
      <c r="PY73" s="252"/>
      <c r="PZ73" s="252"/>
      <c r="QA73" s="252"/>
      <c r="QB73" s="252"/>
      <c r="QC73" s="252"/>
      <c r="QD73" s="252"/>
      <c r="QE73" s="252"/>
      <c r="QF73" s="252"/>
      <c r="QG73" s="252"/>
      <c r="QH73" s="252"/>
      <c r="QI73" s="252"/>
      <c r="QJ73" s="252"/>
      <c r="QK73" s="252"/>
      <c r="QL73" s="252"/>
      <c r="QM73" s="252"/>
      <c r="QN73" s="252"/>
      <c r="QO73" s="252"/>
      <c r="QP73" s="252"/>
      <c r="QQ73" s="252"/>
      <c r="QR73" s="252"/>
      <c r="QS73" s="252"/>
      <c r="QT73" s="252"/>
      <c r="QU73" s="252"/>
      <c r="QV73" s="252"/>
      <c r="QW73" s="252"/>
      <c r="QX73" s="252"/>
      <c r="QY73" s="252"/>
      <c r="QZ73" s="252"/>
      <c r="RA73" s="252"/>
      <c r="RB73" s="252"/>
      <c r="RC73" s="252"/>
      <c r="RD73" s="252"/>
      <c r="RE73" s="252"/>
      <c r="RF73" s="252"/>
      <c r="RG73" s="252"/>
      <c r="RH73" s="252"/>
      <c r="RI73" s="252"/>
      <c r="RJ73" s="252"/>
      <c r="RK73" s="252"/>
      <c r="RL73" s="252"/>
      <c r="RM73" s="252"/>
      <c r="RN73" s="252"/>
      <c r="RO73" s="252"/>
      <c r="RP73" s="252"/>
      <c r="RQ73" s="252"/>
      <c r="RR73" s="252"/>
      <c r="RS73" s="252"/>
      <c r="RT73" s="252"/>
      <c r="RU73" s="252"/>
      <c r="RV73" s="252"/>
      <c r="RW73" s="252"/>
      <c r="RX73" s="252"/>
      <c r="RY73" s="252"/>
      <c r="RZ73" s="252"/>
      <c r="SA73" s="252"/>
      <c r="SB73" s="252"/>
      <c r="SC73" s="252"/>
      <c r="SD73" s="252"/>
      <c r="SE73" s="252"/>
      <c r="SF73" s="252"/>
      <c r="SG73" s="252"/>
      <c r="SH73" s="252"/>
      <c r="SI73" s="252"/>
      <c r="SJ73" s="252"/>
      <c r="SK73" s="252"/>
      <c r="SL73" s="252"/>
      <c r="SM73" s="252"/>
      <c r="SN73" s="252"/>
    </row>
    <row r="74" spans="1:508" s="243" customFormat="1" ht="15.6" customHeight="1" x14ac:dyDescent="0.55000000000000004">
      <c r="A74" s="220" t="str" cm="1">
        <f t="array" ref="A74">_xlfn.IFS(LEFT('Monthly Update'!A74, 3) = "*((", "", 'Monthly Update'!A74="", "", TRUE, 'Monthly Update'!A74)</f>
        <v/>
      </c>
      <c r="B74" s="220" t="str" cm="1">
        <f t="array" ref="B74">_xlfn.IFS(LEFT('Monthly Update'!B74, 3) = "*((", "", 'Monthly Update'!B74="", "", TRUE, 'Monthly Update'!B74)</f>
        <v/>
      </c>
      <c r="C74" s="221" t="str" cm="1">
        <f t="array" ref="C74">_xlfn.IFS(LEFT('Monthly Update'!CU74, 3) = "*((", "", 'Monthly Update'!CU74="", "", TRUE, 'Monthly Update'!CU74)</f>
        <v/>
      </c>
      <c r="D74" s="221" t="str" cm="1">
        <f t="array" ref="D74">_xlfn.IFS(LEFT('Monthly Update'!CV74, 3) = "*((", "", 'Monthly Update'!CV74="", "", TRUE, 'Monthly Update'!CV74)</f>
        <v/>
      </c>
      <c r="E74" s="221" t="str" cm="1">
        <f t="array" ref="E74">_xlfn.IFS(LEFT('Monthly Update'!CW74, 3) = "*((", "", 'Monthly Update'!CW74="", "", TRUE, 'Monthly Update'!CW74)</f>
        <v/>
      </c>
      <c r="F74" s="221" t="str" cm="1">
        <f t="array" ref="F74">_xlfn.IFS(LEFT('Monthly Update'!CX74, 3) = "*((", "", 'Monthly Update'!CX74="", "", TRUE, 'Monthly Update'!CX74)</f>
        <v/>
      </c>
      <c r="G74" s="221" t="str" cm="1">
        <f t="array" ref="G74">_xlfn.IFS(LEFT('Monthly Update'!CY74, 3) = "*((", "", 'Monthly Update'!CY74="", "", TRUE, 'Monthly Update'!CY74)</f>
        <v/>
      </c>
      <c r="H74" s="221" t="str" cm="1">
        <f t="array" ref="H74">_xlfn.IFS(LEFT('Monthly Update'!CZ74, 3) = "*((", "", 'Monthly Update'!CZ74="", "", TRUE, 'Monthly Update'!CZ74)</f>
        <v/>
      </c>
      <c r="I74" s="221" t="str" cm="1">
        <f t="array" ref="I74">_xlfn.IFS(LEFT('Monthly Update'!DA74, 3) = "*((", "", 'Monthly Update'!DA74="", "", TRUE, 'Monthly Update'!DA74)</f>
        <v/>
      </c>
      <c r="J74" s="221" t="str" cm="1">
        <f t="array" ref="J74">_xlfn.IFS(LEFT('Monthly Update'!DB74, 3) = "*((", "", 'Monthly Update'!DB74="", "", TRUE, 'Monthly Update'!DB74)</f>
        <v/>
      </c>
      <c r="K74" s="221" t="str" cm="1">
        <f t="array" ref="K74">_xlfn.IFS(LEFT('Monthly Update'!DC74, 3) = "*((", "", 'Monthly Update'!DC74="", "", TRUE, 'Monthly Update'!DC74)</f>
        <v/>
      </c>
      <c r="L74" s="221" t="str" cm="1">
        <f t="array" ref="L74">_xlfn.IFS(LEFT('Monthly Update'!DD74, 3) = "*((", "", 'Monthly Update'!DD74="", "", TRUE, 'Monthly Update'!DD74)</f>
        <v/>
      </c>
      <c r="M74" s="221" t="str" cm="1">
        <f t="array" ref="M74">_xlfn.IFS(LEFT('Monthly Update'!DE74, 3) = "*((", "", 'Monthly Update'!DE74="", "", TRUE, 'Monthly Update'!DE74)</f>
        <v/>
      </c>
      <c r="N74" s="221" t="str" cm="1">
        <f t="array" ref="N74">_xlfn.IFS(LEFT('Monthly Update'!DF74, 3) = "*((", "", 'Monthly Update'!DF74="", "", TRUE, 'Monthly Update'!DF74)</f>
        <v/>
      </c>
      <c r="O74" s="221" t="str" cm="1">
        <f t="array" ref="O74">_xlfn.IFS(LEFT('Monthly Update'!DG74, 3) = "*((", "", 'Monthly Update'!DG74="", "", TRUE, 'Monthly Update'!DG74)</f>
        <v/>
      </c>
      <c r="P74" s="221" t="str" cm="1">
        <f t="array" ref="P74">_xlfn.IFS(LEFT('Monthly Update'!DH74, 3) = "*((", "", 'Monthly Update'!DH74="", "", TRUE, 'Monthly Update'!DH74)</f>
        <v/>
      </c>
      <c r="Q74" s="221" t="str" cm="1">
        <f t="array" ref="Q74">_xlfn.IFS(LEFT('Monthly Update'!DI74, 3) = "*((", "", 'Monthly Update'!DI74="", "", TRUE, 'Monthly Update'!DI74)</f>
        <v/>
      </c>
      <c r="R74" s="221" t="str" cm="1">
        <f t="array" ref="R74">_xlfn.IFS(LEFT('Monthly Update'!DJ74, 3) = "*((", "", 'Monthly Update'!DJ74="", "", TRUE, 'Monthly Update'!DJ74)</f>
        <v/>
      </c>
      <c r="S74" s="221" t="str" cm="1">
        <f t="array" ref="S74">_xlfn.IFS(LEFT('Monthly Update'!DK74, 3) = "*((", "", 'Monthly Update'!DK74="", "", TRUE, 'Monthly Update'!DK74)</f>
        <v/>
      </c>
      <c r="T74" s="221" t="str" cm="1">
        <f t="array" ref="T74">_xlfn.IFS(LEFT('Monthly Update'!DL74, 3) = "*((", "", 'Monthly Update'!DL74="", "", TRUE, 'Monthly Update'!DL74)</f>
        <v/>
      </c>
      <c r="U74" s="221" t="str" cm="1">
        <f t="array" ref="U74">_xlfn.IFS(LEFT('Monthly Update'!DM74, 3) = "*((", "", 'Monthly Update'!DM74="", "", TRUE, 'Monthly Update'!DM74)</f>
        <v/>
      </c>
      <c r="V74" s="221" t="str" cm="1">
        <f t="array" ref="V74">_xlfn.IFS(LEFT('Monthly Update'!DN74, 3) = "*((", "", 'Monthly Update'!DN74="", "", TRUE, 'Monthly Update'!DN74)</f>
        <v/>
      </c>
      <c r="W74" s="221" t="str" cm="1">
        <f t="array" ref="W74">_xlfn.IFS(LEFT('Monthly Update'!DO74, 3) = "*((", "", 'Monthly Update'!DO74="", "", TRUE, 'Monthly Update'!DO74)</f>
        <v/>
      </c>
      <c r="X74" s="221" t="str" cm="1">
        <f t="array" ref="X74">_xlfn.IFS(LEFT('Monthly Update'!DP74, 3) = "*((", "", 'Monthly Update'!DP74="", "", TRUE, 'Monthly Update'!DP74)</f>
        <v/>
      </c>
      <c r="Y74" s="221" t="str" cm="1">
        <f t="array" ref="Y74">_xlfn.IFS(LEFT('Monthly Update'!DQ74, 3) = "*((", "", 'Monthly Update'!DQ74="", "", TRUE, 'Monthly Update'!DQ74)</f>
        <v/>
      </c>
      <c r="Z74" s="221" t="str" cm="1">
        <f t="array" ref="Z74">_xlfn.IFS(LEFT('Monthly Update'!DR74, 3) = "*((", "", 'Monthly Update'!DR74="", "", TRUE, 'Monthly Update'!DR74)</f>
        <v/>
      </c>
      <c r="AA74" s="221" t="str" cm="1">
        <f t="array" ref="AA74">_xlfn.IFS(LEFT('Monthly Update'!DS74, 3) = "*((", "", 'Monthly Update'!DS74="", "", TRUE, 'Monthly Update'!DS74)</f>
        <v/>
      </c>
      <c r="AB74" s="221" t="str" cm="1">
        <f t="array" ref="AB74">_xlfn.IFS(LEFT('Monthly Update'!DT74, 3) = "*((", "", 'Monthly Update'!DT74="", "", TRUE, 'Monthly Update'!DT74)</f>
        <v/>
      </c>
      <c r="AC74" s="221" t="str" cm="1">
        <f t="array" ref="AC74">_xlfn.IFS(LEFT('Monthly Update'!DU74, 3) = "*((", "", 'Monthly Update'!DU74="", "", TRUE, 'Monthly Update'!DU74)</f>
        <v/>
      </c>
      <c r="AD74" s="221" t="str" cm="1">
        <f t="array" ref="AD74">_xlfn.IFS(LEFT('Monthly Update'!DV74, 3) = "*((", "", 'Monthly Update'!DV74="", "", TRUE, 'Monthly Update'!DV74)</f>
        <v/>
      </c>
      <c r="AE74" s="221" t="str" cm="1">
        <f t="array" ref="AE74">_xlfn.IFS(LEFT('Monthly Update'!DW74, 3) = "*((", "", 'Monthly Update'!DW74="", "", TRUE, 'Monthly Update'!DW74)</f>
        <v/>
      </c>
      <c r="AF74" s="221" t="str" cm="1">
        <f t="array" ref="AF74">_xlfn.IFS(LEFT('Monthly Update'!DX74, 3) = "*((", "", 'Monthly Update'!DX74="", "", TRUE, 'Monthly Update'!DX74)</f>
        <v/>
      </c>
      <c r="AG74" s="221" t="str" cm="1">
        <f t="array" ref="AG74">_xlfn.IFS(LEFT('Monthly Update'!DY74, 3) = "*((", "", 'Monthly Update'!DY74="", "", TRUE, 'Monthly Update'!DY74)</f>
        <v/>
      </c>
      <c r="AH74" s="221" t="str" cm="1">
        <f t="array" ref="AH74">_xlfn.IFS(LEFT('Monthly Update'!DZ74, 3) = "*((", "", 'Monthly Update'!DZ74="", "", TRUE, 'Monthly Update'!DZ74)</f>
        <v/>
      </c>
      <c r="AI74" s="221" t="str" cm="1">
        <f t="array" ref="AI74">_xlfn.IFS(LEFT('Monthly Update'!EA74, 3) = "*((", "", 'Monthly Update'!EA74="", "", TRUE, 'Monthly Update'!EA74)</f>
        <v/>
      </c>
      <c r="AJ74" s="221" t="str" cm="1">
        <f t="array" ref="AJ74">_xlfn.IFS(LEFT('Monthly Update'!EB74, 3) = "*((", "", 'Monthly Update'!EB74="", "", TRUE, 'Monthly Update'!EB74)</f>
        <v/>
      </c>
      <c r="AK74" s="221" t="str" cm="1">
        <f t="array" ref="AK74">_xlfn.IFS(LEFT('Monthly Update'!EC74, 3) = "*((", "", 'Monthly Update'!EC74="", "", TRUE, 'Monthly Update'!EC74)</f>
        <v/>
      </c>
      <c r="AL74" s="221" t="str" cm="1">
        <f t="array" ref="AL74">_xlfn.IFS(LEFT('Monthly Update'!ED74, 3) = "*((", "", 'Monthly Update'!ED74="", "", TRUE, 'Monthly Update'!ED74)</f>
        <v/>
      </c>
      <c r="AM74" s="221" t="str" cm="1">
        <f t="array" ref="AM74">_xlfn.IFS(LEFT('Monthly Update'!EE74, 3) = "*((", "", 'Monthly Update'!EE74="", "", TRUE, 'Monthly Update'!EE74)</f>
        <v/>
      </c>
      <c r="AN74" s="221" t="str" cm="1">
        <f t="array" ref="AN74">_xlfn.IFS(LEFT('Monthly Update'!EF74, 3) = "*((", "", 'Monthly Update'!EF74="", "", TRUE, 'Monthly Update'!EF74)</f>
        <v/>
      </c>
      <c r="AO74" s="221" t="str" cm="1">
        <f t="array" ref="AO74">_xlfn.IFS(LEFT('Monthly Update'!EG74, 3) = "*((", "", 'Monthly Update'!EG74="", "", TRUE, 'Monthly Update'!EG74)</f>
        <v/>
      </c>
      <c r="AP74" s="221" t="str" cm="1">
        <f t="array" ref="AP74">_xlfn.IFS(LEFT('Monthly Update'!EH74, 3) = "*((", "", 'Monthly Update'!EH74="", "", TRUE, 'Monthly Update'!EH74)</f>
        <v/>
      </c>
      <c r="AQ74" s="221" t="str" cm="1">
        <f t="array" ref="AQ74">_xlfn.IFS(LEFT('Monthly Update'!EI74, 3) = "*((", "", 'Monthly Update'!EI74="", "", TRUE, 'Monthly Update'!EI74)</f>
        <v/>
      </c>
      <c r="AR74" s="221" t="str" cm="1">
        <f t="array" ref="AR74">_xlfn.IFS(LEFT('Monthly Update'!EJ74, 3) = "*((", "", 'Monthly Update'!EJ74="", "", TRUE, 'Monthly Update'!EJ74)</f>
        <v/>
      </c>
      <c r="AS74" s="221" t="str" cm="1">
        <f t="array" ref="AS74">_xlfn.IFS(LEFT('Monthly Update'!EK74, 3) = "*((", "", 'Monthly Update'!EK74="", "", TRUE, 'Monthly Update'!EK74)</f>
        <v/>
      </c>
      <c r="AT74" s="221" t="str" cm="1">
        <f t="array" ref="AT74">_xlfn.IFS(LEFT('Monthly Update'!EL74, 3) = "*((", "", 'Monthly Update'!EL74="", "", TRUE, 'Monthly Update'!EL74)</f>
        <v/>
      </c>
      <c r="AU74" s="221" t="str" cm="1">
        <f t="array" ref="AU74">_xlfn.IFS(LEFT('Monthly Update'!EM74, 3) = "*((", "", 'Monthly Update'!EM74="", "", TRUE, 'Monthly Update'!EM74)</f>
        <v/>
      </c>
      <c r="AV74" s="221" t="str" cm="1">
        <f t="array" ref="AV74">_xlfn.IFS(LEFT('Monthly Update'!EN74, 3) = "*((", "", 'Monthly Update'!EN74="", "", TRUE, 'Monthly Update'!EN74)</f>
        <v/>
      </c>
      <c r="AW74" s="221" t="str" cm="1">
        <f t="array" ref="AW74">_xlfn.IFS(LEFT('Monthly Update'!EO74, 3) = "*((", "", 'Monthly Update'!EO74="", "", TRUE, 'Monthly Update'!EO74)</f>
        <v/>
      </c>
      <c r="NU74" s="252"/>
      <c r="NV74" s="252"/>
      <c r="NW74" s="252"/>
      <c r="NX74" s="252"/>
      <c r="NY74" s="252"/>
      <c r="NZ74" s="252"/>
      <c r="OA74" s="252"/>
      <c r="OB74" s="252"/>
      <c r="OC74" s="252"/>
      <c r="OD74" s="252"/>
      <c r="OE74" s="252"/>
      <c r="OF74" s="252"/>
      <c r="OG74" s="252"/>
      <c r="OH74" s="252"/>
      <c r="OI74" s="252"/>
      <c r="OJ74" s="252"/>
      <c r="OK74" s="252"/>
      <c r="OL74" s="252"/>
      <c r="OM74" s="252"/>
      <c r="ON74" s="252"/>
      <c r="OO74" s="252"/>
      <c r="OP74" s="252"/>
      <c r="OQ74" s="252"/>
      <c r="OR74" s="252"/>
      <c r="OS74" s="252"/>
      <c r="OT74" s="252"/>
      <c r="OU74" s="252"/>
      <c r="OV74" s="252"/>
      <c r="OW74" s="252"/>
      <c r="OX74" s="252"/>
      <c r="OY74" s="252"/>
      <c r="OZ74" s="252"/>
      <c r="PA74" s="252"/>
      <c r="PB74" s="252"/>
      <c r="PC74" s="252"/>
      <c r="PD74" s="252"/>
      <c r="PE74" s="252"/>
      <c r="PF74" s="252"/>
      <c r="PG74" s="252"/>
      <c r="PH74" s="252"/>
      <c r="PI74" s="252"/>
      <c r="PJ74" s="252"/>
      <c r="PK74" s="252"/>
      <c r="PL74" s="252"/>
      <c r="PM74" s="252"/>
      <c r="PN74" s="252"/>
      <c r="PO74" s="252"/>
      <c r="PP74" s="252"/>
      <c r="PQ74" s="252"/>
      <c r="PR74" s="252"/>
      <c r="PS74" s="252"/>
      <c r="PT74" s="252"/>
      <c r="PU74" s="252"/>
      <c r="PV74" s="252"/>
      <c r="PW74" s="252"/>
      <c r="PX74" s="252"/>
      <c r="PY74" s="252"/>
      <c r="PZ74" s="252"/>
      <c r="QA74" s="252"/>
      <c r="QB74" s="252"/>
      <c r="QC74" s="252"/>
      <c r="QD74" s="252"/>
      <c r="QE74" s="252"/>
      <c r="QF74" s="252"/>
      <c r="QG74" s="252"/>
      <c r="QH74" s="252"/>
      <c r="QI74" s="252"/>
      <c r="QJ74" s="252"/>
      <c r="QK74" s="252"/>
      <c r="QL74" s="252"/>
      <c r="QM74" s="252"/>
      <c r="QN74" s="252"/>
      <c r="QO74" s="252"/>
      <c r="QP74" s="252"/>
      <c r="QQ74" s="252"/>
      <c r="QR74" s="252"/>
      <c r="QS74" s="252"/>
      <c r="QT74" s="252"/>
      <c r="QU74" s="252"/>
      <c r="QV74" s="252"/>
      <c r="QW74" s="252"/>
      <c r="QX74" s="252"/>
      <c r="QY74" s="252"/>
      <c r="QZ74" s="252"/>
      <c r="RA74" s="252"/>
      <c r="RB74" s="252"/>
      <c r="RC74" s="252"/>
      <c r="RD74" s="252"/>
      <c r="RE74" s="252"/>
      <c r="RF74" s="252"/>
      <c r="RG74" s="252"/>
      <c r="RH74" s="252"/>
      <c r="RI74" s="252"/>
      <c r="RJ74" s="252"/>
      <c r="RK74" s="252"/>
      <c r="RL74" s="252"/>
      <c r="RM74" s="252"/>
      <c r="RN74" s="252"/>
      <c r="RO74" s="252"/>
      <c r="RP74" s="252"/>
      <c r="RQ74" s="252"/>
      <c r="RR74" s="252"/>
      <c r="RS74" s="252"/>
      <c r="RT74" s="252"/>
      <c r="RU74" s="252"/>
      <c r="RV74" s="252"/>
      <c r="RW74" s="252"/>
      <c r="RX74" s="252"/>
      <c r="RY74" s="252"/>
      <c r="RZ74" s="252"/>
      <c r="SA74" s="252"/>
      <c r="SB74" s="252"/>
      <c r="SC74" s="252"/>
      <c r="SD74" s="252"/>
      <c r="SE74" s="252"/>
      <c r="SF74" s="252"/>
      <c r="SG74" s="252"/>
      <c r="SH74" s="252"/>
      <c r="SI74" s="252"/>
      <c r="SJ74" s="252"/>
      <c r="SK74" s="252"/>
      <c r="SL74" s="252"/>
      <c r="SM74" s="252"/>
      <c r="SN74" s="252"/>
    </row>
    <row r="75" spans="1:508" s="243" customFormat="1" ht="15.6" customHeight="1" x14ac:dyDescent="0.55000000000000004">
      <c r="A75" s="220" t="str" cm="1">
        <f t="array" ref="A75">_xlfn.IFS(LEFT('Monthly Update'!A75, 3) = "*((", "", 'Monthly Update'!A75="", "", TRUE, 'Monthly Update'!A75)</f>
        <v/>
      </c>
      <c r="B75" s="220" t="str" cm="1">
        <f t="array" ref="B75">_xlfn.IFS(LEFT('Monthly Update'!B75, 3) = "*((", "", 'Monthly Update'!B75="", "", TRUE, 'Monthly Update'!B75)</f>
        <v/>
      </c>
      <c r="C75" s="221" t="str" cm="1">
        <f t="array" ref="C75">_xlfn.IFS(LEFT('Monthly Update'!CU75, 3) = "*((", "", 'Monthly Update'!CU75="", "", TRUE, 'Monthly Update'!CU75)</f>
        <v/>
      </c>
      <c r="D75" s="221" t="str" cm="1">
        <f t="array" ref="D75">_xlfn.IFS(LEFT('Monthly Update'!CV75, 3) = "*((", "", 'Monthly Update'!CV75="", "", TRUE, 'Monthly Update'!CV75)</f>
        <v/>
      </c>
      <c r="E75" s="221" t="str" cm="1">
        <f t="array" ref="E75">_xlfn.IFS(LEFT('Monthly Update'!CW75, 3) = "*((", "", 'Monthly Update'!CW75="", "", TRUE, 'Monthly Update'!CW75)</f>
        <v/>
      </c>
      <c r="F75" s="221" t="str" cm="1">
        <f t="array" ref="F75">_xlfn.IFS(LEFT('Monthly Update'!CX75, 3) = "*((", "", 'Monthly Update'!CX75="", "", TRUE, 'Monthly Update'!CX75)</f>
        <v/>
      </c>
      <c r="G75" s="221" t="str" cm="1">
        <f t="array" ref="G75">_xlfn.IFS(LEFT('Monthly Update'!CY75, 3) = "*((", "", 'Monthly Update'!CY75="", "", TRUE, 'Monthly Update'!CY75)</f>
        <v/>
      </c>
      <c r="H75" s="221" t="str" cm="1">
        <f t="array" ref="H75">_xlfn.IFS(LEFT('Monthly Update'!CZ75, 3) = "*((", "", 'Monthly Update'!CZ75="", "", TRUE, 'Monthly Update'!CZ75)</f>
        <v/>
      </c>
      <c r="I75" s="221" t="str" cm="1">
        <f t="array" ref="I75">_xlfn.IFS(LEFT('Monthly Update'!DA75, 3) = "*((", "", 'Monthly Update'!DA75="", "", TRUE, 'Monthly Update'!DA75)</f>
        <v/>
      </c>
      <c r="J75" s="221" t="str" cm="1">
        <f t="array" ref="J75">_xlfn.IFS(LEFT('Monthly Update'!DB75, 3) = "*((", "", 'Monthly Update'!DB75="", "", TRUE, 'Monthly Update'!DB75)</f>
        <v/>
      </c>
      <c r="K75" s="221" t="str" cm="1">
        <f t="array" ref="K75">_xlfn.IFS(LEFT('Monthly Update'!DC75, 3) = "*((", "", 'Monthly Update'!DC75="", "", TRUE, 'Monthly Update'!DC75)</f>
        <v/>
      </c>
      <c r="L75" s="221" t="str" cm="1">
        <f t="array" ref="L75">_xlfn.IFS(LEFT('Monthly Update'!DD75, 3) = "*((", "", 'Monthly Update'!DD75="", "", TRUE, 'Monthly Update'!DD75)</f>
        <v/>
      </c>
      <c r="M75" s="221" t="str" cm="1">
        <f t="array" ref="M75">_xlfn.IFS(LEFT('Monthly Update'!DE75, 3) = "*((", "", 'Monthly Update'!DE75="", "", TRUE, 'Monthly Update'!DE75)</f>
        <v/>
      </c>
      <c r="N75" s="221" t="str" cm="1">
        <f t="array" ref="N75">_xlfn.IFS(LEFT('Monthly Update'!DF75, 3) = "*((", "", 'Monthly Update'!DF75="", "", TRUE, 'Monthly Update'!DF75)</f>
        <v/>
      </c>
      <c r="O75" s="221" t="str" cm="1">
        <f t="array" ref="O75">_xlfn.IFS(LEFT('Monthly Update'!DG75, 3) = "*((", "", 'Monthly Update'!DG75="", "", TRUE, 'Monthly Update'!DG75)</f>
        <v/>
      </c>
      <c r="P75" s="221" t="str" cm="1">
        <f t="array" ref="P75">_xlfn.IFS(LEFT('Monthly Update'!DH75, 3) = "*((", "", 'Monthly Update'!DH75="", "", TRUE, 'Monthly Update'!DH75)</f>
        <v/>
      </c>
      <c r="Q75" s="221" t="str" cm="1">
        <f t="array" ref="Q75">_xlfn.IFS(LEFT('Monthly Update'!DI75, 3) = "*((", "", 'Monthly Update'!DI75="", "", TRUE, 'Monthly Update'!DI75)</f>
        <v/>
      </c>
      <c r="R75" s="221" t="str" cm="1">
        <f t="array" ref="R75">_xlfn.IFS(LEFT('Monthly Update'!DJ75, 3) = "*((", "", 'Monthly Update'!DJ75="", "", TRUE, 'Monthly Update'!DJ75)</f>
        <v/>
      </c>
      <c r="S75" s="221" t="str" cm="1">
        <f t="array" ref="S75">_xlfn.IFS(LEFT('Monthly Update'!DK75, 3) = "*((", "", 'Monthly Update'!DK75="", "", TRUE, 'Monthly Update'!DK75)</f>
        <v/>
      </c>
      <c r="T75" s="221" t="str" cm="1">
        <f t="array" ref="T75">_xlfn.IFS(LEFT('Monthly Update'!DL75, 3) = "*((", "", 'Monthly Update'!DL75="", "", TRUE, 'Monthly Update'!DL75)</f>
        <v/>
      </c>
      <c r="U75" s="221" t="str" cm="1">
        <f t="array" ref="U75">_xlfn.IFS(LEFT('Monthly Update'!DM75, 3) = "*((", "", 'Monthly Update'!DM75="", "", TRUE, 'Monthly Update'!DM75)</f>
        <v/>
      </c>
      <c r="V75" s="221" t="str" cm="1">
        <f t="array" ref="V75">_xlfn.IFS(LEFT('Monthly Update'!DN75, 3) = "*((", "", 'Monthly Update'!DN75="", "", TRUE, 'Monthly Update'!DN75)</f>
        <v/>
      </c>
      <c r="W75" s="221" t="str" cm="1">
        <f t="array" ref="W75">_xlfn.IFS(LEFT('Monthly Update'!DO75, 3) = "*((", "", 'Monthly Update'!DO75="", "", TRUE, 'Monthly Update'!DO75)</f>
        <v/>
      </c>
      <c r="X75" s="221" t="str" cm="1">
        <f t="array" ref="X75">_xlfn.IFS(LEFT('Monthly Update'!DP75, 3) = "*((", "", 'Monthly Update'!DP75="", "", TRUE, 'Monthly Update'!DP75)</f>
        <v/>
      </c>
      <c r="Y75" s="221" t="str" cm="1">
        <f t="array" ref="Y75">_xlfn.IFS(LEFT('Monthly Update'!DQ75, 3) = "*((", "", 'Monthly Update'!DQ75="", "", TRUE, 'Monthly Update'!DQ75)</f>
        <v/>
      </c>
      <c r="Z75" s="221" t="str" cm="1">
        <f t="array" ref="Z75">_xlfn.IFS(LEFT('Monthly Update'!DR75, 3) = "*((", "", 'Monthly Update'!DR75="", "", TRUE, 'Monthly Update'!DR75)</f>
        <v/>
      </c>
      <c r="AA75" s="221" t="str" cm="1">
        <f t="array" ref="AA75">_xlfn.IFS(LEFT('Monthly Update'!DS75, 3) = "*((", "", 'Monthly Update'!DS75="", "", TRUE, 'Monthly Update'!DS75)</f>
        <v/>
      </c>
      <c r="AB75" s="221" t="str" cm="1">
        <f t="array" ref="AB75">_xlfn.IFS(LEFT('Monthly Update'!DT75, 3) = "*((", "", 'Monthly Update'!DT75="", "", TRUE, 'Monthly Update'!DT75)</f>
        <v/>
      </c>
      <c r="AC75" s="221" t="str" cm="1">
        <f t="array" ref="AC75">_xlfn.IFS(LEFT('Monthly Update'!DU75, 3) = "*((", "", 'Monthly Update'!DU75="", "", TRUE, 'Monthly Update'!DU75)</f>
        <v/>
      </c>
      <c r="AD75" s="221" t="str" cm="1">
        <f t="array" ref="AD75">_xlfn.IFS(LEFT('Monthly Update'!DV75, 3) = "*((", "", 'Monthly Update'!DV75="", "", TRUE, 'Monthly Update'!DV75)</f>
        <v/>
      </c>
      <c r="AE75" s="221" t="str" cm="1">
        <f t="array" ref="AE75">_xlfn.IFS(LEFT('Monthly Update'!DW75, 3) = "*((", "", 'Monthly Update'!DW75="", "", TRUE, 'Monthly Update'!DW75)</f>
        <v/>
      </c>
      <c r="AF75" s="221" t="str" cm="1">
        <f t="array" ref="AF75">_xlfn.IFS(LEFT('Monthly Update'!DX75, 3) = "*((", "", 'Monthly Update'!DX75="", "", TRUE, 'Monthly Update'!DX75)</f>
        <v/>
      </c>
      <c r="AG75" s="221" t="str" cm="1">
        <f t="array" ref="AG75">_xlfn.IFS(LEFT('Monthly Update'!DY75, 3) = "*((", "", 'Monthly Update'!DY75="", "", TRUE, 'Monthly Update'!DY75)</f>
        <v/>
      </c>
      <c r="AH75" s="221" t="str" cm="1">
        <f t="array" ref="AH75">_xlfn.IFS(LEFT('Monthly Update'!DZ75, 3) = "*((", "", 'Monthly Update'!DZ75="", "", TRUE, 'Monthly Update'!DZ75)</f>
        <v/>
      </c>
      <c r="AI75" s="221" t="str" cm="1">
        <f t="array" ref="AI75">_xlfn.IFS(LEFT('Monthly Update'!EA75, 3) = "*((", "", 'Monthly Update'!EA75="", "", TRUE, 'Monthly Update'!EA75)</f>
        <v/>
      </c>
      <c r="AJ75" s="221" t="str" cm="1">
        <f t="array" ref="AJ75">_xlfn.IFS(LEFT('Monthly Update'!EB75, 3) = "*((", "", 'Monthly Update'!EB75="", "", TRUE, 'Monthly Update'!EB75)</f>
        <v/>
      </c>
      <c r="AK75" s="221" t="str" cm="1">
        <f t="array" ref="AK75">_xlfn.IFS(LEFT('Monthly Update'!EC75, 3) = "*((", "", 'Monthly Update'!EC75="", "", TRUE, 'Monthly Update'!EC75)</f>
        <v/>
      </c>
      <c r="AL75" s="221" t="str" cm="1">
        <f t="array" ref="AL75">_xlfn.IFS(LEFT('Monthly Update'!ED75, 3) = "*((", "", 'Monthly Update'!ED75="", "", TRUE, 'Monthly Update'!ED75)</f>
        <v/>
      </c>
      <c r="AM75" s="221" t="str" cm="1">
        <f t="array" ref="AM75">_xlfn.IFS(LEFT('Monthly Update'!EE75, 3) = "*((", "", 'Monthly Update'!EE75="", "", TRUE, 'Monthly Update'!EE75)</f>
        <v/>
      </c>
      <c r="AN75" s="221" t="str" cm="1">
        <f t="array" ref="AN75">_xlfn.IFS(LEFT('Monthly Update'!EF75, 3) = "*((", "", 'Monthly Update'!EF75="", "", TRUE, 'Monthly Update'!EF75)</f>
        <v/>
      </c>
      <c r="AO75" s="221" t="str" cm="1">
        <f t="array" ref="AO75">_xlfn.IFS(LEFT('Monthly Update'!EG75, 3) = "*((", "", 'Monthly Update'!EG75="", "", TRUE, 'Monthly Update'!EG75)</f>
        <v/>
      </c>
      <c r="AP75" s="221" t="str" cm="1">
        <f t="array" ref="AP75">_xlfn.IFS(LEFT('Monthly Update'!EH75, 3) = "*((", "", 'Monthly Update'!EH75="", "", TRUE, 'Monthly Update'!EH75)</f>
        <v/>
      </c>
      <c r="AQ75" s="221" t="str" cm="1">
        <f t="array" ref="AQ75">_xlfn.IFS(LEFT('Monthly Update'!EI75, 3) = "*((", "", 'Monthly Update'!EI75="", "", TRUE, 'Monthly Update'!EI75)</f>
        <v/>
      </c>
      <c r="AR75" s="221" t="str" cm="1">
        <f t="array" ref="AR75">_xlfn.IFS(LEFT('Monthly Update'!EJ75, 3) = "*((", "", 'Monthly Update'!EJ75="", "", TRUE, 'Monthly Update'!EJ75)</f>
        <v/>
      </c>
      <c r="AS75" s="221" t="str" cm="1">
        <f t="array" ref="AS75">_xlfn.IFS(LEFT('Monthly Update'!EK75, 3) = "*((", "", 'Monthly Update'!EK75="", "", TRUE, 'Monthly Update'!EK75)</f>
        <v/>
      </c>
      <c r="AT75" s="221" t="str" cm="1">
        <f t="array" ref="AT75">_xlfn.IFS(LEFT('Monthly Update'!EL75, 3) = "*((", "", 'Monthly Update'!EL75="", "", TRUE, 'Monthly Update'!EL75)</f>
        <v/>
      </c>
      <c r="AU75" s="221" t="str" cm="1">
        <f t="array" ref="AU75">_xlfn.IFS(LEFT('Monthly Update'!EM75, 3) = "*((", "", 'Monthly Update'!EM75="", "", TRUE, 'Monthly Update'!EM75)</f>
        <v/>
      </c>
      <c r="AV75" s="221" t="str" cm="1">
        <f t="array" ref="AV75">_xlfn.IFS(LEFT('Monthly Update'!EN75, 3) = "*((", "", 'Monthly Update'!EN75="", "", TRUE, 'Monthly Update'!EN75)</f>
        <v/>
      </c>
      <c r="AW75" s="221" t="str" cm="1">
        <f t="array" ref="AW75">_xlfn.IFS(LEFT('Monthly Update'!EO75, 3) = "*((", "", 'Monthly Update'!EO75="", "", TRUE, 'Monthly Update'!EO75)</f>
        <v/>
      </c>
      <c r="NU75" s="252"/>
      <c r="NV75" s="252"/>
      <c r="NW75" s="252"/>
      <c r="NX75" s="252"/>
      <c r="NY75" s="252"/>
      <c r="NZ75" s="252"/>
      <c r="OA75" s="252"/>
      <c r="OB75" s="252"/>
      <c r="OC75" s="252"/>
      <c r="OD75" s="252"/>
      <c r="OE75" s="252"/>
      <c r="OF75" s="252"/>
      <c r="OG75" s="252"/>
      <c r="OH75" s="252"/>
      <c r="OI75" s="252"/>
      <c r="OJ75" s="252"/>
      <c r="OK75" s="252"/>
      <c r="OL75" s="252"/>
      <c r="OM75" s="252"/>
      <c r="ON75" s="252"/>
      <c r="OO75" s="252"/>
      <c r="OP75" s="252"/>
      <c r="OQ75" s="252"/>
      <c r="OR75" s="252"/>
      <c r="OS75" s="252"/>
      <c r="OT75" s="252"/>
      <c r="OU75" s="252"/>
      <c r="OV75" s="252"/>
      <c r="OW75" s="252"/>
      <c r="OX75" s="252"/>
      <c r="OY75" s="252"/>
      <c r="OZ75" s="252"/>
      <c r="PA75" s="252"/>
      <c r="PB75" s="252"/>
      <c r="PC75" s="252"/>
      <c r="PD75" s="252"/>
      <c r="PE75" s="252"/>
      <c r="PF75" s="252"/>
      <c r="PG75" s="252"/>
      <c r="PH75" s="252"/>
      <c r="PI75" s="252"/>
      <c r="PJ75" s="252"/>
      <c r="PK75" s="252"/>
      <c r="PL75" s="252"/>
      <c r="PM75" s="252"/>
      <c r="PN75" s="252"/>
      <c r="PO75" s="252"/>
      <c r="PP75" s="252"/>
      <c r="PQ75" s="252"/>
      <c r="PR75" s="252"/>
      <c r="PS75" s="252"/>
      <c r="PT75" s="252"/>
      <c r="PU75" s="252"/>
      <c r="PV75" s="252"/>
      <c r="PW75" s="252"/>
      <c r="PX75" s="252"/>
      <c r="PY75" s="252"/>
      <c r="PZ75" s="252"/>
      <c r="QA75" s="252"/>
      <c r="QB75" s="252"/>
      <c r="QC75" s="252"/>
      <c r="QD75" s="252"/>
      <c r="QE75" s="252"/>
      <c r="QF75" s="252"/>
      <c r="QG75" s="252"/>
      <c r="QH75" s="252"/>
      <c r="QI75" s="252"/>
      <c r="QJ75" s="252"/>
      <c r="QK75" s="252"/>
      <c r="QL75" s="252"/>
      <c r="QM75" s="252"/>
      <c r="QN75" s="252"/>
      <c r="QO75" s="252"/>
      <c r="QP75" s="252"/>
      <c r="QQ75" s="252"/>
      <c r="QR75" s="252"/>
      <c r="QS75" s="252"/>
      <c r="QT75" s="252"/>
      <c r="QU75" s="252"/>
      <c r="QV75" s="252"/>
      <c r="QW75" s="252"/>
      <c r="QX75" s="252"/>
      <c r="QY75" s="252"/>
      <c r="QZ75" s="252"/>
      <c r="RA75" s="252"/>
      <c r="RB75" s="252"/>
      <c r="RC75" s="252"/>
      <c r="RD75" s="252"/>
      <c r="RE75" s="252"/>
      <c r="RF75" s="252"/>
      <c r="RG75" s="252"/>
      <c r="RH75" s="252"/>
      <c r="RI75" s="252"/>
      <c r="RJ75" s="252"/>
      <c r="RK75" s="252"/>
      <c r="RL75" s="252"/>
      <c r="RM75" s="252"/>
      <c r="RN75" s="252"/>
      <c r="RO75" s="252"/>
      <c r="RP75" s="252"/>
      <c r="RQ75" s="252"/>
      <c r="RR75" s="252"/>
      <c r="RS75" s="252"/>
      <c r="RT75" s="252"/>
      <c r="RU75" s="252"/>
      <c r="RV75" s="252"/>
      <c r="RW75" s="252"/>
      <c r="RX75" s="252"/>
      <c r="RY75" s="252"/>
      <c r="RZ75" s="252"/>
      <c r="SA75" s="252"/>
      <c r="SB75" s="252"/>
      <c r="SC75" s="252"/>
      <c r="SD75" s="252"/>
      <c r="SE75" s="252"/>
      <c r="SF75" s="252"/>
      <c r="SG75" s="252"/>
      <c r="SH75" s="252"/>
      <c r="SI75" s="252"/>
      <c r="SJ75" s="252"/>
      <c r="SK75" s="252"/>
      <c r="SL75" s="252"/>
      <c r="SM75" s="252"/>
      <c r="SN75" s="252"/>
    </row>
    <row r="76" spans="1:508" s="243" customFormat="1" ht="15.6" customHeight="1" x14ac:dyDescent="0.55000000000000004">
      <c r="A76" s="220" t="str" cm="1">
        <f t="array" ref="A76">_xlfn.IFS(LEFT('Monthly Update'!A76, 3) = "*((", "", 'Monthly Update'!A76="", "", TRUE, 'Monthly Update'!A76)</f>
        <v/>
      </c>
      <c r="B76" s="220" t="str" cm="1">
        <f t="array" ref="B76">_xlfn.IFS(LEFT('Monthly Update'!B76, 3) = "*((", "", 'Monthly Update'!B76="", "", TRUE, 'Monthly Update'!B76)</f>
        <v/>
      </c>
      <c r="C76" s="221" t="str" cm="1">
        <f t="array" ref="C76">_xlfn.IFS(LEFT('Monthly Update'!CU76, 3) = "*((", "", 'Monthly Update'!CU76="", "", TRUE, 'Monthly Update'!CU76)</f>
        <v/>
      </c>
      <c r="D76" s="221" t="str" cm="1">
        <f t="array" ref="D76">_xlfn.IFS(LEFT('Monthly Update'!CV76, 3) = "*((", "", 'Monthly Update'!CV76="", "", TRUE, 'Monthly Update'!CV76)</f>
        <v/>
      </c>
      <c r="E76" s="221" t="str" cm="1">
        <f t="array" ref="E76">_xlfn.IFS(LEFT('Monthly Update'!CW76, 3) = "*((", "", 'Monthly Update'!CW76="", "", TRUE, 'Monthly Update'!CW76)</f>
        <v/>
      </c>
      <c r="F76" s="221" t="str" cm="1">
        <f t="array" ref="F76">_xlfn.IFS(LEFT('Monthly Update'!CX76, 3) = "*((", "", 'Monthly Update'!CX76="", "", TRUE, 'Monthly Update'!CX76)</f>
        <v/>
      </c>
      <c r="G76" s="221" t="str" cm="1">
        <f t="array" ref="G76">_xlfn.IFS(LEFT('Monthly Update'!CY76, 3) = "*((", "", 'Monthly Update'!CY76="", "", TRUE, 'Monthly Update'!CY76)</f>
        <v/>
      </c>
      <c r="H76" s="221" t="str" cm="1">
        <f t="array" ref="H76">_xlfn.IFS(LEFT('Monthly Update'!CZ76, 3) = "*((", "", 'Monthly Update'!CZ76="", "", TRUE, 'Monthly Update'!CZ76)</f>
        <v/>
      </c>
      <c r="I76" s="221" t="str" cm="1">
        <f t="array" ref="I76">_xlfn.IFS(LEFT('Monthly Update'!DA76, 3) = "*((", "", 'Monthly Update'!DA76="", "", TRUE, 'Monthly Update'!DA76)</f>
        <v/>
      </c>
      <c r="J76" s="221" t="str" cm="1">
        <f t="array" ref="J76">_xlfn.IFS(LEFT('Monthly Update'!DB76, 3) = "*((", "", 'Monthly Update'!DB76="", "", TRUE, 'Monthly Update'!DB76)</f>
        <v/>
      </c>
      <c r="K76" s="221" t="str" cm="1">
        <f t="array" ref="K76">_xlfn.IFS(LEFT('Monthly Update'!DC76, 3) = "*((", "", 'Monthly Update'!DC76="", "", TRUE, 'Monthly Update'!DC76)</f>
        <v/>
      </c>
      <c r="L76" s="221" t="str" cm="1">
        <f t="array" ref="L76">_xlfn.IFS(LEFT('Monthly Update'!DD76, 3) = "*((", "", 'Monthly Update'!DD76="", "", TRUE, 'Monthly Update'!DD76)</f>
        <v/>
      </c>
      <c r="M76" s="221" t="str" cm="1">
        <f t="array" ref="M76">_xlfn.IFS(LEFT('Monthly Update'!DE76, 3) = "*((", "", 'Monthly Update'!DE76="", "", TRUE, 'Monthly Update'!DE76)</f>
        <v/>
      </c>
      <c r="N76" s="221" t="str" cm="1">
        <f t="array" ref="N76">_xlfn.IFS(LEFT('Monthly Update'!DF76, 3) = "*((", "", 'Monthly Update'!DF76="", "", TRUE, 'Monthly Update'!DF76)</f>
        <v/>
      </c>
      <c r="O76" s="221" t="str" cm="1">
        <f t="array" ref="O76">_xlfn.IFS(LEFT('Monthly Update'!DG76, 3) = "*((", "", 'Monthly Update'!DG76="", "", TRUE, 'Monthly Update'!DG76)</f>
        <v/>
      </c>
      <c r="P76" s="221" t="str" cm="1">
        <f t="array" ref="P76">_xlfn.IFS(LEFT('Monthly Update'!DH76, 3) = "*((", "", 'Monthly Update'!DH76="", "", TRUE, 'Monthly Update'!DH76)</f>
        <v/>
      </c>
      <c r="Q76" s="221" t="str" cm="1">
        <f t="array" ref="Q76">_xlfn.IFS(LEFT('Monthly Update'!DI76, 3) = "*((", "", 'Monthly Update'!DI76="", "", TRUE, 'Monthly Update'!DI76)</f>
        <v/>
      </c>
      <c r="R76" s="221" t="str" cm="1">
        <f t="array" ref="R76">_xlfn.IFS(LEFT('Monthly Update'!DJ76, 3) = "*((", "", 'Monthly Update'!DJ76="", "", TRUE, 'Monthly Update'!DJ76)</f>
        <v/>
      </c>
      <c r="S76" s="221" t="str" cm="1">
        <f t="array" ref="S76">_xlfn.IFS(LEFT('Monthly Update'!DK76, 3) = "*((", "", 'Monthly Update'!DK76="", "", TRUE, 'Monthly Update'!DK76)</f>
        <v/>
      </c>
      <c r="T76" s="221" t="str" cm="1">
        <f t="array" ref="T76">_xlfn.IFS(LEFT('Monthly Update'!DL76, 3) = "*((", "", 'Monthly Update'!DL76="", "", TRUE, 'Monthly Update'!DL76)</f>
        <v/>
      </c>
      <c r="U76" s="221" t="str" cm="1">
        <f t="array" ref="U76">_xlfn.IFS(LEFT('Monthly Update'!DM76, 3) = "*((", "", 'Monthly Update'!DM76="", "", TRUE, 'Monthly Update'!DM76)</f>
        <v/>
      </c>
      <c r="V76" s="221" t="str" cm="1">
        <f t="array" ref="V76">_xlfn.IFS(LEFT('Monthly Update'!DN76, 3) = "*((", "", 'Monthly Update'!DN76="", "", TRUE, 'Monthly Update'!DN76)</f>
        <v/>
      </c>
      <c r="W76" s="221" t="str" cm="1">
        <f t="array" ref="W76">_xlfn.IFS(LEFT('Monthly Update'!DO76, 3) = "*((", "", 'Monthly Update'!DO76="", "", TRUE, 'Monthly Update'!DO76)</f>
        <v/>
      </c>
      <c r="X76" s="221" t="str" cm="1">
        <f t="array" ref="X76">_xlfn.IFS(LEFT('Monthly Update'!DP76, 3) = "*((", "", 'Monthly Update'!DP76="", "", TRUE, 'Monthly Update'!DP76)</f>
        <v/>
      </c>
      <c r="Y76" s="221" t="str" cm="1">
        <f t="array" ref="Y76">_xlfn.IFS(LEFT('Monthly Update'!DQ76, 3) = "*((", "", 'Monthly Update'!DQ76="", "", TRUE, 'Monthly Update'!DQ76)</f>
        <v/>
      </c>
      <c r="Z76" s="221" t="str" cm="1">
        <f t="array" ref="Z76">_xlfn.IFS(LEFT('Monthly Update'!DR76, 3) = "*((", "", 'Monthly Update'!DR76="", "", TRUE, 'Monthly Update'!DR76)</f>
        <v/>
      </c>
      <c r="AA76" s="221" t="str" cm="1">
        <f t="array" ref="AA76">_xlfn.IFS(LEFT('Monthly Update'!DS76, 3) = "*((", "", 'Monthly Update'!DS76="", "", TRUE, 'Monthly Update'!DS76)</f>
        <v/>
      </c>
      <c r="AB76" s="221" t="str" cm="1">
        <f t="array" ref="AB76">_xlfn.IFS(LEFT('Monthly Update'!DT76, 3) = "*((", "", 'Monthly Update'!DT76="", "", TRUE, 'Monthly Update'!DT76)</f>
        <v/>
      </c>
      <c r="AC76" s="221" t="str" cm="1">
        <f t="array" ref="AC76">_xlfn.IFS(LEFT('Monthly Update'!DU76, 3) = "*((", "", 'Monthly Update'!DU76="", "", TRUE, 'Monthly Update'!DU76)</f>
        <v/>
      </c>
      <c r="AD76" s="221" t="str" cm="1">
        <f t="array" ref="AD76">_xlfn.IFS(LEFT('Monthly Update'!DV76, 3) = "*((", "", 'Monthly Update'!DV76="", "", TRUE, 'Monthly Update'!DV76)</f>
        <v/>
      </c>
      <c r="AE76" s="221" t="str" cm="1">
        <f t="array" ref="AE76">_xlfn.IFS(LEFT('Monthly Update'!DW76, 3) = "*((", "", 'Monthly Update'!DW76="", "", TRUE, 'Monthly Update'!DW76)</f>
        <v/>
      </c>
      <c r="AF76" s="221" t="str" cm="1">
        <f t="array" ref="AF76">_xlfn.IFS(LEFT('Monthly Update'!DX76, 3) = "*((", "", 'Monthly Update'!DX76="", "", TRUE, 'Monthly Update'!DX76)</f>
        <v/>
      </c>
      <c r="AG76" s="221" t="str" cm="1">
        <f t="array" ref="AG76">_xlfn.IFS(LEFT('Monthly Update'!DY76, 3) = "*((", "", 'Monthly Update'!DY76="", "", TRUE, 'Monthly Update'!DY76)</f>
        <v/>
      </c>
      <c r="AH76" s="221" t="str" cm="1">
        <f t="array" ref="AH76">_xlfn.IFS(LEFT('Monthly Update'!DZ76, 3) = "*((", "", 'Monthly Update'!DZ76="", "", TRUE, 'Monthly Update'!DZ76)</f>
        <v/>
      </c>
      <c r="AI76" s="221" t="str" cm="1">
        <f t="array" ref="AI76">_xlfn.IFS(LEFT('Monthly Update'!EA76, 3) = "*((", "", 'Monthly Update'!EA76="", "", TRUE, 'Monthly Update'!EA76)</f>
        <v/>
      </c>
      <c r="AJ76" s="221" t="str" cm="1">
        <f t="array" ref="AJ76">_xlfn.IFS(LEFT('Monthly Update'!EB76, 3) = "*((", "", 'Monthly Update'!EB76="", "", TRUE, 'Monthly Update'!EB76)</f>
        <v/>
      </c>
      <c r="AK76" s="221" t="str" cm="1">
        <f t="array" ref="AK76">_xlfn.IFS(LEFT('Monthly Update'!EC76, 3) = "*((", "", 'Monthly Update'!EC76="", "", TRUE, 'Monthly Update'!EC76)</f>
        <v/>
      </c>
      <c r="AL76" s="221" t="str" cm="1">
        <f t="array" ref="AL76">_xlfn.IFS(LEFT('Monthly Update'!ED76, 3) = "*((", "", 'Monthly Update'!ED76="", "", TRUE, 'Monthly Update'!ED76)</f>
        <v/>
      </c>
      <c r="AM76" s="221" t="str" cm="1">
        <f t="array" ref="AM76">_xlfn.IFS(LEFT('Monthly Update'!EE76, 3) = "*((", "", 'Monthly Update'!EE76="", "", TRUE, 'Monthly Update'!EE76)</f>
        <v/>
      </c>
      <c r="AN76" s="221" t="str" cm="1">
        <f t="array" ref="AN76">_xlfn.IFS(LEFT('Monthly Update'!EF76, 3) = "*((", "", 'Monthly Update'!EF76="", "", TRUE, 'Monthly Update'!EF76)</f>
        <v/>
      </c>
      <c r="AO76" s="221" t="str" cm="1">
        <f t="array" ref="AO76">_xlfn.IFS(LEFT('Monthly Update'!EG76, 3) = "*((", "", 'Monthly Update'!EG76="", "", TRUE, 'Monthly Update'!EG76)</f>
        <v/>
      </c>
      <c r="AP76" s="221" t="str" cm="1">
        <f t="array" ref="AP76">_xlfn.IFS(LEFT('Monthly Update'!EH76, 3) = "*((", "", 'Monthly Update'!EH76="", "", TRUE, 'Monthly Update'!EH76)</f>
        <v/>
      </c>
      <c r="AQ76" s="221" t="str" cm="1">
        <f t="array" ref="AQ76">_xlfn.IFS(LEFT('Monthly Update'!EI76, 3) = "*((", "", 'Monthly Update'!EI76="", "", TRUE, 'Monthly Update'!EI76)</f>
        <v/>
      </c>
      <c r="AR76" s="221" t="str" cm="1">
        <f t="array" ref="AR76">_xlfn.IFS(LEFT('Monthly Update'!EJ76, 3) = "*((", "", 'Monthly Update'!EJ76="", "", TRUE, 'Monthly Update'!EJ76)</f>
        <v/>
      </c>
      <c r="AS76" s="221" t="str" cm="1">
        <f t="array" ref="AS76">_xlfn.IFS(LEFT('Monthly Update'!EK76, 3) = "*((", "", 'Monthly Update'!EK76="", "", TRUE, 'Monthly Update'!EK76)</f>
        <v/>
      </c>
      <c r="AT76" s="221" t="str" cm="1">
        <f t="array" ref="AT76">_xlfn.IFS(LEFT('Monthly Update'!EL76, 3) = "*((", "", 'Monthly Update'!EL76="", "", TRUE, 'Monthly Update'!EL76)</f>
        <v/>
      </c>
      <c r="AU76" s="221" t="str" cm="1">
        <f t="array" ref="AU76">_xlfn.IFS(LEFT('Monthly Update'!EM76, 3) = "*((", "", 'Monthly Update'!EM76="", "", TRUE, 'Monthly Update'!EM76)</f>
        <v/>
      </c>
      <c r="AV76" s="221" t="str" cm="1">
        <f t="array" ref="AV76">_xlfn.IFS(LEFT('Monthly Update'!EN76, 3) = "*((", "", 'Monthly Update'!EN76="", "", TRUE, 'Monthly Update'!EN76)</f>
        <v/>
      </c>
      <c r="AW76" s="221" t="str" cm="1">
        <f t="array" ref="AW76">_xlfn.IFS(LEFT('Monthly Update'!EO76, 3) = "*((", "", 'Monthly Update'!EO76="", "", TRUE, 'Monthly Update'!EO76)</f>
        <v/>
      </c>
      <c r="NU76" s="252"/>
      <c r="NV76" s="252"/>
      <c r="NW76" s="252"/>
      <c r="NX76" s="252"/>
      <c r="NY76" s="252"/>
      <c r="NZ76" s="252"/>
      <c r="OA76" s="252"/>
      <c r="OB76" s="252"/>
      <c r="OC76" s="252"/>
      <c r="OD76" s="252"/>
      <c r="OE76" s="252"/>
      <c r="OF76" s="252"/>
      <c r="OG76" s="252"/>
      <c r="OH76" s="252"/>
      <c r="OI76" s="252"/>
      <c r="OJ76" s="252"/>
      <c r="OK76" s="252"/>
      <c r="OL76" s="252"/>
      <c r="OM76" s="252"/>
      <c r="ON76" s="252"/>
      <c r="OO76" s="252"/>
      <c r="OP76" s="252"/>
      <c r="OQ76" s="252"/>
      <c r="OR76" s="252"/>
      <c r="OS76" s="252"/>
      <c r="OT76" s="252"/>
      <c r="OU76" s="252"/>
      <c r="OV76" s="252"/>
      <c r="OW76" s="252"/>
      <c r="OX76" s="252"/>
      <c r="OY76" s="252"/>
      <c r="OZ76" s="252"/>
      <c r="PA76" s="252"/>
      <c r="PB76" s="252"/>
      <c r="PC76" s="252"/>
      <c r="PD76" s="252"/>
      <c r="PE76" s="252"/>
      <c r="PF76" s="252"/>
      <c r="PG76" s="252"/>
      <c r="PH76" s="252"/>
      <c r="PI76" s="252"/>
      <c r="PJ76" s="252"/>
      <c r="PK76" s="252"/>
      <c r="PL76" s="252"/>
      <c r="PM76" s="252"/>
      <c r="PN76" s="252"/>
      <c r="PO76" s="252"/>
      <c r="PP76" s="252"/>
      <c r="PQ76" s="252"/>
      <c r="PR76" s="252"/>
      <c r="PS76" s="252"/>
      <c r="PT76" s="252"/>
      <c r="PU76" s="252"/>
      <c r="PV76" s="252"/>
      <c r="PW76" s="252"/>
      <c r="PX76" s="252"/>
      <c r="PY76" s="252"/>
      <c r="PZ76" s="252"/>
      <c r="QA76" s="252"/>
      <c r="QB76" s="252"/>
      <c r="QC76" s="252"/>
      <c r="QD76" s="252"/>
      <c r="QE76" s="252"/>
      <c r="QF76" s="252"/>
      <c r="QG76" s="252"/>
      <c r="QH76" s="252"/>
      <c r="QI76" s="252"/>
      <c r="QJ76" s="252"/>
      <c r="QK76" s="252"/>
      <c r="QL76" s="252"/>
      <c r="QM76" s="252"/>
      <c r="QN76" s="252"/>
      <c r="QO76" s="252"/>
      <c r="QP76" s="252"/>
      <c r="QQ76" s="252"/>
      <c r="QR76" s="252"/>
      <c r="QS76" s="252"/>
      <c r="QT76" s="252"/>
      <c r="QU76" s="252"/>
      <c r="QV76" s="252"/>
      <c r="QW76" s="252"/>
      <c r="QX76" s="252"/>
      <c r="QY76" s="252"/>
      <c r="QZ76" s="252"/>
      <c r="RA76" s="252"/>
      <c r="RB76" s="252"/>
      <c r="RC76" s="252"/>
      <c r="RD76" s="252"/>
      <c r="RE76" s="252"/>
      <c r="RF76" s="252"/>
      <c r="RG76" s="252"/>
      <c r="RH76" s="252"/>
      <c r="RI76" s="252"/>
      <c r="RJ76" s="252"/>
      <c r="RK76" s="252"/>
      <c r="RL76" s="252"/>
      <c r="RM76" s="252"/>
      <c r="RN76" s="252"/>
      <c r="RO76" s="252"/>
      <c r="RP76" s="252"/>
      <c r="RQ76" s="252"/>
      <c r="RR76" s="252"/>
      <c r="RS76" s="252"/>
      <c r="RT76" s="252"/>
      <c r="RU76" s="252"/>
      <c r="RV76" s="252"/>
      <c r="RW76" s="252"/>
      <c r="RX76" s="252"/>
      <c r="RY76" s="252"/>
      <c r="RZ76" s="252"/>
      <c r="SA76" s="252"/>
      <c r="SB76" s="252"/>
      <c r="SC76" s="252"/>
      <c r="SD76" s="252"/>
      <c r="SE76" s="252"/>
      <c r="SF76" s="252"/>
      <c r="SG76" s="252"/>
      <c r="SH76" s="252"/>
      <c r="SI76" s="252"/>
      <c r="SJ76" s="252"/>
      <c r="SK76" s="252"/>
      <c r="SL76" s="252"/>
      <c r="SM76" s="252"/>
      <c r="SN76" s="252"/>
    </row>
    <row r="77" spans="1:508" s="243" customFormat="1" ht="15.6" customHeight="1" x14ac:dyDescent="0.55000000000000004">
      <c r="A77" s="220" t="str" cm="1">
        <f t="array" ref="A77">_xlfn.IFS(LEFT('Monthly Update'!A77, 3) = "*((", "", 'Monthly Update'!A77="", "", TRUE, 'Monthly Update'!A77)</f>
        <v/>
      </c>
      <c r="B77" s="220" t="str" cm="1">
        <f t="array" ref="B77">_xlfn.IFS(LEFT('Monthly Update'!B77, 3) = "*((", "", 'Monthly Update'!B77="", "", TRUE, 'Monthly Update'!B77)</f>
        <v/>
      </c>
      <c r="C77" s="221" t="str" cm="1">
        <f t="array" ref="C77">_xlfn.IFS(LEFT('Monthly Update'!CU77, 3) = "*((", "", 'Monthly Update'!CU77="", "", TRUE, 'Monthly Update'!CU77)</f>
        <v/>
      </c>
      <c r="D77" s="221" t="str" cm="1">
        <f t="array" ref="D77">_xlfn.IFS(LEFT('Monthly Update'!CV77, 3) = "*((", "", 'Monthly Update'!CV77="", "", TRUE, 'Monthly Update'!CV77)</f>
        <v/>
      </c>
      <c r="E77" s="221" t="str" cm="1">
        <f t="array" ref="E77">_xlfn.IFS(LEFT('Monthly Update'!CW77, 3) = "*((", "", 'Monthly Update'!CW77="", "", TRUE, 'Monthly Update'!CW77)</f>
        <v/>
      </c>
      <c r="F77" s="221" t="str" cm="1">
        <f t="array" ref="F77">_xlfn.IFS(LEFT('Monthly Update'!CX77, 3) = "*((", "", 'Monthly Update'!CX77="", "", TRUE, 'Monthly Update'!CX77)</f>
        <v/>
      </c>
      <c r="G77" s="221" t="str" cm="1">
        <f t="array" ref="G77">_xlfn.IFS(LEFT('Monthly Update'!CY77, 3) = "*((", "", 'Monthly Update'!CY77="", "", TRUE, 'Monthly Update'!CY77)</f>
        <v/>
      </c>
      <c r="H77" s="221" t="str" cm="1">
        <f t="array" ref="H77">_xlfn.IFS(LEFT('Monthly Update'!CZ77, 3) = "*((", "", 'Monthly Update'!CZ77="", "", TRUE, 'Monthly Update'!CZ77)</f>
        <v/>
      </c>
      <c r="I77" s="221" t="str" cm="1">
        <f t="array" ref="I77">_xlfn.IFS(LEFT('Monthly Update'!DA77, 3) = "*((", "", 'Monthly Update'!DA77="", "", TRUE, 'Monthly Update'!DA77)</f>
        <v/>
      </c>
      <c r="J77" s="221" t="str" cm="1">
        <f t="array" ref="J77">_xlfn.IFS(LEFT('Monthly Update'!DB77, 3) = "*((", "", 'Monthly Update'!DB77="", "", TRUE, 'Monthly Update'!DB77)</f>
        <v/>
      </c>
      <c r="K77" s="221" t="str" cm="1">
        <f t="array" ref="K77">_xlfn.IFS(LEFT('Monthly Update'!DC77, 3) = "*((", "", 'Monthly Update'!DC77="", "", TRUE, 'Monthly Update'!DC77)</f>
        <v/>
      </c>
      <c r="L77" s="221" t="str" cm="1">
        <f t="array" ref="L77">_xlfn.IFS(LEFT('Monthly Update'!DD77, 3) = "*((", "", 'Monthly Update'!DD77="", "", TRUE, 'Monthly Update'!DD77)</f>
        <v/>
      </c>
      <c r="M77" s="221" t="str" cm="1">
        <f t="array" ref="M77">_xlfn.IFS(LEFT('Monthly Update'!DE77, 3) = "*((", "", 'Monthly Update'!DE77="", "", TRUE, 'Monthly Update'!DE77)</f>
        <v/>
      </c>
      <c r="N77" s="221" t="str" cm="1">
        <f t="array" ref="N77">_xlfn.IFS(LEFT('Monthly Update'!DF77, 3) = "*((", "", 'Monthly Update'!DF77="", "", TRUE, 'Monthly Update'!DF77)</f>
        <v/>
      </c>
      <c r="O77" s="221" t="str" cm="1">
        <f t="array" ref="O77">_xlfn.IFS(LEFT('Monthly Update'!DG77, 3) = "*((", "", 'Monthly Update'!DG77="", "", TRUE, 'Monthly Update'!DG77)</f>
        <v/>
      </c>
      <c r="P77" s="221" t="str" cm="1">
        <f t="array" ref="P77">_xlfn.IFS(LEFT('Monthly Update'!DH77, 3) = "*((", "", 'Monthly Update'!DH77="", "", TRUE, 'Monthly Update'!DH77)</f>
        <v/>
      </c>
      <c r="Q77" s="221" t="str" cm="1">
        <f t="array" ref="Q77">_xlfn.IFS(LEFT('Monthly Update'!DI77, 3) = "*((", "", 'Monthly Update'!DI77="", "", TRUE, 'Monthly Update'!DI77)</f>
        <v/>
      </c>
      <c r="R77" s="221" t="str" cm="1">
        <f t="array" ref="R77">_xlfn.IFS(LEFT('Monthly Update'!DJ77, 3) = "*((", "", 'Monthly Update'!DJ77="", "", TRUE, 'Monthly Update'!DJ77)</f>
        <v/>
      </c>
      <c r="S77" s="221" t="str" cm="1">
        <f t="array" ref="S77">_xlfn.IFS(LEFT('Monthly Update'!DK77, 3) = "*((", "", 'Monthly Update'!DK77="", "", TRUE, 'Monthly Update'!DK77)</f>
        <v/>
      </c>
      <c r="T77" s="221" t="str" cm="1">
        <f t="array" ref="T77">_xlfn.IFS(LEFT('Monthly Update'!DL77, 3) = "*((", "", 'Monthly Update'!DL77="", "", TRUE, 'Monthly Update'!DL77)</f>
        <v/>
      </c>
      <c r="U77" s="221" t="str" cm="1">
        <f t="array" ref="U77">_xlfn.IFS(LEFT('Monthly Update'!DM77, 3) = "*((", "", 'Monthly Update'!DM77="", "", TRUE, 'Monthly Update'!DM77)</f>
        <v/>
      </c>
      <c r="V77" s="221" t="str" cm="1">
        <f t="array" ref="V77">_xlfn.IFS(LEFT('Monthly Update'!DN77, 3) = "*((", "", 'Monthly Update'!DN77="", "", TRUE, 'Monthly Update'!DN77)</f>
        <v/>
      </c>
      <c r="W77" s="221" t="str" cm="1">
        <f t="array" ref="W77">_xlfn.IFS(LEFT('Monthly Update'!DO77, 3) = "*((", "", 'Monthly Update'!DO77="", "", TRUE, 'Monthly Update'!DO77)</f>
        <v/>
      </c>
      <c r="X77" s="221" t="str" cm="1">
        <f t="array" ref="X77">_xlfn.IFS(LEFT('Monthly Update'!DP77, 3) = "*((", "", 'Monthly Update'!DP77="", "", TRUE, 'Monthly Update'!DP77)</f>
        <v/>
      </c>
      <c r="Y77" s="221" t="str" cm="1">
        <f t="array" ref="Y77">_xlfn.IFS(LEFT('Monthly Update'!DQ77, 3) = "*((", "", 'Monthly Update'!DQ77="", "", TRUE, 'Monthly Update'!DQ77)</f>
        <v/>
      </c>
      <c r="Z77" s="221" t="str" cm="1">
        <f t="array" ref="Z77">_xlfn.IFS(LEFT('Monthly Update'!DR77, 3) = "*((", "", 'Monthly Update'!DR77="", "", TRUE, 'Monthly Update'!DR77)</f>
        <v/>
      </c>
      <c r="AA77" s="221" t="str" cm="1">
        <f t="array" ref="AA77">_xlfn.IFS(LEFT('Monthly Update'!DS77, 3) = "*((", "", 'Monthly Update'!DS77="", "", TRUE, 'Monthly Update'!DS77)</f>
        <v/>
      </c>
      <c r="AB77" s="221" t="str" cm="1">
        <f t="array" ref="AB77">_xlfn.IFS(LEFT('Monthly Update'!DT77, 3) = "*((", "", 'Monthly Update'!DT77="", "", TRUE, 'Monthly Update'!DT77)</f>
        <v/>
      </c>
      <c r="AC77" s="221" t="str" cm="1">
        <f t="array" ref="AC77">_xlfn.IFS(LEFT('Monthly Update'!DU77, 3) = "*((", "", 'Monthly Update'!DU77="", "", TRUE, 'Monthly Update'!DU77)</f>
        <v/>
      </c>
      <c r="AD77" s="221" t="str" cm="1">
        <f t="array" ref="AD77">_xlfn.IFS(LEFT('Monthly Update'!DV77, 3) = "*((", "", 'Monthly Update'!DV77="", "", TRUE, 'Monthly Update'!DV77)</f>
        <v/>
      </c>
      <c r="AE77" s="221" t="str" cm="1">
        <f t="array" ref="AE77">_xlfn.IFS(LEFT('Monthly Update'!DW77, 3) = "*((", "", 'Monthly Update'!DW77="", "", TRUE, 'Monthly Update'!DW77)</f>
        <v/>
      </c>
      <c r="AF77" s="221" t="str" cm="1">
        <f t="array" ref="AF77">_xlfn.IFS(LEFT('Monthly Update'!DX77, 3) = "*((", "", 'Monthly Update'!DX77="", "", TRUE, 'Monthly Update'!DX77)</f>
        <v/>
      </c>
      <c r="AG77" s="221" t="str" cm="1">
        <f t="array" ref="AG77">_xlfn.IFS(LEFT('Monthly Update'!DY77, 3) = "*((", "", 'Monthly Update'!DY77="", "", TRUE, 'Monthly Update'!DY77)</f>
        <v/>
      </c>
      <c r="AH77" s="221" t="str" cm="1">
        <f t="array" ref="AH77">_xlfn.IFS(LEFT('Monthly Update'!DZ77, 3) = "*((", "", 'Monthly Update'!DZ77="", "", TRUE, 'Monthly Update'!DZ77)</f>
        <v/>
      </c>
      <c r="AI77" s="221" t="str" cm="1">
        <f t="array" ref="AI77">_xlfn.IFS(LEFT('Monthly Update'!EA77, 3) = "*((", "", 'Monthly Update'!EA77="", "", TRUE, 'Monthly Update'!EA77)</f>
        <v/>
      </c>
      <c r="AJ77" s="221" t="str" cm="1">
        <f t="array" ref="AJ77">_xlfn.IFS(LEFT('Monthly Update'!EB77, 3) = "*((", "", 'Monthly Update'!EB77="", "", TRUE, 'Monthly Update'!EB77)</f>
        <v/>
      </c>
      <c r="AK77" s="221" t="str" cm="1">
        <f t="array" ref="AK77">_xlfn.IFS(LEFT('Monthly Update'!EC77, 3) = "*((", "", 'Monthly Update'!EC77="", "", TRUE, 'Monthly Update'!EC77)</f>
        <v/>
      </c>
      <c r="AL77" s="221" t="str" cm="1">
        <f t="array" ref="AL77">_xlfn.IFS(LEFT('Monthly Update'!ED77, 3) = "*((", "", 'Monthly Update'!ED77="", "", TRUE, 'Monthly Update'!ED77)</f>
        <v/>
      </c>
      <c r="AM77" s="221" t="str" cm="1">
        <f t="array" ref="AM77">_xlfn.IFS(LEFT('Monthly Update'!EE77, 3) = "*((", "", 'Monthly Update'!EE77="", "", TRUE, 'Monthly Update'!EE77)</f>
        <v/>
      </c>
      <c r="AN77" s="221" t="str" cm="1">
        <f t="array" ref="AN77">_xlfn.IFS(LEFT('Monthly Update'!EF77, 3) = "*((", "", 'Monthly Update'!EF77="", "", TRUE, 'Monthly Update'!EF77)</f>
        <v/>
      </c>
      <c r="AO77" s="221" t="str" cm="1">
        <f t="array" ref="AO77">_xlfn.IFS(LEFT('Monthly Update'!EG77, 3) = "*((", "", 'Monthly Update'!EG77="", "", TRUE, 'Monthly Update'!EG77)</f>
        <v/>
      </c>
      <c r="AP77" s="221" t="str" cm="1">
        <f t="array" ref="AP77">_xlfn.IFS(LEFT('Monthly Update'!EH77, 3) = "*((", "", 'Monthly Update'!EH77="", "", TRUE, 'Monthly Update'!EH77)</f>
        <v/>
      </c>
      <c r="AQ77" s="221" t="str" cm="1">
        <f t="array" ref="AQ77">_xlfn.IFS(LEFT('Monthly Update'!EI77, 3) = "*((", "", 'Monthly Update'!EI77="", "", TRUE, 'Monthly Update'!EI77)</f>
        <v/>
      </c>
      <c r="AR77" s="221" t="str" cm="1">
        <f t="array" ref="AR77">_xlfn.IFS(LEFT('Monthly Update'!EJ77, 3) = "*((", "", 'Monthly Update'!EJ77="", "", TRUE, 'Monthly Update'!EJ77)</f>
        <v/>
      </c>
      <c r="AS77" s="221" t="str" cm="1">
        <f t="array" ref="AS77">_xlfn.IFS(LEFT('Monthly Update'!EK77, 3) = "*((", "", 'Monthly Update'!EK77="", "", TRUE, 'Monthly Update'!EK77)</f>
        <v/>
      </c>
      <c r="AT77" s="221" t="str" cm="1">
        <f t="array" ref="AT77">_xlfn.IFS(LEFT('Monthly Update'!EL77, 3) = "*((", "", 'Monthly Update'!EL77="", "", TRUE, 'Monthly Update'!EL77)</f>
        <v/>
      </c>
      <c r="AU77" s="221" t="str" cm="1">
        <f t="array" ref="AU77">_xlfn.IFS(LEFT('Monthly Update'!EM77, 3) = "*((", "", 'Monthly Update'!EM77="", "", TRUE, 'Monthly Update'!EM77)</f>
        <v/>
      </c>
      <c r="AV77" s="221" t="str" cm="1">
        <f t="array" ref="AV77">_xlfn.IFS(LEFT('Monthly Update'!EN77, 3) = "*((", "", 'Monthly Update'!EN77="", "", TRUE, 'Monthly Update'!EN77)</f>
        <v/>
      </c>
      <c r="AW77" s="221" t="str" cm="1">
        <f t="array" ref="AW77">_xlfn.IFS(LEFT('Monthly Update'!EO77, 3) = "*((", "", 'Monthly Update'!EO77="", "", TRUE, 'Monthly Update'!EO77)</f>
        <v/>
      </c>
      <c r="NU77" s="252"/>
      <c r="NV77" s="252"/>
      <c r="NW77" s="252"/>
      <c r="NX77" s="252"/>
      <c r="NY77" s="252"/>
      <c r="NZ77" s="252"/>
      <c r="OA77" s="252"/>
      <c r="OB77" s="252"/>
      <c r="OC77" s="252"/>
      <c r="OD77" s="252"/>
      <c r="OE77" s="252"/>
      <c r="OF77" s="252"/>
      <c r="OG77" s="252"/>
      <c r="OH77" s="252"/>
      <c r="OI77" s="252"/>
      <c r="OJ77" s="252"/>
      <c r="OK77" s="252"/>
      <c r="OL77" s="252"/>
      <c r="OM77" s="252"/>
      <c r="ON77" s="252"/>
      <c r="OO77" s="252"/>
      <c r="OP77" s="252"/>
      <c r="OQ77" s="252"/>
      <c r="OR77" s="252"/>
      <c r="OS77" s="252"/>
      <c r="OT77" s="252"/>
      <c r="OU77" s="252"/>
      <c r="OV77" s="252"/>
      <c r="OW77" s="252"/>
      <c r="OX77" s="252"/>
      <c r="OY77" s="252"/>
      <c r="OZ77" s="252"/>
      <c r="PA77" s="252"/>
      <c r="PB77" s="252"/>
      <c r="PC77" s="252"/>
      <c r="PD77" s="252"/>
      <c r="PE77" s="252"/>
      <c r="PF77" s="252"/>
      <c r="PG77" s="252"/>
      <c r="PH77" s="252"/>
      <c r="PI77" s="252"/>
      <c r="PJ77" s="252"/>
      <c r="PK77" s="252"/>
      <c r="PL77" s="252"/>
      <c r="PM77" s="252"/>
      <c r="PN77" s="252"/>
      <c r="PO77" s="252"/>
      <c r="PP77" s="252"/>
      <c r="PQ77" s="252"/>
      <c r="PR77" s="252"/>
      <c r="PS77" s="252"/>
      <c r="PT77" s="252"/>
      <c r="PU77" s="252"/>
      <c r="PV77" s="252"/>
      <c r="PW77" s="252"/>
      <c r="PX77" s="252"/>
      <c r="PY77" s="252"/>
      <c r="PZ77" s="252"/>
      <c r="QA77" s="252"/>
      <c r="QB77" s="252"/>
      <c r="QC77" s="252"/>
      <c r="QD77" s="252"/>
      <c r="QE77" s="252"/>
      <c r="QF77" s="252"/>
      <c r="QG77" s="252"/>
      <c r="QH77" s="252"/>
      <c r="QI77" s="252"/>
      <c r="QJ77" s="252"/>
      <c r="QK77" s="252"/>
      <c r="QL77" s="252"/>
      <c r="QM77" s="252"/>
      <c r="QN77" s="252"/>
      <c r="QO77" s="252"/>
      <c r="QP77" s="252"/>
      <c r="QQ77" s="252"/>
      <c r="QR77" s="252"/>
      <c r="QS77" s="252"/>
      <c r="QT77" s="252"/>
      <c r="QU77" s="252"/>
      <c r="QV77" s="252"/>
      <c r="QW77" s="252"/>
      <c r="QX77" s="252"/>
      <c r="QY77" s="252"/>
      <c r="QZ77" s="252"/>
      <c r="RA77" s="252"/>
      <c r="RB77" s="252"/>
      <c r="RC77" s="252"/>
      <c r="RD77" s="252"/>
      <c r="RE77" s="252"/>
      <c r="RF77" s="252"/>
      <c r="RG77" s="252"/>
      <c r="RH77" s="252"/>
      <c r="RI77" s="252"/>
      <c r="RJ77" s="252"/>
      <c r="RK77" s="252"/>
      <c r="RL77" s="252"/>
      <c r="RM77" s="252"/>
      <c r="RN77" s="252"/>
      <c r="RO77" s="252"/>
      <c r="RP77" s="252"/>
      <c r="RQ77" s="252"/>
      <c r="RR77" s="252"/>
      <c r="RS77" s="252"/>
      <c r="RT77" s="252"/>
      <c r="RU77" s="252"/>
      <c r="RV77" s="252"/>
      <c r="RW77" s="252"/>
      <c r="RX77" s="252"/>
      <c r="RY77" s="252"/>
      <c r="RZ77" s="252"/>
      <c r="SA77" s="252"/>
      <c r="SB77" s="252"/>
      <c r="SC77" s="252"/>
      <c r="SD77" s="252"/>
      <c r="SE77" s="252"/>
      <c r="SF77" s="252"/>
      <c r="SG77" s="252"/>
      <c r="SH77" s="252"/>
      <c r="SI77" s="252"/>
      <c r="SJ77" s="252"/>
      <c r="SK77" s="252"/>
      <c r="SL77" s="252"/>
      <c r="SM77" s="252"/>
      <c r="SN77" s="252"/>
    </row>
    <row r="78" spans="1:508" s="243" customFormat="1" ht="15.6" customHeight="1" x14ac:dyDescent="0.55000000000000004">
      <c r="A78" s="220" t="str" cm="1">
        <f t="array" ref="A78">_xlfn.IFS(LEFT('Monthly Update'!A78, 3) = "*((", "", 'Monthly Update'!A78="", "", TRUE, 'Monthly Update'!A78)</f>
        <v/>
      </c>
      <c r="B78" s="220" t="str" cm="1">
        <f t="array" ref="B78">_xlfn.IFS(LEFT('Monthly Update'!B78, 3) = "*((", "", 'Monthly Update'!B78="", "", TRUE, 'Monthly Update'!B78)</f>
        <v/>
      </c>
      <c r="C78" s="221" t="str" cm="1">
        <f t="array" ref="C78">_xlfn.IFS(LEFT('Monthly Update'!CU78, 3) = "*((", "", 'Monthly Update'!CU78="", "", TRUE, 'Monthly Update'!CU78)</f>
        <v/>
      </c>
      <c r="D78" s="221" t="str" cm="1">
        <f t="array" ref="D78">_xlfn.IFS(LEFT('Monthly Update'!CV78, 3) = "*((", "", 'Monthly Update'!CV78="", "", TRUE, 'Monthly Update'!CV78)</f>
        <v/>
      </c>
      <c r="E78" s="221" t="str" cm="1">
        <f t="array" ref="E78">_xlfn.IFS(LEFT('Monthly Update'!CW78, 3) = "*((", "", 'Monthly Update'!CW78="", "", TRUE, 'Monthly Update'!CW78)</f>
        <v/>
      </c>
      <c r="F78" s="221" t="str" cm="1">
        <f t="array" ref="F78">_xlfn.IFS(LEFT('Monthly Update'!CX78, 3) = "*((", "", 'Monthly Update'!CX78="", "", TRUE, 'Monthly Update'!CX78)</f>
        <v/>
      </c>
      <c r="G78" s="221" t="str" cm="1">
        <f t="array" ref="G78">_xlfn.IFS(LEFT('Monthly Update'!CY78, 3) = "*((", "", 'Monthly Update'!CY78="", "", TRUE, 'Monthly Update'!CY78)</f>
        <v/>
      </c>
      <c r="H78" s="221" t="str" cm="1">
        <f t="array" ref="H78">_xlfn.IFS(LEFT('Monthly Update'!CZ78, 3) = "*((", "", 'Monthly Update'!CZ78="", "", TRUE, 'Monthly Update'!CZ78)</f>
        <v/>
      </c>
      <c r="I78" s="221" t="str" cm="1">
        <f t="array" ref="I78">_xlfn.IFS(LEFT('Monthly Update'!DA78, 3) = "*((", "", 'Monthly Update'!DA78="", "", TRUE, 'Monthly Update'!DA78)</f>
        <v/>
      </c>
      <c r="J78" s="221" t="str" cm="1">
        <f t="array" ref="J78">_xlfn.IFS(LEFT('Monthly Update'!DB78, 3) = "*((", "", 'Monthly Update'!DB78="", "", TRUE, 'Monthly Update'!DB78)</f>
        <v/>
      </c>
      <c r="K78" s="221" t="str" cm="1">
        <f t="array" ref="K78">_xlfn.IFS(LEFT('Monthly Update'!DC78, 3) = "*((", "", 'Monthly Update'!DC78="", "", TRUE, 'Monthly Update'!DC78)</f>
        <v/>
      </c>
      <c r="L78" s="221" t="str" cm="1">
        <f t="array" ref="L78">_xlfn.IFS(LEFT('Monthly Update'!DD78, 3) = "*((", "", 'Monthly Update'!DD78="", "", TRUE, 'Monthly Update'!DD78)</f>
        <v/>
      </c>
      <c r="M78" s="221" t="str" cm="1">
        <f t="array" ref="M78">_xlfn.IFS(LEFT('Monthly Update'!DE78, 3) = "*((", "", 'Monthly Update'!DE78="", "", TRUE, 'Monthly Update'!DE78)</f>
        <v/>
      </c>
      <c r="N78" s="221" t="str" cm="1">
        <f t="array" ref="N78">_xlfn.IFS(LEFT('Monthly Update'!DF78, 3) = "*((", "", 'Monthly Update'!DF78="", "", TRUE, 'Monthly Update'!DF78)</f>
        <v/>
      </c>
      <c r="O78" s="221" t="str" cm="1">
        <f t="array" ref="O78">_xlfn.IFS(LEFT('Monthly Update'!DG78, 3) = "*((", "", 'Monthly Update'!DG78="", "", TRUE, 'Monthly Update'!DG78)</f>
        <v/>
      </c>
      <c r="P78" s="221" t="str" cm="1">
        <f t="array" ref="P78">_xlfn.IFS(LEFT('Monthly Update'!DH78, 3) = "*((", "", 'Monthly Update'!DH78="", "", TRUE, 'Monthly Update'!DH78)</f>
        <v/>
      </c>
      <c r="Q78" s="221" t="str" cm="1">
        <f t="array" ref="Q78">_xlfn.IFS(LEFT('Monthly Update'!DI78, 3) = "*((", "", 'Monthly Update'!DI78="", "", TRUE, 'Monthly Update'!DI78)</f>
        <v/>
      </c>
      <c r="R78" s="221" t="str" cm="1">
        <f t="array" ref="R78">_xlfn.IFS(LEFT('Monthly Update'!DJ78, 3) = "*((", "", 'Monthly Update'!DJ78="", "", TRUE, 'Monthly Update'!DJ78)</f>
        <v/>
      </c>
      <c r="S78" s="221" t="str" cm="1">
        <f t="array" ref="S78">_xlfn.IFS(LEFT('Monthly Update'!DK78, 3) = "*((", "", 'Monthly Update'!DK78="", "", TRUE, 'Monthly Update'!DK78)</f>
        <v/>
      </c>
      <c r="T78" s="221" t="str" cm="1">
        <f t="array" ref="T78">_xlfn.IFS(LEFT('Monthly Update'!DL78, 3) = "*((", "", 'Monthly Update'!DL78="", "", TRUE, 'Monthly Update'!DL78)</f>
        <v/>
      </c>
      <c r="U78" s="221" t="str" cm="1">
        <f t="array" ref="U78">_xlfn.IFS(LEFT('Monthly Update'!DM78, 3) = "*((", "", 'Monthly Update'!DM78="", "", TRUE, 'Monthly Update'!DM78)</f>
        <v/>
      </c>
      <c r="V78" s="221" t="str" cm="1">
        <f t="array" ref="V78">_xlfn.IFS(LEFT('Monthly Update'!DN78, 3) = "*((", "", 'Monthly Update'!DN78="", "", TRUE, 'Monthly Update'!DN78)</f>
        <v/>
      </c>
      <c r="W78" s="221" t="str" cm="1">
        <f t="array" ref="W78">_xlfn.IFS(LEFT('Monthly Update'!DO78, 3) = "*((", "", 'Monthly Update'!DO78="", "", TRUE, 'Monthly Update'!DO78)</f>
        <v/>
      </c>
      <c r="X78" s="221" t="str" cm="1">
        <f t="array" ref="X78">_xlfn.IFS(LEFT('Monthly Update'!DP78, 3) = "*((", "", 'Monthly Update'!DP78="", "", TRUE, 'Monthly Update'!DP78)</f>
        <v/>
      </c>
      <c r="Y78" s="221" t="str" cm="1">
        <f t="array" ref="Y78">_xlfn.IFS(LEFT('Monthly Update'!DQ78, 3) = "*((", "", 'Monthly Update'!DQ78="", "", TRUE, 'Monthly Update'!DQ78)</f>
        <v/>
      </c>
      <c r="Z78" s="221" t="str" cm="1">
        <f t="array" ref="Z78">_xlfn.IFS(LEFT('Monthly Update'!DR78, 3) = "*((", "", 'Monthly Update'!DR78="", "", TRUE, 'Monthly Update'!DR78)</f>
        <v/>
      </c>
      <c r="AA78" s="221" t="str" cm="1">
        <f t="array" ref="AA78">_xlfn.IFS(LEFT('Monthly Update'!DS78, 3) = "*((", "", 'Monthly Update'!DS78="", "", TRUE, 'Monthly Update'!DS78)</f>
        <v/>
      </c>
      <c r="AB78" s="221" t="str" cm="1">
        <f t="array" ref="AB78">_xlfn.IFS(LEFT('Monthly Update'!DT78, 3) = "*((", "", 'Monthly Update'!DT78="", "", TRUE, 'Monthly Update'!DT78)</f>
        <v/>
      </c>
      <c r="AC78" s="221" t="str" cm="1">
        <f t="array" ref="AC78">_xlfn.IFS(LEFT('Monthly Update'!DU78, 3) = "*((", "", 'Monthly Update'!DU78="", "", TRUE, 'Monthly Update'!DU78)</f>
        <v/>
      </c>
      <c r="AD78" s="221" t="str" cm="1">
        <f t="array" ref="AD78">_xlfn.IFS(LEFT('Monthly Update'!DV78, 3) = "*((", "", 'Monthly Update'!DV78="", "", TRUE, 'Monthly Update'!DV78)</f>
        <v/>
      </c>
      <c r="AE78" s="221" t="str" cm="1">
        <f t="array" ref="AE78">_xlfn.IFS(LEFT('Monthly Update'!DW78, 3) = "*((", "", 'Monthly Update'!DW78="", "", TRUE, 'Monthly Update'!DW78)</f>
        <v/>
      </c>
      <c r="AF78" s="221" t="str" cm="1">
        <f t="array" ref="AF78">_xlfn.IFS(LEFT('Monthly Update'!DX78, 3) = "*((", "", 'Monthly Update'!DX78="", "", TRUE, 'Monthly Update'!DX78)</f>
        <v/>
      </c>
      <c r="AG78" s="221" t="str" cm="1">
        <f t="array" ref="AG78">_xlfn.IFS(LEFT('Monthly Update'!DY78, 3) = "*((", "", 'Monthly Update'!DY78="", "", TRUE, 'Monthly Update'!DY78)</f>
        <v/>
      </c>
      <c r="AH78" s="221" t="str" cm="1">
        <f t="array" ref="AH78">_xlfn.IFS(LEFT('Monthly Update'!DZ78, 3) = "*((", "", 'Monthly Update'!DZ78="", "", TRUE, 'Monthly Update'!DZ78)</f>
        <v/>
      </c>
      <c r="AI78" s="221" t="str" cm="1">
        <f t="array" ref="AI78">_xlfn.IFS(LEFT('Monthly Update'!EA78, 3) = "*((", "", 'Monthly Update'!EA78="", "", TRUE, 'Monthly Update'!EA78)</f>
        <v/>
      </c>
      <c r="AJ78" s="221" t="str" cm="1">
        <f t="array" ref="AJ78">_xlfn.IFS(LEFT('Monthly Update'!EB78, 3) = "*((", "", 'Monthly Update'!EB78="", "", TRUE, 'Monthly Update'!EB78)</f>
        <v/>
      </c>
      <c r="AK78" s="221" t="str" cm="1">
        <f t="array" ref="AK78">_xlfn.IFS(LEFT('Monthly Update'!EC78, 3) = "*((", "", 'Monthly Update'!EC78="", "", TRUE, 'Monthly Update'!EC78)</f>
        <v/>
      </c>
      <c r="AL78" s="221" t="str" cm="1">
        <f t="array" ref="AL78">_xlfn.IFS(LEFT('Monthly Update'!ED78, 3) = "*((", "", 'Monthly Update'!ED78="", "", TRUE, 'Monthly Update'!ED78)</f>
        <v/>
      </c>
      <c r="AM78" s="221" t="str" cm="1">
        <f t="array" ref="AM78">_xlfn.IFS(LEFT('Monthly Update'!EE78, 3) = "*((", "", 'Monthly Update'!EE78="", "", TRUE, 'Monthly Update'!EE78)</f>
        <v/>
      </c>
      <c r="AN78" s="221" t="str" cm="1">
        <f t="array" ref="AN78">_xlfn.IFS(LEFT('Monthly Update'!EF78, 3) = "*((", "", 'Monthly Update'!EF78="", "", TRUE, 'Monthly Update'!EF78)</f>
        <v/>
      </c>
      <c r="AO78" s="221" t="str" cm="1">
        <f t="array" ref="AO78">_xlfn.IFS(LEFT('Monthly Update'!EG78, 3) = "*((", "", 'Monthly Update'!EG78="", "", TRUE, 'Monthly Update'!EG78)</f>
        <v/>
      </c>
      <c r="AP78" s="221" t="str" cm="1">
        <f t="array" ref="AP78">_xlfn.IFS(LEFT('Monthly Update'!EH78, 3) = "*((", "", 'Monthly Update'!EH78="", "", TRUE, 'Monthly Update'!EH78)</f>
        <v/>
      </c>
      <c r="AQ78" s="221" t="str" cm="1">
        <f t="array" ref="AQ78">_xlfn.IFS(LEFT('Monthly Update'!EI78, 3) = "*((", "", 'Monthly Update'!EI78="", "", TRUE, 'Monthly Update'!EI78)</f>
        <v/>
      </c>
      <c r="AR78" s="221" t="str" cm="1">
        <f t="array" ref="AR78">_xlfn.IFS(LEFT('Monthly Update'!EJ78, 3) = "*((", "", 'Monthly Update'!EJ78="", "", TRUE, 'Monthly Update'!EJ78)</f>
        <v/>
      </c>
      <c r="AS78" s="221" t="str" cm="1">
        <f t="array" ref="AS78">_xlfn.IFS(LEFT('Monthly Update'!EK78, 3) = "*((", "", 'Monthly Update'!EK78="", "", TRUE, 'Monthly Update'!EK78)</f>
        <v/>
      </c>
      <c r="AT78" s="221" t="str" cm="1">
        <f t="array" ref="AT78">_xlfn.IFS(LEFT('Monthly Update'!EL78, 3) = "*((", "", 'Monthly Update'!EL78="", "", TRUE, 'Monthly Update'!EL78)</f>
        <v/>
      </c>
      <c r="AU78" s="221" t="str" cm="1">
        <f t="array" ref="AU78">_xlfn.IFS(LEFT('Monthly Update'!EM78, 3) = "*((", "", 'Monthly Update'!EM78="", "", TRUE, 'Monthly Update'!EM78)</f>
        <v/>
      </c>
      <c r="AV78" s="221" t="str" cm="1">
        <f t="array" ref="AV78">_xlfn.IFS(LEFT('Monthly Update'!EN78, 3) = "*((", "", 'Monthly Update'!EN78="", "", TRUE, 'Monthly Update'!EN78)</f>
        <v/>
      </c>
      <c r="AW78" s="221" t="str" cm="1">
        <f t="array" ref="AW78">_xlfn.IFS(LEFT('Monthly Update'!EO78, 3) = "*((", "", 'Monthly Update'!EO78="", "", TRUE, 'Monthly Update'!EO78)</f>
        <v/>
      </c>
      <c r="NU78" s="252"/>
      <c r="NV78" s="252"/>
      <c r="NW78" s="252"/>
      <c r="NX78" s="252"/>
      <c r="NY78" s="252"/>
      <c r="NZ78" s="252"/>
      <c r="OA78" s="252"/>
      <c r="OB78" s="252"/>
      <c r="OC78" s="252"/>
      <c r="OD78" s="252"/>
      <c r="OE78" s="252"/>
      <c r="OF78" s="252"/>
      <c r="OG78" s="252"/>
      <c r="OH78" s="252"/>
      <c r="OI78" s="252"/>
      <c r="OJ78" s="252"/>
      <c r="OK78" s="252"/>
      <c r="OL78" s="252"/>
      <c r="OM78" s="252"/>
      <c r="ON78" s="252"/>
      <c r="OO78" s="252"/>
      <c r="OP78" s="252"/>
      <c r="OQ78" s="252"/>
      <c r="OR78" s="252"/>
      <c r="OS78" s="252"/>
      <c r="OT78" s="252"/>
      <c r="OU78" s="252"/>
      <c r="OV78" s="252"/>
      <c r="OW78" s="252"/>
      <c r="OX78" s="252"/>
      <c r="OY78" s="252"/>
      <c r="OZ78" s="252"/>
      <c r="PA78" s="252"/>
      <c r="PB78" s="252"/>
      <c r="PC78" s="252"/>
      <c r="PD78" s="252"/>
      <c r="PE78" s="252"/>
      <c r="PF78" s="252"/>
      <c r="PG78" s="252"/>
      <c r="PH78" s="252"/>
      <c r="PI78" s="252"/>
      <c r="PJ78" s="252"/>
      <c r="PK78" s="252"/>
      <c r="PL78" s="252"/>
      <c r="PM78" s="252"/>
      <c r="PN78" s="252"/>
      <c r="PO78" s="252"/>
      <c r="PP78" s="252"/>
      <c r="PQ78" s="252"/>
      <c r="PR78" s="252"/>
      <c r="PS78" s="252"/>
      <c r="PT78" s="252"/>
      <c r="PU78" s="252"/>
      <c r="PV78" s="252"/>
      <c r="PW78" s="252"/>
      <c r="PX78" s="252"/>
      <c r="PY78" s="252"/>
      <c r="PZ78" s="252"/>
      <c r="QA78" s="252"/>
      <c r="QB78" s="252"/>
      <c r="QC78" s="252"/>
      <c r="QD78" s="252"/>
      <c r="QE78" s="252"/>
      <c r="QF78" s="252"/>
      <c r="QG78" s="252"/>
      <c r="QH78" s="252"/>
      <c r="QI78" s="252"/>
      <c r="QJ78" s="252"/>
      <c r="QK78" s="252"/>
      <c r="QL78" s="252"/>
      <c r="QM78" s="252"/>
      <c r="QN78" s="252"/>
      <c r="QO78" s="252"/>
      <c r="QP78" s="252"/>
      <c r="QQ78" s="252"/>
      <c r="QR78" s="252"/>
      <c r="QS78" s="252"/>
      <c r="QT78" s="252"/>
      <c r="QU78" s="252"/>
      <c r="QV78" s="252"/>
      <c r="QW78" s="252"/>
      <c r="QX78" s="252"/>
      <c r="QY78" s="252"/>
      <c r="QZ78" s="252"/>
      <c r="RA78" s="252"/>
      <c r="RB78" s="252"/>
      <c r="RC78" s="252"/>
      <c r="RD78" s="252"/>
      <c r="RE78" s="252"/>
      <c r="RF78" s="252"/>
      <c r="RG78" s="252"/>
      <c r="RH78" s="252"/>
      <c r="RI78" s="252"/>
      <c r="RJ78" s="252"/>
      <c r="RK78" s="252"/>
      <c r="RL78" s="252"/>
      <c r="RM78" s="252"/>
      <c r="RN78" s="252"/>
      <c r="RO78" s="252"/>
      <c r="RP78" s="252"/>
      <c r="RQ78" s="252"/>
      <c r="RR78" s="252"/>
      <c r="RS78" s="252"/>
      <c r="RT78" s="252"/>
      <c r="RU78" s="252"/>
      <c r="RV78" s="252"/>
      <c r="RW78" s="252"/>
      <c r="RX78" s="252"/>
      <c r="RY78" s="252"/>
      <c r="RZ78" s="252"/>
      <c r="SA78" s="252"/>
      <c r="SB78" s="252"/>
      <c r="SC78" s="252"/>
      <c r="SD78" s="252"/>
      <c r="SE78" s="252"/>
      <c r="SF78" s="252"/>
      <c r="SG78" s="252"/>
      <c r="SH78" s="252"/>
      <c r="SI78" s="252"/>
      <c r="SJ78" s="252"/>
      <c r="SK78" s="252"/>
      <c r="SL78" s="252"/>
      <c r="SM78" s="252"/>
      <c r="SN78" s="252"/>
    </row>
    <row r="79" spans="1:508" s="243" customFormat="1" ht="15.6" customHeight="1" x14ac:dyDescent="0.55000000000000004">
      <c r="A79" s="220" t="str" cm="1">
        <f t="array" ref="A79">_xlfn.IFS(LEFT('Monthly Update'!A79, 3) = "*((", "", 'Monthly Update'!A79="", "", TRUE, 'Monthly Update'!A79)</f>
        <v/>
      </c>
      <c r="B79" s="220" t="str" cm="1">
        <f t="array" ref="B79">_xlfn.IFS(LEFT('Monthly Update'!B79, 3) = "*((", "", 'Monthly Update'!B79="", "", TRUE, 'Monthly Update'!B79)</f>
        <v/>
      </c>
      <c r="C79" s="221" t="str" cm="1">
        <f t="array" ref="C79">_xlfn.IFS(LEFT('Monthly Update'!CU79, 3) = "*((", "", 'Monthly Update'!CU79="", "", TRUE, 'Monthly Update'!CU79)</f>
        <v/>
      </c>
      <c r="D79" s="221" t="str" cm="1">
        <f t="array" ref="D79">_xlfn.IFS(LEFT('Monthly Update'!CV79, 3) = "*((", "", 'Monthly Update'!CV79="", "", TRUE, 'Monthly Update'!CV79)</f>
        <v/>
      </c>
      <c r="E79" s="221" t="str" cm="1">
        <f t="array" ref="E79">_xlfn.IFS(LEFT('Monthly Update'!CW79, 3) = "*((", "", 'Monthly Update'!CW79="", "", TRUE, 'Monthly Update'!CW79)</f>
        <v/>
      </c>
      <c r="F79" s="221" t="str" cm="1">
        <f t="array" ref="F79">_xlfn.IFS(LEFT('Monthly Update'!CX79, 3) = "*((", "", 'Monthly Update'!CX79="", "", TRUE, 'Monthly Update'!CX79)</f>
        <v/>
      </c>
      <c r="G79" s="221" t="str" cm="1">
        <f t="array" ref="G79">_xlfn.IFS(LEFT('Monthly Update'!CY79, 3) = "*((", "", 'Monthly Update'!CY79="", "", TRUE, 'Monthly Update'!CY79)</f>
        <v/>
      </c>
      <c r="H79" s="221" t="str" cm="1">
        <f t="array" ref="H79">_xlfn.IFS(LEFT('Monthly Update'!CZ79, 3) = "*((", "", 'Monthly Update'!CZ79="", "", TRUE, 'Monthly Update'!CZ79)</f>
        <v/>
      </c>
      <c r="I79" s="221" t="str" cm="1">
        <f t="array" ref="I79">_xlfn.IFS(LEFT('Monthly Update'!DA79, 3) = "*((", "", 'Monthly Update'!DA79="", "", TRUE, 'Monthly Update'!DA79)</f>
        <v/>
      </c>
      <c r="J79" s="221" t="str" cm="1">
        <f t="array" ref="J79">_xlfn.IFS(LEFT('Monthly Update'!DB79, 3) = "*((", "", 'Monthly Update'!DB79="", "", TRUE, 'Monthly Update'!DB79)</f>
        <v/>
      </c>
      <c r="K79" s="221" t="str" cm="1">
        <f t="array" ref="K79">_xlfn.IFS(LEFT('Monthly Update'!DC79, 3) = "*((", "", 'Monthly Update'!DC79="", "", TRUE, 'Monthly Update'!DC79)</f>
        <v/>
      </c>
      <c r="L79" s="221" t="str" cm="1">
        <f t="array" ref="L79">_xlfn.IFS(LEFT('Monthly Update'!DD79, 3) = "*((", "", 'Monthly Update'!DD79="", "", TRUE, 'Monthly Update'!DD79)</f>
        <v/>
      </c>
      <c r="M79" s="221" t="str" cm="1">
        <f t="array" ref="M79">_xlfn.IFS(LEFT('Monthly Update'!DE79, 3) = "*((", "", 'Monthly Update'!DE79="", "", TRUE, 'Monthly Update'!DE79)</f>
        <v/>
      </c>
      <c r="N79" s="221" t="str" cm="1">
        <f t="array" ref="N79">_xlfn.IFS(LEFT('Monthly Update'!DF79, 3) = "*((", "", 'Monthly Update'!DF79="", "", TRUE, 'Monthly Update'!DF79)</f>
        <v/>
      </c>
      <c r="O79" s="221" t="str" cm="1">
        <f t="array" ref="O79">_xlfn.IFS(LEFT('Monthly Update'!DG79, 3) = "*((", "", 'Monthly Update'!DG79="", "", TRUE, 'Monthly Update'!DG79)</f>
        <v/>
      </c>
      <c r="P79" s="221" t="str" cm="1">
        <f t="array" ref="P79">_xlfn.IFS(LEFT('Monthly Update'!DH79, 3) = "*((", "", 'Monthly Update'!DH79="", "", TRUE, 'Monthly Update'!DH79)</f>
        <v/>
      </c>
      <c r="Q79" s="221" t="str" cm="1">
        <f t="array" ref="Q79">_xlfn.IFS(LEFT('Monthly Update'!DI79, 3) = "*((", "", 'Monthly Update'!DI79="", "", TRUE, 'Monthly Update'!DI79)</f>
        <v/>
      </c>
      <c r="R79" s="221" t="str" cm="1">
        <f t="array" ref="R79">_xlfn.IFS(LEFT('Monthly Update'!DJ79, 3) = "*((", "", 'Monthly Update'!DJ79="", "", TRUE, 'Monthly Update'!DJ79)</f>
        <v/>
      </c>
      <c r="S79" s="221" t="str" cm="1">
        <f t="array" ref="S79">_xlfn.IFS(LEFT('Monthly Update'!DK79, 3) = "*((", "", 'Monthly Update'!DK79="", "", TRUE, 'Monthly Update'!DK79)</f>
        <v/>
      </c>
      <c r="T79" s="221" t="str" cm="1">
        <f t="array" ref="T79">_xlfn.IFS(LEFT('Monthly Update'!DL79, 3) = "*((", "", 'Monthly Update'!DL79="", "", TRUE, 'Monthly Update'!DL79)</f>
        <v/>
      </c>
      <c r="U79" s="221" t="str" cm="1">
        <f t="array" ref="U79">_xlfn.IFS(LEFT('Monthly Update'!DM79, 3) = "*((", "", 'Monthly Update'!DM79="", "", TRUE, 'Monthly Update'!DM79)</f>
        <v/>
      </c>
      <c r="V79" s="221" t="str" cm="1">
        <f t="array" ref="V79">_xlfn.IFS(LEFT('Monthly Update'!DN79, 3) = "*((", "", 'Monthly Update'!DN79="", "", TRUE, 'Monthly Update'!DN79)</f>
        <v/>
      </c>
      <c r="W79" s="221" t="str" cm="1">
        <f t="array" ref="W79">_xlfn.IFS(LEFT('Monthly Update'!DO79, 3) = "*((", "", 'Monthly Update'!DO79="", "", TRUE, 'Monthly Update'!DO79)</f>
        <v/>
      </c>
      <c r="X79" s="221" t="str" cm="1">
        <f t="array" ref="X79">_xlfn.IFS(LEFT('Monthly Update'!DP79, 3) = "*((", "", 'Monthly Update'!DP79="", "", TRUE, 'Monthly Update'!DP79)</f>
        <v/>
      </c>
      <c r="Y79" s="221" t="str" cm="1">
        <f t="array" ref="Y79">_xlfn.IFS(LEFT('Monthly Update'!DQ79, 3) = "*((", "", 'Monthly Update'!DQ79="", "", TRUE, 'Monthly Update'!DQ79)</f>
        <v/>
      </c>
      <c r="Z79" s="221" t="str" cm="1">
        <f t="array" ref="Z79">_xlfn.IFS(LEFT('Monthly Update'!DR79, 3) = "*((", "", 'Monthly Update'!DR79="", "", TRUE, 'Monthly Update'!DR79)</f>
        <v/>
      </c>
      <c r="AA79" s="221" t="str" cm="1">
        <f t="array" ref="AA79">_xlfn.IFS(LEFT('Monthly Update'!DS79, 3) = "*((", "", 'Monthly Update'!DS79="", "", TRUE, 'Monthly Update'!DS79)</f>
        <v/>
      </c>
      <c r="AB79" s="221" t="str" cm="1">
        <f t="array" ref="AB79">_xlfn.IFS(LEFT('Monthly Update'!DT79, 3) = "*((", "", 'Monthly Update'!DT79="", "", TRUE, 'Monthly Update'!DT79)</f>
        <v/>
      </c>
      <c r="AC79" s="221" t="str" cm="1">
        <f t="array" ref="AC79">_xlfn.IFS(LEFT('Monthly Update'!DU79, 3) = "*((", "", 'Monthly Update'!DU79="", "", TRUE, 'Monthly Update'!DU79)</f>
        <v/>
      </c>
      <c r="AD79" s="221" t="str" cm="1">
        <f t="array" ref="AD79">_xlfn.IFS(LEFT('Monthly Update'!DV79, 3) = "*((", "", 'Monthly Update'!DV79="", "", TRUE, 'Monthly Update'!DV79)</f>
        <v/>
      </c>
      <c r="AE79" s="221" t="str" cm="1">
        <f t="array" ref="AE79">_xlfn.IFS(LEFT('Monthly Update'!DW79, 3) = "*((", "", 'Monthly Update'!DW79="", "", TRUE, 'Monthly Update'!DW79)</f>
        <v/>
      </c>
      <c r="AF79" s="221" t="str" cm="1">
        <f t="array" ref="AF79">_xlfn.IFS(LEFT('Monthly Update'!DX79, 3) = "*((", "", 'Monthly Update'!DX79="", "", TRUE, 'Monthly Update'!DX79)</f>
        <v/>
      </c>
      <c r="AG79" s="221" t="str" cm="1">
        <f t="array" ref="AG79">_xlfn.IFS(LEFT('Monthly Update'!DY79, 3) = "*((", "", 'Monthly Update'!DY79="", "", TRUE, 'Monthly Update'!DY79)</f>
        <v/>
      </c>
      <c r="AH79" s="221" t="str" cm="1">
        <f t="array" ref="AH79">_xlfn.IFS(LEFT('Monthly Update'!DZ79, 3) = "*((", "", 'Monthly Update'!DZ79="", "", TRUE, 'Monthly Update'!DZ79)</f>
        <v/>
      </c>
      <c r="AI79" s="221" t="str" cm="1">
        <f t="array" ref="AI79">_xlfn.IFS(LEFT('Monthly Update'!EA79, 3) = "*((", "", 'Monthly Update'!EA79="", "", TRUE, 'Monthly Update'!EA79)</f>
        <v/>
      </c>
      <c r="AJ79" s="221" t="str" cm="1">
        <f t="array" ref="AJ79">_xlfn.IFS(LEFT('Monthly Update'!EB79, 3) = "*((", "", 'Monthly Update'!EB79="", "", TRUE, 'Monthly Update'!EB79)</f>
        <v/>
      </c>
      <c r="AK79" s="221" t="str" cm="1">
        <f t="array" ref="AK79">_xlfn.IFS(LEFT('Monthly Update'!EC79, 3) = "*((", "", 'Monthly Update'!EC79="", "", TRUE, 'Monthly Update'!EC79)</f>
        <v/>
      </c>
      <c r="AL79" s="221" t="str" cm="1">
        <f t="array" ref="AL79">_xlfn.IFS(LEFT('Monthly Update'!ED79, 3) = "*((", "", 'Monthly Update'!ED79="", "", TRUE, 'Monthly Update'!ED79)</f>
        <v/>
      </c>
      <c r="AM79" s="221" t="str" cm="1">
        <f t="array" ref="AM79">_xlfn.IFS(LEFT('Monthly Update'!EE79, 3) = "*((", "", 'Monthly Update'!EE79="", "", TRUE, 'Monthly Update'!EE79)</f>
        <v/>
      </c>
      <c r="AN79" s="221" t="str" cm="1">
        <f t="array" ref="AN79">_xlfn.IFS(LEFT('Monthly Update'!EF79, 3) = "*((", "", 'Monthly Update'!EF79="", "", TRUE, 'Monthly Update'!EF79)</f>
        <v/>
      </c>
      <c r="AO79" s="221" t="str" cm="1">
        <f t="array" ref="AO79">_xlfn.IFS(LEFT('Monthly Update'!EG79, 3) = "*((", "", 'Monthly Update'!EG79="", "", TRUE, 'Monthly Update'!EG79)</f>
        <v/>
      </c>
      <c r="AP79" s="221" t="str" cm="1">
        <f t="array" ref="AP79">_xlfn.IFS(LEFT('Monthly Update'!EH79, 3) = "*((", "", 'Monthly Update'!EH79="", "", TRUE, 'Monthly Update'!EH79)</f>
        <v/>
      </c>
      <c r="AQ79" s="221" t="str" cm="1">
        <f t="array" ref="AQ79">_xlfn.IFS(LEFT('Monthly Update'!EI79, 3) = "*((", "", 'Monthly Update'!EI79="", "", TRUE, 'Monthly Update'!EI79)</f>
        <v/>
      </c>
      <c r="AR79" s="221" t="str" cm="1">
        <f t="array" ref="AR79">_xlfn.IFS(LEFT('Monthly Update'!EJ79, 3) = "*((", "", 'Monthly Update'!EJ79="", "", TRUE, 'Monthly Update'!EJ79)</f>
        <v/>
      </c>
      <c r="AS79" s="221" t="str" cm="1">
        <f t="array" ref="AS79">_xlfn.IFS(LEFT('Monthly Update'!EK79, 3) = "*((", "", 'Monthly Update'!EK79="", "", TRUE, 'Monthly Update'!EK79)</f>
        <v/>
      </c>
      <c r="AT79" s="221" t="str" cm="1">
        <f t="array" ref="AT79">_xlfn.IFS(LEFT('Monthly Update'!EL79, 3) = "*((", "", 'Monthly Update'!EL79="", "", TRUE, 'Monthly Update'!EL79)</f>
        <v/>
      </c>
      <c r="AU79" s="221" t="str" cm="1">
        <f t="array" ref="AU79">_xlfn.IFS(LEFT('Monthly Update'!EM79, 3) = "*((", "", 'Monthly Update'!EM79="", "", TRUE, 'Monthly Update'!EM79)</f>
        <v/>
      </c>
      <c r="AV79" s="221" t="str" cm="1">
        <f t="array" ref="AV79">_xlfn.IFS(LEFT('Monthly Update'!EN79, 3) = "*((", "", 'Monthly Update'!EN79="", "", TRUE, 'Monthly Update'!EN79)</f>
        <v/>
      </c>
      <c r="AW79" s="221" t="str" cm="1">
        <f t="array" ref="AW79">_xlfn.IFS(LEFT('Monthly Update'!EO79, 3) = "*((", "", 'Monthly Update'!EO79="", "", TRUE, 'Monthly Update'!EO79)</f>
        <v/>
      </c>
      <c r="NU79" s="252"/>
      <c r="NV79" s="252"/>
      <c r="NW79" s="252"/>
      <c r="NX79" s="252"/>
      <c r="NY79" s="252"/>
      <c r="NZ79" s="252"/>
      <c r="OA79" s="252"/>
      <c r="OB79" s="252"/>
      <c r="OC79" s="252"/>
      <c r="OD79" s="252"/>
      <c r="OE79" s="252"/>
      <c r="OF79" s="252"/>
      <c r="OG79" s="252"/>
      <c r="OH79" s="252"/>
      <c r="OI79" s="252"/>
      <c r="OJ79" s="252"/>
      <c r="OK79" s="252"/>
      <c r="OL79" s="252"/>
      <c r="OM79" s="252"/>
      <c r="ON79" s="252"/>
      <c r="OO79" s="252"/>
      <c r="OP79" s="252"/>
      <c r="OQ79" s="252"/>
      <c r="OR79" s="252"/>
      <c r="OS79" s="252"/>
      <c r="OT79" s="252"/>
      <c r="OU79" s="252"/>
      <c r="OV79" s="252"/>
      <c r="OW79" s="252"/>
      <c r="OX79" s="252"/>
      <c r="OY79" s="252"/>
      <c r="OZ79" s="252"/>
      <c r="PA79" s="252"/>
      <c r="PB79" s="252"/>
      <c r="PC79" s="252"/>
      <c r="PD79" s="252"/>
      <c r="PE79" s="252"/>
      <c r="PF79" s="252"/>
      <c r="PG79" s="252"/>
      <c r="PH79" s="252"/>
      <c r="PI79" s="252"/>
      <c r="PJ79" s="252"/>
      <c r="PK79" s="252"/>
      <c r="PL79" s="252"/>
      <c r="PM79" s="252"/>
      <c r="PN79" s="252"/>
      <c r="PO79" s="252"/>
      <c r="PP79" s="252"/>
      <c r="PQ79" s="252"/>
      <c r="PR79" s="252"/>
      <c r="PS79" s="252"/>
      <c r="PT79" s="252"/>
      <c r="PU79" s="252"/>
      <c r="PV79" s="252"/>
      <c r="PW79" s="252"/>
      <c r="PX79" s="252"/>
      <c r="PY79" s="252"/>
      <c r="PZ79" s="252"/>
      <c r="QA79" s="252"/>
      <c r="QB79" s="252"/>
      <c r="QC79" s="252"/>
      <c r="QD79" s="252"/>
      <c r="QE79" s="252"/>
      <c r="QF79" s="252"/>
      <c r="QG79" s="252"/>
      <c r="QH79" s="252"/>
      <c r="QI79" s="252"/>
      <c r="QJ79" s="252"/>
      <c r="QK79" s="252"/>
      <c r="QL79" s="252"/>
      <c r="QM79" s="252"/>
      <c r="QN79" s="252"/>
      <c r="QO79" s="252"/>
      <c r="QP79" s="252"/>
      <c r="QQ79" s="252"/>
      <c r="QR79" s="252"/>
      <c r="QS79" s="252"/>
      <c r="QT79" s="252"/>
      <c r="QU79" s="252"/>
      <c r="QV79" s="252"/>
      <c r="QW79" s="252"/>
      <c r="QX79" s="252"/>
      <c r="QY79" s="252"/>
      <c r="QZ79" s="252"/>
      <c r="RA79" s="252"/>
      <c r="RB79" s="252"/>
      <c r="RC79" s="252"/>
      <c r="RD79" s="252"/>
      <c r="RE79" s="252"/>
      <c r="RF79" s="252"/>
      <c r="RG79" s="252"/>
      <c r="RH79" s="252"/>
      <c r="RI79" s="252"/>
      <c r="RJ79" s="252"/>
      <c r="RK79" s="252"/>
      <c r="RL79" s="252"/>
      <c r="RM79" s="252"/>
      <c r="RN79" s="252"/>
      <c r="RO79" s="252"/>
      <c r="RP79" s="252"/>
      <c r="RQ79" s="252"/>
      <c r="RR79" s="252"/>
      <c r="RS79" s="252"/>
      <c r="RT79" s="252"/>
      <c r="RU79" s="252"/>
      <c r="RV79" s="252"/>
      <c r="RW79" s="252"/>
      <c r="RX79" s="252"/>
      <c r="RY79" s="252"/>
      <c r="RZ79" s="252"/>
      <c r="SA79" s="252"/>
      <c r="SB79" s="252"/>
      <c r="SC79" s="252"/>
      <c r="SD79" s="252"/>
      <c r="SE79" s="252"/>
      <c r="SF79" s="252"/>
      <c r="SG79" s="252"/>
      <c r="SH79" s="252"/>
      <c r="SI79" s="252"/>
      <c r="SJ79" s="252"/>
      <c r="SK79" s="252"/>
      <c r="SL79" s="252"/>
      <c r="SM79" s="252"/>
      <c r="SN79" s="252"/>
    </row>
    <row r="80" spans="1:508" s="243" customFormat="1" ht="15.6" customHeight="1" x14ac:dyDescent="0.55000000000000004">
      <c r="A80" s="220" t="str" cm="1">
        <f t="array" ref="A80">_xlfn.IFS(LEFT('Monthly Update'!A80, 3) = "*((", "", 'Monthly Update'!A80="", "", TRUE, 'Monthly Update'!A80)</f>
        <v/>
      </c>
      <c r="B80" s="220" t="str" cm="1">
        <f t="array" ref="B80">_xlfn.IFS(LEFT('Monthly Update'!B80, 3) = "*((", "", 'Monthly Update'!B80="", "", TRUE, 'Monthly Update'!B80)</f>
        <v/>
      </c>
      <c r="C80" s="221" t="str" cm="1">
        <f t="array" ref="C80">_xlfn.IFS(LEFT('Monthly Update'!CU80, 3) = "*((", "", 'Monthly Update'!CU80="", "", TRUE, 'Monthly Update'!CU80)</f>
        <v/>
      </c>
      <c r="D80" s="221" t="str" cm="1">
        <f t="array" ref="D80">_xlfn.IFS(LEFT('Monthly Update'!CV80, 3) = "*((", "", 'Monthly Update'!CV80="", "", TRUE, 'Monthly Update'!CV80)</f>
        <v/>
      </c>
      <c r="E80" s="221" t="str" cm="1">
        <f t="array" ref="E80">_xlfn.IFS(LEFT('Monthly Update'!CW80, 3) = "*((", "", 'Monthly Update'!CW80="", "", TRUE, 'Monthly Update'!CW80)</f>
        <v/>
      </c>
      <c r="F80" s="221" t="str" cm="1">
        <f t="array" ref="F80">_xlfn.IFS(LEFT('Monthly Update'!CX80, 3) = "*((", "", 'Monthly Update'!CX80="", "", TRUE, 'Monthly Update'!CX80)</f>
        <v/>
      </c>
      <c r="G80" s="221" t="str" cm="1">
        <f t="array" ref="G80">_xlfn.IFS(LEFT('Monthly Update'!CY80, 3) = "*((", "", 'Monthly Update'!CY80="", "", TRUE, 'Monthly Update'!CY80)</f>
        <v/>
      </c>
      <c r="H80" s="221" t="str" cm="1">
        <f t="array" ref="H80">_xlfn.IFS(LEFT('Monthly Update'!CZ80, 3) = "*((", "", 'Monthly Update'!CZ80="", "", TRUE, 'Monthly Update'!CZ80)</f>
        <v/>
      </c>
      <c r="I80" s="221" t="str" cm="1">
        <f t="array" ref="I80">_xlfn.IFS(LEFT('Monthly Update'!DA80, 3) = "*((", "", 'Monthly Update'!DA80="", "", TRUE, 'Monthly Update'!DA80)</f>
        <v/>
      </c>
      <c r="J80" s="221" t="str" cm="1">
        <f t="array" ref="J80">_xlfn.IFS(LEFT('Monthly Update'!DB80, 3) = "*((", "", 'Monthly Update'!DB80="", "", TRUE, 'Monthly Update'!DB80)</f>
        <v/>
      </c>
      <c r="K80" s="221" t="str" cm="1">
        <f t="array" ref="K80">_xlfn.IFS(LEFT('Monthly Update'!DC80, 3) = "*((", "", 'Monthly Update'!DC80="", "", TRUE, 'Monthly Update'!DC80)</f>
        <v/>
      </c>
      <c r="L80" s="221" t="str" cm="1">
        <f t="array" ref="L80">_xlfn.IFS(LEFT('Monthly Update'!DD80, 3) = "*((", "", 'Monthly Update'!DD80="", "", TRUE, 'Monthly Update'!DD80)</f>
        <v/>
      </c>
      <c r="M80" s="221" t="str" cm="1">
        <f t="array" ref="M80">_xlfn.IFS(LEFT('Monthly Update'!DE80, 3) = "*((", "", 'Monthly Update'!DE80="", "", TRUE, 'Monthly Update'!DE80)</f>
        <v/>
      </c>
      <c r="N80" s="221" t="str" cm="1">
        <f t="array" ref="N80">_xlfn.IFS(LEFT('Monthly Update'!DF80, 3) = "*((", "", 'Monthly Update'!DF80="", "", TRUE, 'Monthly Update'!DF80)</f>
        <v/>
      </c>
      <c r="O80" s="221" t="str" cm="1">
        <f t="array" ref="O80">_xlfn.IFS(LEFT('Monthly Update'!DG80, 3) = "*((", "", 'Monthly Update'!DG80="", "", TRUE, 'Monthly Update'!DG80)</f>
        <v/>
      </c>
      <c r="P80" s="221" t="str" cm="1">
        <f t="array" ref="P80">_xlfn.IFS(LEFT('Monthly Update'!DH80, 3) = "*((", "", 'Monthly Update'!DH80="", "", TRUE, 'Monthly Update'!DH80)</f>
        <v/>
      </c>
      <c r="Q80" s="221" t="str" cm="1">
        <f t="array" ref="Q80">_xlfn.IFS(LEFT('Monthly Update'!DI80, 3) = "*((", "", 'Monthly Update'!DI80="", "", TRUE, 'Monthly Update'!DI80)</f>
        <v/>
      </c>
      <c r="R80" s="221" t="str" cm="1">
        <f t="array" ref="R80">_xlfn.IFS(LEFT('Monthly Update'!DJ80, 3) = "*((", "", 'Monthly Update'!DJ80="", "", TRUE, 'Monthly Update'!DJ80)</f>
        <v/>
      </c>
      <c r="S80" s="221" t="str" cm="1">
        <f t="array" ref="S80">_xlfn.IFS(LEFT('Monthly Update'!DK80, 3) = "*((", "", 'Monthly Update'!DK80="", "", TRUE, 'Monthly Update'!DK80)</f>
        <v/>
      </c>
      <c r="T80" s="221" t="str" cm="1">
        <f t="array" ref="T80">_xlfn.IFS(LEFT('Monthly Update'!DL80, 3) = "*((", "", 'Monthly Update'!DL80="", "", TRUE, 'Monthly Update'!DL80)</f>
        <v/>
      </c>
      <c r="U80" s="221" t="str" cm="1">
        <f t="array" ref="U80">_xlfn.IFS(LEFT('Monthly Update'!DM80, 3) = "*((", "", 'Monthly Update'!DM80="", "", TRUE, 'Monthly Update'!DM80)</f>
        <v/>
      </c>
      <c r="V80" s="221" t="str" cm="1">
        <f t="array" ref="V80">_xlfn.IFS(LEFT('Monthly Update'!DN80, 3) = "*((", "", 'Monthly Update'!DN80="", "", TRUE, 'Monthly Update'!DN80)</f>
        <v/>
      </c>
      <c r="W80" s="221" t="str" cm="1">
        <f t="array" ref="W80">_xlfn.IFS(LEFT('Monthly Update'!DO80, 3) = "*((", "", 'Monthly Update'!DO80="", "", TRUE, 'Monthly Update'!DO80)</f>
        <v/>
      </c>
      <c r="X80" s="221" t="str" cm="1">
        <f t="array" ref="X80">_xlfn.IFS(LEFT('Monthly Update'!DP80, 3) = "*((", "", 'Monthly Update'!DP80="", "", TRUE, 'Monthly Update'!DP80)</f>
        <v/>
      </c>
      <c r="Y80" s="221" t="str" cm="1">
        <f t="array" ref="Y80">_xlfn.IFS(LEFT('Monthly Update'!DQ80, 3) = "*((", "", 'Monthly Update'!DQ80="", "", TRUE, 'Monthly Update'!DQ80)</f>
        <v/>
      </c>
      <c r="Z80" s="221" t="str" cm="1">
        <f t="array" ref="Z80">_xlfn.IFS(LEFT('Monthly Update'!DR80, 3) = "*((", "", 'Monthly Update'!DR80="", "", TRUE, 'Monthly Update'!DR80)</f>
        <v/>
      </c>
      <c r="AA80" s="221" t="str" cm="1">
        <f t="array" ref="AA80">_xlfn.IFS(LEFT('Monthly Update'!DS80, 3) = "*((", "", 'Monthly Update'!DS80="", "", TRUE, 'Monthly Update'!DS80)</f>
        <v/>
      </c>
      <c r="AB80" s="221" t="str" cm="1">
        <f t="array" ref="AB80">_xlfn.IFS(LEFT('Monthly Update'!DT80, 3) = "*((", "", 'Monthly Update'!DT80="", "", TRUE, 'Monthly Update'!DT80)</f>
        <v/>
      </c>
      <c r="AC80" s="221" t="str" cm="1">
        <f t="array" ref="AC80">_xlfn.IFS(LEFT('Monthly Update'!DU80, 3) = "*((", "", 'Monthly Update'!DU80="", "", TRUE, 'Monthly Update'!DU80)</f>
        <v/>
      </c>
      <c r="AD80" s="221" t="str" cm="1">
        <f t="array" ref="AD80">_xlfn.IFS(LEFT('Monthly Update'!DV80, 3) = "*((", "", 'Monthly Update'!DV80="", "", TRUE, 'Monthly Update'!DV80)</f>
        <v/>
      </c>
      <c r="AE80" s="221" t="str" cm="1">
        <f t="array" ref="AE80">_xlfn.IFS(LEFT('Monthly Update'!DW80, 3) = "*((", "", 'Monthly Update'!DW80="", "", TRUE, 'Monthly Update'!DW80)</f>
        <v/>
      </c>
      <c r="AF80" s="221" t="str" cm="1">
        <f t="array" ref="AF80">_xlfn.IFS(LEFT('Monthly Update'!DX80, 3) = "*((", "", 'Monthly Update'!DX80="", "", TRUE, 'Monthly Update'!DX80)</f>
        <v/>
      </c>
      <c r="AG80" s="221" t="str" cm="1">
        <f t="array" ref="AG80">_xlfn.IFS(LEFT('Monthly Update'!DY80, 3) = "*((", "", 'Monthly Update'!DY80="", "", TRUE, 'Monthly Update'!DY80)</f>
        <v/>
      </c>
      <c r="AH80" s="221" t="str" cm="1">
        <f t="array" ref="AH80">_xlfn.IFS(LEFT('Monthly Update'!DZ80, 3) = "*((", "", 'Monthly Update'!DZ80="", "", TRUE, 'Monthly Update'!DZ80)</f>
        <v/>
      </c>
      <c r="AI80" s="221" t="str" cm="1">
        <f t="array" ref="AI80">_xlfn.IFS(LEFT('Monthly Update'!EA80, 3) = "*((", "", 'Monthly Update'!EA80="", "", TRUE, 'Monthly Update'!EA80)</f>
        <v/>
      </c>
      <c r="AJ80" s="221" t="str" cm="1">
        <f t="array" ref="AJ80">_xlfn.IFS(LEFT('Monthly Update'!EB80, 3) = "*((", "", 'Monthly Update'!EB80="", "", TRUE, 'Monthly Update'!EB80)</f>
        <v/>
      </c>
      <c r="AK80" s="221" t="str" cm="1">
        <f t="array" ref="AK80">_xlfn.IFS(LEFT('Monthly Update'!EC80, 3) = "*((", "", 'Monthly Update'!EC80="", "", TRUE, 'Monthly Update'!EC80)</f>
        <v/>
      </c>
      <c r="AL80" s="221" t="str" cm="1">
        <f t="array" ref="AL80">_xlfn.IFS(LEFT('Monthly Update'!ED80, 3) = "*((", "", 'Monthly Update'!ED80="", "", TRUE, 'Monthly Update'!ED80)</f>
        <v/>
      </c>
      <c r="AM80" s="221" t="str" cm="1">
        <f t="array" ref="AM80">_xlfn.IFS(LEFT('Monthly Update'!EE80, 3) = "*((", "", 'Monthly Update'!EE80="", "", TRUE, 'Monthly Update'!EE80)</f>
        <v/>
      </c>
      <c r="AN80" s="221" t="str" cm="1">
        <f t="array" ref="AN80">_xlfn.IFS(LEFT('Monthly Update'!EF80, 3) = "*((", "", 'Monthly Update'!EF80="", "", TRUE, 'Monthly Update'!EF80)</f>
        <v/>
      </c>
      <c r="AO80" s="221" t="str" cm="1">
        <f t="array" ref="AO80">_xlfn.IFS(LEFT('Monthly Update'!EG80, 3) = "*((", "", 'Monthly Update'!EG80="", "", TRUE, 'Monthly Update'!EG80)</f>
        <v/>
      </c>
      <c r="AP80" s="221" t="str" cm="1">
        <f t="array" ref="AP80">_xlfn.IFS(LEFT('Monthly Update'!EH80, 3) = "*((", "", 'Monthly Update'!EH80="", "", TRUE, 'Monthly Update'!EH80)</f>
        <v/>
      </c>
      <c r="AQ80" s="221" t="str" cm="1">
        <f t="array" ref="AQ80">_xlfn.IFS(LEFT('Monthly Update'!EI80, 3) = "*((", "", 'Monthly Update'!EI80="", "", TRUE, 'Monthly Update'!EI80)</f>
        <v/>
      </c>
      <c r="AR80" s="221" t="str" cm="1">
        <f t="array" ref="AR80">_xlfn.IFS(LEFT('Monthly Update'!EJ80, 3) = "*((", "", 'Monthly Update'!EJ80="", "", TRUE, 'Monthly Update'!EJ80)</f>
        <v/>
      </c>
      <c r="AS80" s="221" t="str" cm="1">
        <f t="array" ref="AS80">_xlfn.IFS(LEFT('Monthly Update'!EK80, 3) = "*((", "", 'Monthly Update'!EK80="", "", TRUE, 'Monthly Update'!EK80)</f>
        <v/>
      </c>
      <c r="AT80" s="221" t="str" cm="1">
        <f t="array" ref="AT80">_xlfn.IFS(LEFT('Monthly Update'!EL80, 3) = "*((", "", 'Monthly Update'!EL80="", "", TRUE, 'Monthly Update'!EL80)</f>
        <v/>
      </c>
      <c r="AU80" s="221" t="str" cm="1">
        <f t="array" ref="AU80">_xlfn.IFS(LEFT('Monthly Update'!EM80, 3) = "*((", "", 'Monthly Update'!EM80="", "", TRUE, 'Monthly Update'!EM80)</f>
        <v/>
      </c>
      <c r="AV80" s="221" t="str" cm="1">
        <f t="array" ref="AV80">_xlfn.IFS(LEFT('Monthly Update'!EN80, 3) = "*((", "", 'Monthly Update'!EN80="", "", TRUE, 'Monthly Update'!EN80)</f>
        <v/>
      </c>
      <c r="AW80" s="221" t="str" cm="1">
        <f t="array" ref="AW80">_xlfn.IFS(LEFT('Monthly Update'!EO80, 3) = "*((", "", 'Monthly Update'!EO80="", "", TRUE, 'Monthly Update'!EO80)</f>
        <v/>
      </c>
      <c r="NU80" s="252"/>
      <c r="NV80" s="252"/>
      <c r="NW80" s="252"/>
      <c r="NX80" s="252"/>
      <c r="NY80" s="252"/>
      <c r="NZ80" s="252"/>
      <c r="OA80" s="252"/>
      <c r="OB80" s="252"/>
      <c r="OC80" s="252"/>
      <c r="OD80" s="252"/>
      <c r="OE80" s="252"/>
      <c r="OF80" s="252"/>
      <c r="OG80" s="252"/>
      <c r="OH80" s="252"/>
      <c r="OI80" s="252"/>
      <c r="OJ80" s="252"/>
      <c r="OK80" s="252"/>
      <c r="OL80" s="252"/>
      <c r="OM80" s="252"/>
      <c r="ON80" s="252"/>
      <c r="OO80" s="252"/>
      <c r="OP80" s="252"/>
      <c r="OQ80" s="252"/>
      <c r="OR80" s="252"/>
      <c r="OS80" s="252"/>
      <c r="OT80" s="252"/>
      <c r="OU80" s="252"/>
      <c r="OV80" s="252"/>
      <c r="OW80" s="252"/>
      <c r="OX80" s="252"/>
      <c r="OY80" s="252"/>
      <c r="OZ80" s="252"/>
      <c r="PA80" s="252"/>
      <c r="PB80" s="252"/>
      <c r="PC80" s="252"/>
      <c r="PD80" s="252"/>
      <c r="PE80" s="252"/>
      <c r="PF80" s="252"/>
      <c r="PG80" s="252"/>
      <c r="PH80" s="252"/>
      <c r="PI80" s="252"/>
      <c r="PJ80" s="252"/>
      <c r="PK80" s="252"/>
      <c r="PL80" s="252"/>
      <c r="PM80" s="252"/>
      <c r="PN80" s="252"/>
      <c r="PO80" s="252"/>
      <c r="PP80" s="252"/>
      <c r="PQ80" s="252"/>
      <c r="PR80" s="252"/>
      <c r="PS80" s="252"/>
      <c r="PT80" s="252"/>
      <c r="PU80" s="252"/>
      <c r="PV80" s="252"/>
      <c r="PW80" s="252"/>
      <c r="PX80" s="252"/>
      <c r="PY80" s="252"/>
      <c r="PZ80" s="252"/>
      <c r="QA80" s="252"/>
      <c r="QB80" s="252"/>
      <c r="QC80" s="252"/>
      <c r="QD80" s="252"/>
      <c r="QE80" s="252"/>
      <c r="QF80" s="252"/>
      <c r="QG80" s="252"/>
      <c r="QH80" s="252"/>
      <c r="QI80" s="252"/>
      <c r="QJ80" s="252"/>
      <c r="QK80" s="252"/>
      <c r="QL80" s="252"/>
      <c r="QM80" s="252"/>
      <c r="QN80" s="252"/>
      <c r="QO80" s="252"/>
      <c r="QP80" s="252"/>
      <c r="QQ80" s="252"/>
      <c r="QR80" s="252"/>
      <c r="QS80" s="252"/>
      <c r="QT80" s="252"/>
      <c r="QU80" s="252"/>
      <c r="QV80" s="252"/>
      <c r="QW80" s="252"/>
      <c r="QX80" s="252"/>
      <c r="QY80" s="252"/>
      <c r="QZ80" s="252"/>
      <c r="RA80" s="252"/>
      <c r="RB80" s="252"/>
      <c r="RC80" s="252"/>
      <c r="RD80" s="252"/>
      <c r="RE80" s="252"/>
      <c r="RF80" s="252"/>
      <c r="RG80" s="252"/>
      <c r="RH80" s="252"/>
      <c r="RI80" s="252"/>
      <c r="RJ80" s="252"/>
      <c r="RK80" s="252"/>
      <c r="RL80" s="252"/>
      <c r="RM80" s="252"/>
      <c r="RN80" s="252"/>
      <c r="RO80" s="252"/>
      <c r="RP80" s="252"/>
      <c r="RQ80" s="252"/>
      <c r="RR80" s="252"/>
      <c r="RS80" s="252"/>
      <c r="RT80" s="252"/>
      <c r="RU80" s="252"/>
      <c r="RV80" s="252"/>
      <c r="RW80" s="252"/>
      <c r="RX80" s="252"/>
      <c r="RY80" s="252"/>
      <c r="RZ80" s="252"/>
      <c r="SA80" s="252"/>
      <c r="SB80" s="252"/>
      <c r="SC80" s="252"/>
      <c r="SD80" s="252"/>
      <c r="SE80" s="252"/>
      <c r="SF80" s="252"/>
      <c r="SG80" s="252"/>
      <c r="SH80" s="252"/>
      <c r="SI80" s="252"/>
      <c r="SJ80" s="252"/>
      <c r="SK80" s="252"/>
      <c r="SL80" s="252"/>
      <c r="SM80" s="252"/>
      <c r="SN80" s="252"/>
    </row>
    <row r="81" spans="1:508" s="243" customFormat="1" ht="15.6" customHeight="1" x14ac:dyDescent="0.55000000000000004">
      <c r="A81" s="220" t="str" cm="1">
        <f t="array" ref="A81">_xlfn.IFS(LEFT('Monthly Update'!A81, 3) = "*((", "", 'Monthly Update'!A81="", "", TRUE, 'Monthly Update'!A81)</f>
        <v/>
      </c>
      <c r="B81" s="220" t="str" cm="1">
        <f t="array" ref="B81">_xlfn.IFS(LEFT('Monthly Update'!B81, 3) = "*((", "", 'Monthly Update'!B81="", "", TRUE, 'Monthly Update'!B81)</f>
        <v/>
      </c>
      <c r="C81" s="221" t="str" cm="1">
        <f t="array" ref="C81">_xlfn.IFS(LEFT('Monthly Update'!CU81, 3) = "*((", "", 'Monthly Update'!CU81="", "", TRUE, 'Monthly Update'!CU81)</f>
        <v/>
      </c>
      <c r="D81" s="221" t="str" cm="1">
        <f t="array" ref="D81">_xlfn.IFS(LEFT('Monthly Update'!CV81, 3) = "*((", "", 'Monthly Update'!CV81="", "", TRUE, 'Monthly Update'!CV81)</f>
        <v/>
      </c>
      <c r="E81" s="221" t="str" cm="1">
        <f t="array" ref="E81">_xlfn.IFS(LEFT('Monthly Update'!CW81, 3) = "*((", "", 'Monthly Update'!CW81="", "", TRUE, 'Monthly Update'!CW81)</f>
        <v/>
      </c>
      <c r="F81" s="221" t="str" cm="1">
        <f t="array" ref="F81">_xlfn.IFS(LEFT('Monthly Update'!CX81, 3) = "*((", "", 'Monthly Update'!CX81="", "", TRUE, 'Monthly Update'!CX81)</f>
        <v/>
      </c>
      <c r="G81" s="221" t="str" cm="1">
        <f t="array" ref="G81">_xlfn.IFS(LEFT('Monthly Update'!CY81, 3) = "*((", "", 'Monthly Update'!CY81="", "", TRUE, 'Monthly Update'!CY81)</f>
        <v/>
      </c>
      <c r="H81" s="221" t="str" cm="1">
        <f t="array" ref="H81">_xlfn.IFS(LEFT('Monthly Update'!CZ81, 3) = "*((", "", 'Monthly Update'!CZ81="", "", TRUE, 'Monthly Update'!CZ81)</f>
        <v/>
      </c>
      <c r="I81" s="221" t="str" cm="1">
        <f t="array" ref="I81">_xlfn.IFS(LEFT('Monthly Update'!DA81, 3) = "*((", "", 'Monthly Update'!DA81="", "", TRUE, 'Monthly Update'!DA81)</f>
        <v/>
      </c>
      <c r="J81" s="221" t="str" cm="1">
        <f t="array" ref="J81">_xlfn.IFS(LEFT('Monthly Update'!DB81, 3) = "*((", "", 'Monthly Update'!DB81="", "", TRUE, 'Monthly Update'!DB81)</f>
        <v/>
      </c>
      <c r="K81" s="221" t="str" cm="1">
        <f t="array" ref="K81">_xlfn.IFS(LEFT('Monthly Update'!DC81, 3) = "*((", "", 'Monthly Update'!DC81="", "", TRUE, 'Monthly Update'!DC81)</f>
        <v/>
      </c>
      <c r="L81" s="221" t="str" cm="1">
        <f t="array" ref="L81">_xlfn.IFS(LEFT('Monthly Update'!DD81, 3) = "*((", "", 'Monthly Update'!DD81="", "", TRUE, 'Monthly Update'!DD81)</f>
        <v/>
      </c>
      <c r="M81" s="221" t="str" cm="1">
        <f t="array" ref="M81">_xlfn.IFS(LEFT('Monthly Update'!DE81, 3) = "*((", "", 'Monthly Update'!DE81="", "", TRUE, 'Monthly Update'!DE81)</f>
        <v/>
      </c>
      <c r="N81" s="221" t="str" cm="1">
        <f t="array" ref="N81">_xlfn.IFS(LEFT('Monthly Update'!DF81, 3) = "*((", "", 'Monthly Update'!DF81="", "", TRUE, 'Monthly Update'!DF81)</f>
        <v/>
      </c>
      <c r="O81" s="221" t="str" cm="1">
        <f t="array" ref="O81">_xlfn.IFS(LEFT('Monthly Update'!DG81, 3) = "*((", "", 'Monthly Update'!DG81="", "", TRUE, 'Monthly Update'!DG81)</f>
        <v/>
      </c>
      <c r="P81" s="221" t="str" cm="1">
        <f t="array" ref="P81">_xlfn.IFS(LEFT('Monthly Update'!DH81, 3) = "*((", "", 'Monthly Update'!DH81="", "", TRUE, 'Monthly Update'!DH81)</f>
        <v/>
      </c>
      <c r="Q81" s="221" t="str" cm="1">
        <f t="array" ref="Q81">_xlfn.IFS(LEFT('Monthly Update'!DI81, 3) = "*((", "", 'Monthly Update'!DI81="", "", TRUE, 'Monthly Update'!DI81)</f>
        <v/>
      </c>
      <c r="R81" s="221" t="str" cm="1">
        <f t="array" ref="R81">_xlfn.IFS(LEFT('Monthly Update'!DJ81, 3) = "*((", "", 'Monthly Update'!DJ81="", "", TRUE, 'Monthly Update'!DJ81)</f>
        <v/>
      </c>
      <c r="S81" s="221" t="str" cm="1">
        <f t="array" ref="S81">_xlfn.IFS(LEFT('Monthly Update'!DK81, 3) = "*((", "", 'Monthly Update'!DK81="", "", TRUE, 'Monthly Update'!DK81)</f>
        <v/>
      </c>
      <c r="T81" s="221" t="str" cm="1">
        <f t="array" ref="T81">_xlfn.IFS(LEFT('Monthly Update'!DL81, 3) = "*((", "", 'Monthly Update'!DL81="", "", TRUE, 'Monthly Update'!DL81)</f>
        <v/>
      </c>
      <c r="U81" s="221" t="str" cm="1">
        <f t="array" ref="U81">_xlfn.IFS(LEFT('Monthly Update'!DM81, 3) = "*((", "", 'Monthly Update'!DM81="", "", TRUE, 'Monthly Update'!DM81)</f>
        <v/>
      </c>
      <c r="V81" s="221" t="str" cm="1">
        <f t="array" ref="V81">_xlfn.IFS(LEFT('Monthly Update'!DN81, 3) = "*((", "", 'Monthly Update'!DN81="", "", TRUE, 'Monthly Update'!DN81)</f>
        <v/>
      </c>
      <c r="W81" s="221" t="str" cm="1">
        <f t="array" ref="W81">_xlfn.IFS(LEFT('Monthly Update'!DO81, 3) = "*((", "", 'Monthly Update'!DO81="", "", TRUE, 'Monthly Update'!DO81)</f>
        <v/>
      </c>
      <c r="X81" s="221" t="str" cm="1">
        <f t="array" ref="X81">_xlfn.IFS(LEFT('Monthly Update'!DP81, 3) = "*((", "", 'Monthly Update'!DP81="", "", TRUE, 'Monthly Update'!DP81)</f>
        <v/>
      </c>
      <c r="Y81" s="221" t="str" cm="1">
        <f t="array" ref="Y81">_xlfn.IFS(LEFT('Monthly Update'!DQ81, 3) = "*((", "", 'Monthly Update'!DQ81="", "", TRUE, 'Monthly Update'!DQ81)</f>
        <v/>
      </c>
      <c r="Z81" s="221" t="str" cm="1">
        <f t="array" ref="Z81">_xlfn.IFS(LEFT('Monthly Update'!DR81, 3) = "*((", "", 'Monthly Update'!DR81="", "", TRUE, 'Monthly Update'!DR81)</f>
        <v/>
      </c>
      <c r="AA81" s="221" t="str" cm="1">
        <f t="array" ref="AA81">_xlfn.IFS(LEFT('Monthly Update'!DS81, 3) = "*((", "", 'Monthly Update'!DS81="", "", TRUE, 'Monthly Update'!DS81)</f>
        <v/>
      </c>
      <c r="AB81" s="221" t="str" cm="1">
        <f t="array" ref="AB81">_xlfn.IFS(LEFT('Monthly Update'!DT81, 3) = "*((", "", 'Monthly Update'!DT81="", "", TRUE, 'Monthly Update'!DT81)</f>
        <v/>
      </c>
      <c r="AC81" s="221" t="str" cm="1">
        <f t="array" ref="AC81">_xlfn.IFS(LEFT('Monthly Update'!DU81, 3) = "*((", "", 'Monthly Update'!DU81="", "", TRUE, 'Monthly Update'!DU81)</f>
        <v/>
      </c>
      <c r="AD81" s="221" t="str" cm="1">
        <f t="array" ref="AD81">_xlfn.IFS(LEFT('Monthly Update'!DV81, 3) = "*((", "", 'Monthly Update'!DV81="", "", TRUE, 'Monthly Update'!DV81)</f>
        <v/>
      </c>
      <c r="AE81" s="221" t="str" cm="1">
        <f t="array" ref="AE81">_xlfn.IFS(LEFT('Monthly Update'!DW81, 3) = "*((", "", 'Monthly Update'!DW81="", "", TRUE, 'Monthly Update'!DW81)</f>
        <v/>
      </c>
      <c r="AF81" s="221" t="str" cm="1">
        <f t="array" ref="AF81">_xlfn.IFS(LEFT('Monthly Update'!DX81, 3) = "*((", "", 'Monthly Update'!DX81="", "", TRUE, 'Monthly Update'!DX81)</f>
        <v/>
      </c>
      <c r="AG81" s="221" t="str" cm="1">
        <f t="array" ref="AG81">_xlfn.IFS(LEFT('Monthly Update'!DY81, 3) = "*((", "", 'Monthly Update'!DY81="", "", TRUE, 'Monthly Update'!DY81)</f>
        <v/>
      </c>
      <c r="AH81" s="221" t="str" cm="1">
        <f t="array" ref="AH81">_xlfn.IFS(LEFT('Monthly Update'!DZ81, 3) = "*((", "", 'Monthly Update'!DZ81="", "", TRUE, 'Monthly Update'!DZ81)</f>
        <v/>
      </c>
      <c r="AI81" s="221" t="str" cm="1">
        <f t="array" ref="AI81">_xlfn.IFS(LEFT('Monthly Update'!EA81, 3) = "*((", "", 'Monthly Update'!EA81="", "", TRUE, 'Monthly Update'!EA81)</f>
        <v/>
      </c>
      <c r="AJ81" s="221" t="str" cm="1">
        <f t="array" ref="AJ81">_xlfn.IFS(LEFT('Monthly Update'!EB81, 3) = "*((", "", 'Monthly Update'!EB81="", "", TRUE, 'Monthly Update'!EB81)</f>
        <v/>
      </c>
      <c r="AK81" s="221" t="str" cm="1">
        <f t="array" ref="AK81">_xlfn.IFS(LEFT('Monthly Update'!EC81, 3) = "*((", "", 'Monthly Update'!EC81="", "", TRUE, 'Monthly Update'!EC81)</f>
        <v/>
      </c>
      <c r="AL81" s="221" t="str" cm="1">
        <f t="array" ref="AL81">_xlfn.IFS(LEFT('Monthly Update'!ED81, 3) = "*((", "", 'Monthly Update'!ED81="", "", TRUE, 'Monthly Update'!ED81)</f>
        <v/>
      </c>
      <c r="AM81" s="221" t="str" cm="1">
        <f t="array" ref="AM81">_xlfn.IFS(LEFT('Monthly Update'!EE81, 3) = "*((", "", 'Monthly Update'!EE81="", "", TRUE, 'Monthly Update'!EE81)</f>
        <v/>
      </c>
      <c r="AN81" s="221" t="str" cm="1">
        <f t="array" ref="AN81">_xlfn.IFS(LEFT('Monthly Update'!EF81, 3) = "*((", "", 'Monthly Update'!EF81="", "", TRUE, 'Monthly Update'!EF81)</f>
        <v/>
      </c>
      <c r="AO81" s="221" t="str" cm="1">
        <f t="array" ref="AO81">_xlfn.IFS(LEFT('Monthly Update'!EG81, 3) = "*((", "", 'Monthly Update'!EG81="", "", TRUE, 'Monthly Update'!EG81)</f>
        <v/>
      </c>
      <c r="AP81" s="221" t="str" cm="1">
        <f t="array" ref="AP81">_xlfn.IFS(LEFT('Monthly Update'!EH81, 3) = "*((", "", 'Monthly Update'!EH81="", "", TRUE, 'Monthly Update'!EH81)</f>
        <v/>
      </c>
      <c r="AQ81" s="221" t="str" cm="1">
        <f t="array" ref="AQ81">_xlfn.IFS(LEFT('Monthly Update'!EI81, 3) = "*((", "", 'Monthly Update'!EI81="", "", TRUE, 'Monthly Update'!EI81)</f>
        <v/>
      </c>
      <c r="AR81" s="221" t="str" cm="1">
        <f t="array" ref="AR81">_xlfn.IFS(LEFT('Monthly Update'!EJ81, 3) = "*((", "", 'Monthly Update'!EJ81="", "", TRUE, 'Monthly Update'!EJ81)</f>
        <v/>
      </c>
      <c r="AS81" s="221" t="str" cm="1">
        <f t="array" ref="AS81">_xlfn.IFS(LEFT('Monthly Update'!EK81, 3) = "*((", "", 'Monthly Update'!EK81="", "", TRUE, 'Monthly Update'!EK81)</f>
        <v/>
      </c>
      <c r="AT81" s="221" t="str" cm="1">
        <f t="array" ref="AT81">_xlfn.IFS(LEFT('Monthly Update'!EL81, 3) = "*((", "", 'Monthly Update'!EL81="", "", TRUE, 'Monthly Update'!EL81)</f>
        <v/>
      </c>
      <c r="AU81" s="221" t="str" cm="1">
        <f t="array" ref="AU81">_xlfn.IFS(LEFT('Monthly Update'!EM81, 3) = "*((", "", 'Monthly Update'!EM81="", "", TRUE, 'Monthly Update'!EM81)</f>
        <v/>
      </c>
      <c r="AV81" s="221" t="str" cm="1">
        <f t="array" ref="AV81">_xlfn.IFS(LEFT('Monthly Update'!EN81, 3) = "*((", "", 'Monthly Update'!EN81="", "", TRUE, 'Monthly Update'!EN81)</f>
        <v/>
      </c>
      <c r="AW81" s="221" t="str" cm="1">
        <f t="array" ref="AW81">_xlfn.IFS(LEFT('Monthly Update'!EO81, 3) = "*((", "", 'Monthly Update'!EO81="", "", TRUE, 'Monthly Update'!EO81)</f>
        <v/>
      </c>
      <c r="NU81" s="252"/>
      <c r="NV81" s="252"/>
      <c r="NW81" s="252"/>
      <c r="NX81" s="252"/>
      <c r="NY81" s="252"/>
      <c r="NZ81" s="252"/>
      <c r="OA81" s="252"/>
      <c r="OB81" s="252"/>
      <c r="OC81" s="252"/>
      <c r="OD81" s="252"/>
      <c r="OE81" s="252"/>
      <c r="OF81" s="252"/>
      <c r="OG81" s="252"/>
      <c r="OH81" s="252"/>
      <c r="OI81" s="252"/>
      <c r="OJ81" s="252"/>
      <c r="OK81" s="252"/>
      <c r="OL81" s="252"/>
      <c r="OM81" s="252"/>
      <c r="ON81" s="252"/>
      <c r="OO81" s="252"/>
      <c r="OP81" s="252"/>
      <c r="OQ81" s="252"/>
      <c r="OR81" s="252"/>
      <c r="OS81" s="252"/>
      <c r="OT81" s="252"/>
      <c r="OU81" s="252"/>
      <c r="OV81" s="252"/>
      <c r="OW81" s="252"/>
      <c r="OX81" s="252"/>
      <c r="OY81" s="252"/>
      <c r="OZ81" s="252"/>
      <c r="PA81" s="252"/>
      <c r="PB81" s="252"/>
      <c r="PC81" s="252"/>
      <c r="PD81" s="252"/>
      <c r="PE81" s="252"/>
      <c r="PF81" s="252"/>
      <c r="PG81" s="252"/>
      <c r="PH81" s="252"/>
      <c r="PI81" s="252"/>
      <c r="PJ81" s="252"/>
      <c r="PK81" s="252"/>
      <c r="PL81" s="252"/>
      <c r="PM81" s="252"/>
      <c r="PN81" s="252"/>
      <c r="PO81" s="252"/>
      <c r="PP81" s="252"/>
      <c r="PQ81" s="252"/>
      <c r="PR81" s="252"/>
      <c r="PS81" s="252"/>
      <c r="PT81" s="252"/>
      <c r="PU81" s="252"/>
      <c r="PV81" s="252"/>
      <c r="PW81" s="252"/>
      <c r="PX81" s="252"/>
      <c r="PY81" s="252"/>
      <c r="PZ81" s="252"/>
      <c r="QA81" s="252"/>
      <c r="QB81" s="252"/>
      <c r="QC81" s="252"/>
      <c r="QD81" s="252"/>
      <c r="QE81" s="252"/>
      <c r="QF81" s="252"/>
      <c r="QG81" s="252"/>
      <c r="QH81" s="252"/>
      <c r="QI81" s="252"/>
      <c r="QJ81" s="252"/>
      <c r="QK81" s="252"/>
      <c r="QL81" s="252"/>
      <c r="QM81" s="252"/>
      <c r="QN81" s="252"/>
      <c r="QO81" s="252"/>
      <c r="QP81" s="252"/>
      <c r="QQ81" s="252"/>
      <c r="QR81" s="252"/>
      <c r="QS81" s="252"/>
      <c r="QT81" s="252"/>
      <c r="QU81" s="252"/>
      <c r="QV81" s="252"/>
      <c r="QW81" s="252"/>
      <c r="QX81" s="252"/>
      <c r="QY81" s="252"/>
      <c r="QZ81" s="252"/>
      <c r="RA81" s="252"/>
      <c r="RB81" s="252"/>
      <c r="RC81" s="252"/>
      <c r="RD81" s="252"/>
      <c r="RE81" s="252"/>
      <c r="RF81" s="252"/>
      <c r="RG81" s="252"/>
      <c r="RH81" s="252"/>
      <c r="RI81" s="252"/>
      <c r="RJ81" s="252"/>
      <c r="RK81" s="252"/>
      <c r="RL81" s="252"/>
      <c r="RM81" s="252"/>
      <c r="RN81" s="252"/>
      <c r="RO81" s="252"/>
      <c r="RP81" s="252"/>
      <c r="RQ81" s="252"/>
      <c r="RR81" s="252"/>
      <c r="RS81" s="252"/>
      <c r="RT81" s="252"/>
      <c r="RU81" s="252"/>
      <c r="RV81" s="252"/>
      <c r="RW81" s="252"/>
      <c r="RX81" s="252"/>
      <c r="RY81" s="252"/>
      <c r="RZ81" s="252"/>
      <c r="SA81" s="252"/>
      <c r="SB81" s="252"/>
      <c r="SC81" s="252"/>
      <c r="SD81" s="252"/>
      <c r="SE81" s="252"/>
      <c r="SF81" s="252"/>
      <c r="SG81" s="252"/>
      <c r="SH81" s="252"/>
      <c r="SI81" s="252"/>
      <c r="SJ81" s="252"/>
      <c r="SK81" s="252"/>
      <c r="SL81" s="252"/>
      <c r="SM81" s="252"/>
      <c r="SN81" s="252"/>
    </row>
    <row r="82" spans="1:508" s="243" customFormat="1" ht="15.6" customHeight="1" x14ac:dyDescent="0.55000000000000004">
      <c r="A82" s="220" t="str" cm="1">
        <f t="array" ref="A82">_xlfn.IFS(LEFT('Monthly Update'!A82, 3) = "*((", "", 'Monthly Update'!A82="", "", TRUE, 'Monthly Update'!A82)</f>
        <v/>
      </c>
      <c r="B82" s="220" t="str" cm="1">
        <f t="array" ref="B82">_xlfn.IFS(LEFT('Monthly Update'!B82, 3) = "*((", "", 'Monthly Update'!B82="", "", TRUE, 'Monthly Update'!B82)</f>
        <v/>
      </c>
      <c r="C82" s="221" t="str" cm="1">
        <f t="array" ref="C82">_xlfn.IFS(LEFT('Monthly Update'!CU82, 3) = "*((", "", 'Monthly Update'!CU82="", "", TRUE, 'Monthly Update'!CU82)</f>
        <v/>
      </c>
      <c r="D82" s="221" t="str" cm="1">
        <f t="array" ref="D82">_xlfn.IFS(LEFT('Monthly Update'!CV82, 3) = "*((", "", 'Monthly Update'!CV82="", "", TRUE, 'Monthly Update'!CV82)</f>
        <v/>
      </c>
      <c r="E82" s="221" t="str" cm="1">
        <f t="array" ref="E82">_xlfn.IFS(LEFT('Monthly Update'!CW82, 3) = "*((", "", 'Monthly Update'!CW82="", "", TRUE, 'Monthly Update'!CW82)</f>
        <v/>
      </c>
      <c r="F82" s="221" t="str" cm="1">
        <f t="array" ref="F82">_xlfn.IFS(LEFT('Monthly Update'!CX82, 3) = "*((", "", 'Monthly Update'!CX82="", "", TRUE, 'Monthly Update'!CX82)</f>
        <v/>
      </c>
      <c r="G82" s="221" t="str" cm="1">
        <f t="array" ref="G82">_xlfn.IFS(LEFT('Monthly Update'!CY82, 3) = "*((", "", 'Monthly Update'!CY82="", "", TRUE, 'Monthly Update'!CY82)</f>
        <v/>
      </c>
      <c r="H82" s="221" t="str" cm="1">
        <f t="array" ref="H82">_xlfn.IFS(LEFT('Monthly Update'!CZ82, 3) = "*((", "", 'Monthly Update'!CZ82="", "", TRUE, 'Monthly Update'!CZ82)</f>
        <v/>
      </c>
      <c r="I82" s="221" t="str" cm="1">
        <f t="array" ref="I82">_xlfn.IFS(LEFT('Monthly Update'!DA82, 3) = "*((", "", 'Monthly Update'!DA82="", "", TRUE, 'Monthly Update'!DA82)</f>
        <v/>
      </c>
      <c r="J82" s="221" t="str" cm="1">
        <f t="array" ref="J82">_xlfn.IFS(LEFT('Monthly Update'!DB82, 3) = "*((", "", 'Monthly Update'!DB82="", "", TRUE, 'Monthly Update'!DB82)</f>
        <v/>
      </c>
      <c r="K82" s="221" t="str" cm="1">
        <f t="array" ref="K82">_xlfn.IFS(LEFT('Monthly Update'!DC82, 3) = "*((", "", 'Monthly Update'!DC82="", "", TRUE, 'Monthly Update'!DC82)</f>
        <v/>
      </c>
      <c r="L82" s="221" t="str" cm="1">
        <f t="array" ref="L82">_xlfn.IFS(LEFT('Monthly Update'!DD82, 3) = "*((", "", 'Monthly Update'!DD82="", "", TRUE, 'Monthly Update'!DD82)</f>
        <v/>
      </c>
      <c r="M82" s="221" t="str" cm="1">
        <f t="array" ref="M82">_xlfn.IFS(LEFT('Monthly Update'!DE82, 3) = "*((", "", 'Monthly Update'!DE82="", "", TRUE, 'Monthly Update'!DE82)</f>
        <v/>
      </c>
      <c r="N82" s="221" t="str" cm="1">
        <f t="array" ref="N82">_xlfn.IFS(LEFT('Monthly Update'!DF82, 3) = "*((", "", 'Monthly Update'!DF82="", "", TRUE, 'Monthly Update'!DF82)</f>
        <v/>
      </c>
      <c r="O82" s="221" t="str" cm="1">
        <f t="array" ref="O82">_xlfn.IFS(LEFT('Monthly Update'!DG82, 3) = "*((", "", 'Monthly Update'!DG82="", "", TRUE, 'Monthly Update'!DG82)</f>
        <v/>
      </c>
      <c r="P82" s="221" t="str" cm="1">
        <f t="array" ref="P82">_xlfn.IFS(LEFT('Monthly Update'!DH82, 3) = "*((", "", 'Monthly Update'!DH82="", "", TRUE, 'Monthly Update'!DH82)</f>
        <v/>
      </c>
      <c r="Q82" s="221" t="str" cm="1">
        <f t="array" ref="Q82">_xlfn.IFS(LEFT('Monthly Update'!DI82, 3) = "*((", "", 'Monthly Update'!DI82="", "", TRUE, 'Monthly Update'!DI82)</f>
        <v/>
      </c>
      <c r="R82" s="221" t="str" cm="1">
        <f t="array" ref="R82">_xlfn.IFS(LEFT('Monthly Update'!DJ82, 3) = "*((", "", 'Monthly Update'!DJ82="", "", TRUE, 'Monthly Update'!DJ82)</f>
        <v/>
      </c>
      <c r="S82" s="221" t="str" cm="1">
        <f t="array" ref="S82">_xlfn.IFS(LEFT('Monthly Update'!DK82, 3) = "*((", "", 'Monthly Update'!DK82="", "", TRUE, 'Monthly Update'!DK82)</f>
        <v/>
      </c>
      <c r="T82" s="221" t="str" cm="1">
        <f t="array" ref="T82">_xlfn.IFS(LEFT('Monthly Update'!DL82, 3) = "*((", "", 'Monthly Update'!DL82="", "", TRUE, 'Monthly Update'!DL82)</f>
        <v/>
      </c>
      <c r="U82" s="221" t="str" cm="1">
        <f t="array" ref="U82">_xlfn.IFS(LEFT('Monthly Update'!DM82, 3) = "*((", "", 'Monthly Update'!DM82="", "", TRUE, 'Monthly Update'!DM82)</f>
        <v/>
      </c>
      <c r="V82" s="221" t="str" cm="1">
        <f t="array" ref="V82">_xlfn.IFS(LEFT('Monthly Update'!DN82, 3) = "*((", "", 'Monthly Update'!DN82="", "", TRUE, 'Monthly Update'!DN82)</f>
        <v/>
      </c>
      <c r="W82" s="221" t="str" cm="1">
        <f t="array" ref="W82">_xlfn.IFS(LEFT('Monthly Update'!DO82, 3) = "*((", "", 'Monthly Update'!DO82="", "", TRUE, 'Monthly Update'!DO82)</f>
        <v/>
      </c>
      <c r="X82" s="221" t="str" cm="1">
        <f t="array" ref="X82">_xlfn.IFS(LEFT('Monthly Update'!DP82, 3) = "*((", "", 'Monthly Update'!DP82="", "", TRUE, 'Monthly Update'!DP82)</f>
        <v/>
      </c>
      <c r="Y82" s="221" t="str" cm="1">
        <f t="array" ref="Y82">_xlfn.IFS(LEFT('Monthly Update'!DQ82, 3) = "*((", "", 'Monthly Update'!DQ82="", "", TRUE, 'Monthly Update'!DQ82)</f>
        <v/>
      </c>
      <c r="Z82" s="221" t="str" cm="1">
        <f t="array" ref="Z82">_xlfn.IFS(LEFT('Monthly Update'!DR82, 3) = "*((", "", 'Monthly Update'!DR82="", "", TRUE, 'Monthly Update'!DR82)</f>
        <v/>
      </c>
      <c r="AA82" s="221" t="str" cm="1">
        <f t="array" ref="AA82">_xlfn.IFS(LEFT('Monthly Update'!DS82, 3) = "*((", "", 'Monthly Update'!DS82="", "", TRUE, 'Monthly Update'!DS82)</f>
        <v/>
      </c>
      <c r="AB82" s="221" t="str" cm="1">
        <f t="array" ref="AB82">_xlfn.IFS(LEFT('Monthly Update'!DT82, 3) = "*((", "", 'Monthly Update'!DT82="", "", TRUE, 'Monthly Update'!DT82)</f>
        <v/>
      </c>
      <c r="AC82" s="221" t="str" cm="1">
        <f t="array" ref="AC82">_xlfn.IFS(LEFT('Monthly Update'!DU82, 3) = "*((", "", 'Monthly Update'!DU82="", "", TRUE, 'Monthly Update'!DU82)</f>
        <v/>
      </c>
      <c r="AD82" s="221" t="str" cm="1">
        <f t="array" ref="AD82">_xlfn.IFS(LEFT('Monthly Update'!DV82, 3) = "*((", "", 'Monthly Update'!DV82="", "", TRUE, 'Monthly Update'!DV82)</f>
        <v/>
      </c>
      <c r="AE82" s="221" t="str" cm="1">
        <f t="array" ref="AE82">_xlfn.IFS(LEFT('Monthly Update'!DW82, 3) = "*((", "", 'Monthly Update'!DW82="", "", TRUE, 'Monthly Update'!DW82)</f>
        <v/>
      </c>
      <c r="AF82" s="221" t="str" cm="1">
        <f t="array" ref="AF82">_xlfn.IFS(LEFT('Monthly Update'!DX82, 3) = "*((", "", 'Monthly Update'!DX82="", "", TRUE, 'Monthly Update'!DX82)</f>
        <v/>
      </c>
      <c r="AG82" s="221" t="str" cm="1">
        <f t="array" ref="AG82">_xlfn.IFS(LEFT('Monthly Update'!DY82, 3) = "*((", "", 'Monthly Update'!DY82="", "", TRUE, 'Monthly Update'!DY82)</f>
        <v/>
      </c>
      <c r="AH82" s="221" t="str" cm="1">
        <f t="array" ref="AH82">_xlfn.IFS(LEFT('Monthly Update'!DZ82, 3) = "*((", "", 'Monthly Update'!DZ82="", "", TRUE, 'Monthly Update'!DZ82)</f>
        <v/>
      </c>
      <c r="AI82" s="221" t="str" cm="1">
        <f t="array" ref="AI82">_xlfn.IFS(LEFT('Monthly Update'!EA82, 3) = "*((", "", 'Monthly Update'!EA82="", "", TRUE, 'Monthly Update'!EA82)</f>
        <v/>
      </c>
      <c r="AJ82" s="221" t="str" cm="1">
        <f t="array" ref="AJ82">_xlfn.IFS(LEFT('Monthly Update'!EB82, 3) = "*((", "", 'Monthly Update'!EB82="", "", TRUE, 'Monthly Update'!EB82)</f>
        <v/>
      </c>
      <c r="AK82" s="221" t="str" cm="1">
        <f t="array" ref="AK82">_xlfn.IFS(LEFT('Monthly Update'!EC82, 3) = "*((", "", 'Monthly Update'!EC82="", "", TRUE, 'Monthly Update'!EC82)</f>
        <v/>
      </c>
      <c r="AL82" s="221" t="str" cm="1">
        <f t="array" ref="AL82">_xlfn.IFS(LEFT('Monthly Update'!ED82, 3) = "*((", "", 'Monthly Update'!ED82="", "", TRUE, 'Monthly Update'!ED82)</f>
        <v/>
      </c>
      <c r="AM82" s="221" t="str" cm="1">
        <f t="array" ref="AM82">_xlfn.IFS(LEFT('Monthly Update'!EE82, 3) = "*((", "", 'Monthly Update'!EE82="", "", TRUE, 'Monthly Update'!EE82)</f>
        <v/>
      </c>
      <c r="AN82" s="221" t="str" cm="1">
        <f t="array" ref="AN82">_xlfn.IFS(LEFT('Monthly Update'!EF82, 3) = "*((", "", 'Monthly Update'!EF82="", "", TRUE, 'Monthly Update'!EF82)</f>
        <v/>
      </c>
      <c r="AO82" s="221" t="str" cm="1">
        <f t="array" ref="AO82">_xlfn.IFS(LEFT('Monthly Update'!EG82, 3) = "*((", "", 'Monthly Update'!EG82="", "", TRUE, 'Monthly Update'!EG82)</f>
        <v/>
      </c>
      <c r="AP82" s="221" t="str" cm="1">
        <f t="array" ref="AP82">_xlfn.IFS(LEFT('Monthly Update'!EH82, 3) = "*((", "", 'Monthly Update'!EH82="", "", TRUE, 'Monthly Update'!EH82)</f>
        <v/>
      </c>
      <c r="AQ82" s="221" t="str" cm="1">
        <f t="array" ref="AQ82">_xlfn.IFS(LEFT('Monthly Update'!EI82, 3) = "*((", "", 'Monthly Update'!EI82="", "", TRUE, 'Monthly Update'!EI82)</f>
        <v/>
      </c>
      <c r="AR82" s="221" t="str" cm="1">
        <f t="array" ref="AR82">_xlfn.IFS(LEFT('Monthly Update'!EJ82, 3) = "*((", "", 'Monthly Update'!EJ82="", "", TRUE, 'Monthly Update'!EJ82)</f>
        <v/>
      </c>
      <c r="AS82" s="221" t="str" cm="1">
        <f t="array" ref="AS82">_xlfn.IFS(LEFT('Monthly Update'!EK82, 3) = "*((", "", 'Monthly Update'!EK82="", "", TRUE, 'Monthly Update'!EK82)</f>
        <v/>
      </c>
      <c r="AT82" s="221" t="str" cm="1">
        <f t="array" ref="AT82">_xlfn.IFS(LEFT('Monthly Update'!EL82, 3) = "*((", "", 'Monthly Update'!EL82="", "", TRUE, 'Monthly Update'!EL82)</f>
        <v/>
      </c>
      <c r="AU82" s="221" t="str" cm="1">
        <f t="array" ref="AU82">_xlfn.IFS(LEFT('Monthly Update'!EM82, 3) = "*((", "", 'Monthly Update'!EM82="", "", TRUE, 'Monthly Update'!EM82)</f>
        <v/>
      </c>
      <c r="AV82" s="221" t="str" cm="1">
        <f t="array" ref="AV82">_xlfn.IFS(LEFT('Monthly Update'!EN82, 3) = "*((", "", 'Monthly Update'!EN82="", "", TRUE, 'Monthly Update'!EN82)</f>
        <v/>
      </c>
      <c r="AW82" s="221" t="str" cm="1">
        <f t="array" ref="AW82">_xlfn.IFS(LEFT('Monthly Update'!EO82, 3) = "*((", "", 'Monthly Update'!EO82="", "", TRUE, 'Monthly Update'!EO82)</f>
        <v/>
      </c>
      <c r="NU82" s="252"/>
      <c r="NV82" s="252"/>
      <c r="NW82" s="252"/>
      <c r="NX82" s="252"/>
      <c r="NY82" s="252"/>
      <c r="NZ82" s="252"/>
      <c r="OA82" s="252"/>
      <c r="OB82" s="252"/>
      <c r="OC82" s="252"/>
      <c r="OD82" s="252"/>
      <c r="OE82" s="252"/>
      <c r="OF82" s="252"/>
      <c r="OG82" s="252"/>
      <c r="OH82" s="252"/>
      <c r="OI82" s="252"/>
      <c r="OJ82" s="252"/>
      <c r="OK82" s="252"/>
      <c r="OL82" s="252"/>
      <c r="OM82" s="252"/>
      <c r="ON82" s="252"/>
      <c r="OO82" s="252"/>
      <c r="OP82" s="252"/>
      <c r="OQ82" s="252"/>
      <c r="OR82" s="252"/>
      <c r="OS82" s="252"/>
      <c r="OT82" s="252"/>
      <c r="OU82" s="252"/>
      <c r="OV82" s="252"/>
      <c r="OW82" s="252"/>
      <c r="OX82" s="252"/>
      <c r="OY82" s="252"/>
      <c r="OZ82" s="252"/>
      <c r="PA82" s="252"/>
      <c r="PB82" s="252"/>
      <c r="PC82" s="252"/>
      <c r="PD82" s="252"/>
      <c r="PE82" s="252"/>
      <c r="PF82" s="252"/>
      <c r="PG82" s="252"/>
      <c r="PH82" s="252"/>
      <c r="PI82" s="252"/>
      <c r="PJ82" s="252"/>
      <c r="PK82" s="252"/>
      <c r="PL82" s="252"/>
      <c r="PM82" s="252"/>
      <c r="PN82" s="252"/>
      <c r="PO82" s="252"/>
      <c r="PP82" s="252"/>
      <c r="PQ82" s="252"/>
      <c r="PR82" s="252"/>
      <c r="PS82" s="252"/>
      <c r="PT82" s="252"/>
      <c r="PU82" s="252"/>
      <c r="PV82" s="252"/>
      <c r="PW82" s="252"/>
      <c r="PX82" s="252"/>
      <c r="PY82" s="252"/>
      <c r="PZ82" s="252"/>
      <c r="QA82" s="252"/>
      <c r="QB82" s="252"/>
      <c r="QC82" s="252"/>
      <c r="QD82" s="252"/>
      <c r="QE82" s="252"/>
      <c r="QF82" s="252"/>
      <c r="QG82" s="252"/>
      <c r="QH82" s="252"/>
      <c r="QI82" s="252"/>
      <c r="QJ82" s="252"/>
      <c r="QK82" s="252"/>
      <c r="QL82" s="252"/>
      <c r="QM82" s="252"/>
      <c r="QN82" s="252"/>
      <c r="QO82" s="252"/>
      <c r="QP82" s="252"/>
      <c r="QQ82" s="252"/>
      <c r="QR82" s="252"/>
      <c r="QS82" s="252"/>
      <c r="QT82" s="252"/>
      <c r="QU82" s="252"/>
      <c r="QV82" s="252"/>
      <c r="QW82" s="252"/>
      <c r="QX82" s="252"/>
      <c r="QY82" s="252"/>
      <c r="QZ82" s="252"/>
      <c r="RA82" s="252"/>
      <c r="RB82" s="252"/>
      <c r="RC82" s="252"/>
      <c r="RD82" s="252"/>
      <c r="RE82" s="252"/>
      <c r="RF82" s="252"/>
      <c r="RG82" s="252"/>
      <c r="RH82" s="252"/>
      <c r="RI82" s="252"/>
      <c r="RJ82" s="252"/>
      <c r="RK82" s="252"/>
      <c r="RL82" s="252"/>
      <c r="RM82" s="252"/>
      <c r="RN82" s="252"/>
      <c r="RO82" s="252"/>
      <c r="RP82" s="252"/>
      <c r="RQ82" s="252"/>
      <c r="RR82" s="252"/>
      <c r="RS82" s="252"/>
      <c r="RT82" s="252"/>
      <c r="RU82" s="252"/>
      <c r="RV82" s="252"/>
      <c r="RW82" s="252"/>
      <c r="RX82" s="252"/>
      <c r="RY82" s="252"/>
      <c r="RZ82" s="252"/>
      <c r="SA82" s="252"/>
      <c r="SB82" s="252"/>
      <c r="SC82" s="252"/>
      <c r="SD82" s="252"/>
      <c r="SE82" s="252"/>
      <c r="SF82" s="252"/>
      <c r="SG82" s="252"/>
      <c r="SH82" s="252"/>
      <c r="SI82" s="252"/>
      <c r="SJ82" s="252"/>
      <c r="SK82" s="252"/>
      <c r="SL82" s="252"/>
      <c r="SM82" s="252"/>
      <c r="SN82" s="252"/>
    </row>
    <row r="83" spans="1:508" s="243" customFormat="1" ht="15.6" customHeight="1" x14ac:dyDescent="0.55000000000000004">
      <c r="A83" s="220" t="str" cm="1">
        <f t="array" ref="A83">_xlfn.IFS(LEFT('Monthly Update'!A83, 3) = "*((", "", 'Monthly Update'!A83="", "", TRUE, 'Monthly Update'!A83)</f>
        <v/>
      </c>
      <c r="B83" s="220" t="str" cm="1">
        <f t="array" ref="B83">_xlfn.IFS(LEFT('Monthly Update'!B83, 3) = "*((", "", 'Monthly Update'!B83="", "", TRUE, 'Monthly Update'!B83)</f>
        <v/>
      </c>
      <c r="C83" s="221" t="str" cm="1">
        <f t="array" ref="C83">_xlfn.IFS(LEFT('Monthly Update'!CU83, 3) = "*((", "", 'Monthly Update'!CU83="", "", TRUE, 'Monthly Update'!CU83)</f>
        <v/>
      </c>
      <c r="D83" s="221" t="str" cm="1">
        <f t="array" ref="D83">_xlfn.IFS(LEFT('Monthly Update'!CV83, 3) = "*((", "", 'Monthly Update'!CV83="", "", TRUE, 'Monthly Update'!CV83)</f>
        <v/>
      </c>
      <c r="E83" s="221" t="str" cm="1">
        <f t="array" ref="E83">_xlfn.IFS(LEFT('Monthly Update'!CW83, 3) = "*((", "", 'Monthly Update'!CW83="", "", TRUE, 'Monthly Update'!CW83)</f>
        <v/>
      </c>
      <c r="F83" s="221" t="str" cm="1">
        <f t="array" ref="F83">_xlfn.IFS(LEFT('Monthly Update'!CX83, 3) = "*((", "", 'Monthly Update'!CX83="", "", TRUE, 'Monthly Update'!CX83)</f>
        <v/>
      </c>
      <c r="G83" s="221" t="str" cm="1">
        <f t="array" ref="G83">_xlfn.IFS(LEFT('Monthly Update'!CY83, 3) = "*((", "", 'Monthly Update'!CY83="", "", TRUE, 'Monthly Update'!CY83)</f>
        <v/>
      </c>
      <c r="H83" s="221" t="str" cm="1">
        <f t="array" ref="H83">_xlfn.IFS(LEFT('Monthly Update'!CZ83, 3) = "*((", "", 'Monthly Update'!CZ83="", "", TRUE, 'Monthly Update'!CZ83)</f>
        <v/>
      </c>
      <c r="I83" s="221" t="str" cm="1">
        <f t="array" ref="I83">_xlfn.IFS(LEFT('Monthly Update'!DA83, 3) = "*((", "", 'Monthly Update'!DA83="", "", TRUE, 'Monthly Update'!DA83)</f>
        <v/>
      </c>
      <c r="J83" s="221" t="str" cm="1">
        <f t="array" ref="J83">_xlfn.IFS(LEFT('Monthly Update'!DB83, 3) = "*((", "", 'Monthly Update'!DB83="", "", TRUE, 'Monthly Update'!DB83)</f>
        <v/>
      </c>
      <c r="K83" s="221" t="str" cm="1">
        <f t="array" ref="K83">_xlfn.IFS(LEFT('Monthly Update'!DC83, 3) = "*((", "", 'Monthly Update'!DC83="", "", TRUE, 'Monthly Update'!DC83)</f>
        <v/>
      </c>
      <c r="L83" s="221" t="str" cm="1">
        <f t="array" ref="L83">_xlfn.IFS(LEFT('Monthly Update'!DD83, 3) = "*((", "", 'Monthly Update'!DD83="", "", TRUE, 'Monthly Update'!DD83)</f>
        <v/>
      </c>
      <c r="M83" s="221" t="str" cm="1">
        <f t="array" ref="M83">_xlfn.IFS(LEFT('Monthly Update'!DE83, 3) = "*((", "", 'Monthly Update'!DE83="", "", TRUE, 'Monthly Update'!DE83)</f>
        <v/>
      </c>
      <c r="N83" s="221" t="str" cm="1">
        <f t="array" ref="N83">_xlfn.IFS(LEFT('Monthly Update'!DF83, 3) = "*((", "", 'Monthly Update'!DF83="", "", TRUE, 'Monthly Update'!DF83)</f>
        <v/>
      </c>
      <c r="O83" s="221" t="str" cm="1">
        <f t="array" ref="O83">_xlfn.IFS(LEFT('Monthly Update'!DG83, 3) = "*((", "", 'Monthly Update'!DG83="", "", TRUE, 'Monthly Update'!DG83)</f>
        <v/>
      </c>
      <c r="P83" s="221" t="str" cm="1">
        <f t="array" ref="P83">_xlfn.IFS(LEFT('Monthly Update'!DH83, 3) = "*((", "", 'Monthly Update'!DH83="", "", TRUE, 'Monthly Update'!DH83)</f>
        <v/>
      </c>
      <c r="Q83" s="221" t="str" cm="1">
        <f t="array" ref="Q83">_xlfn.IFS(LEFT('Monthly Update'!DI83, 3) = "*((", "", 'Monthly Update'!DI83="", "", TRUE, 'Monthly Update'!DI83)</f>
        <v/>
      </c>
      <c r="R83" s="221" t="str" cm="1">
        <f t="array" ref="R83">_xlfn.IFS(LEFT('Monthly Update'!DJ83, 3) = "*((", "", 'Monthly Update'!DJ83="", "", TRUE, 'Monthly Update'!DJ83)</f>
        <v/>
      </c>
      <c r="S83" s="221" t="str" cm="1">
        <f t="array" ref="S83">_xlfn.IFS(LEFT('Monthly Update'!DK83, 3) = "*((", "", 'Monthly Update'!DK83="", "", TRUE, 'Monthly Update'!DK83)</f>
        <v/>
      </c>
      <c r="T83" s="221" t="str" cm="1">
        <f t="array" ref="T83">_xlfn.IFS(LEFT('Monthly Update'!DL83, 3) = "*((", "", 'Monthly Update'!DL83="", "", TRUE, 'Monthly Update'!DL83)</f>
        <v/>
      </c>
      <c r="U83" s="221" t="str" cm="1">
        <f t="array" ref="U83">_xlfn.IFS(LEFT('Monthly Update'!DM83, 3) = "*((", "", 'Monthly Update'!DM83="", "", TRUE, 'Monthly Update'!DM83)</f>
        <v/>
      </c>
      <c r="V83" s="221" t="str" cm="1">
        <f t="array" ref="V83">_xlfn.IFS(LEFT('Monthly Update'!DN83, 3) = "*((", "", 'Monthly Update'!DN83="", "", TRUE, 'Monthly Update'!DN83)</f>
        <v/>
      </c>
      <c r="W83" s="221" t="str" cm="1">
        <f t="array" ref="W83">_xlfn.IFS(LEFT('Monthly Update'!DO83, 3) = "*((", "", 'Monthly Update'!DO83="", "", TRUE, 'Monthly Update'!DO83)</f>
        <v/>
      </c>
      <c r="X83" s="221" t="str" cm="1">
        <f t="array" ref="X83">_xlfn.IFS(LEFT('Monthly Update'!DP83, 3) = "*((", "", 'Monthly Update'!DP83="", "", TRUE, 'Monthly Update'!DP83)</f>
        <v/>
      </c>
      <c r="Y83" s="221" t="str" cm="1">
        <f t="array" ref="Y83">_xlfn.IFS(LEFT('Monthly Update'!DQ83, 3) = "*((", "", 'Monthly Update'!DQ83="", "", TRUE, 'Monthly Update'!DQ83)</f>
        <v/>
      </c>
      <c r="Z83" s="221" t="str" cm="1">
        <f t="array" ref="Z83">_xlfn.IFS(LEFT('Monthly Update'!DR83, 3) = "*((", "", 'Monthly Update'!DR83="", "", TRUE, 'Monthly Update'!DR83)</f>
        <v/>
      </c>
      <c r="AA83" s="221" t="str" cm="1">
        <f t="array" ref="AA83">_xlfn.IFS(LEFT('Monthly Update'!DS83, 3) = "*((", "", 'Monthly Update'!DS83="", "", TRUE, 'Monthly Update'!DS83)</f>
        <v/>
      </c>
      <c r="AB83" s="221" t="str" cm="1">
        <f t="array" ref="AB83">_xlfn.IFS(LEFT('Monthly Update'!DT83, 3) = "*((", "", 'Monthly Update'!DT83="", "", TRUE, 'Monthly Update'!DT83)</f>
        <v/>
      </c>
      <c r="AC83" s="221" t="str" cm="1">
        <f t="array" ref="AC83">_xlfn.IFS(LEFT('Monthly Update'!DU83, 3) = "*((", "", 'Monthly Update'!DU83="", "", TRUE, 'Monthly Update'!DU83)</f>
        <v/>
      </c>
      <c r="AD83" s="221" t="str" cm="1">
        <f t="array" ref="AD83">_xlfn.IFS(LEFT('Monthly Update'!DV83, 3) = "*((", "", 'Monthly Update'!DV83="", "", TRUE, 'Monthly Update'!DV83)</f>
        <v/>
      </c>
      <c r="AE83" s="221" t="str" cm="1">
        <f t="array" ref="AE83">_xlfn.IFS(LEFT('Monthly Update'!DW83, 3) = "*((", "", 'Monthly Update'!DW83="", "", TRUE, 'Monthly Update'!DW83)</f>
        <v/>
      </c>
      <c r="AF83" s="221" t="str" cm="1">
        <f t="array" ref="AF83">_xlfn.IFS(LEFT('Monthly Update'!DX83, 3) = "*((", "", 'Monthly Update'!DX83="", "", TRUE, 'Monthly Update'!DX83)</f>
        <v/>
      </c>
      <c r="AG83" s="221" t="str" cm="1">
        <f t="array" ref="AG83">_xlfn.IFS(LEFT('Monthly Update'!DY83, 3) = "*((", "", 'Monthly Update'!DY83="", "", TRUE, 'Monthly Update'!DY83)</f>
        <v/>
      </c>
      <c r="AH83" s="221" t="str" cm="1">
        <f t="array" ref="AH83">_xlfn.IFS(LEFT('Monthly Update'!DZ83, 3) = "*((", "", 'Monthly Update'!DZ83="", "", TRUE, 'Monthly Update'!DZ83)</f>
        <v/>
      </c>
      <c r="AI83" s="221" t="str" cm="1">
        <f t="array" ref="AI83">_xlfn.IFS(LEFT('Monthly Update'!EA83, 3) = "*((", "", 'Monthly Update'!EA83="", "", TRUE, 'Monthly Update'!EA83)</f>
        <v/>
      </c>
      <c r="AJ83" s="221" t="str" cm="1">
        <f t="array" ref="AJ83">_xlfn.IFS(LEFT('Monthly Update'!EB83, 3) = "*((", "", 'Monthly Update'!EB83="", "", TRUE, 'Monthly Update'!EB83)</f>
        <v/>
      </c>
      <c r="AK83" s="221" t="str" cm="1">
        <f t="array" ref="AK83">_xlfn.IFS(LEFT('Monthly Update'!EC83, 3) = "*((", "", 'Monthly Update'!EC83="", "", TRUE, 'Monthly Update'!EC83)</f>
        <v/>
      </c>
      <c r="AL83" s="221" t="str" cm="1">
        <f t="array" ref="AL83">_xlfn.IFS(LEFT('Monthly Update'!ED83, 3) = "*((", "", 'Monthly Update'!ED83="", "", TRUE, 'Monthly Update'!ED83)</f>
        <v/>
      </c>
      <c r="AM83" s="221" t="str" cm="1">
        <f t="array" ref="AM83">_xlfn.IFS(LEFT('Monthly Update'!EE83, 3) = "*((", "", 'Monthly Update'!EE83="", "", TRUE, 'Monthly Update'!EE83)</f>
        <v/>
      </c>
      <c r="AN83" s="221" t="str" cm="1">
        <f t="array" ref="AN83">_xlfn.IFS(LEFT('Monthly Update'!EF83, 3) = "*((", "", 'Monthly Update'!EF83="", "", TRUE, 'Monthly Update'!EF83)</f>
        <v/>
      </c>
      <c r="AO83" s="221" t="str" cm="1">
        <f t="array" ref="AO83">_xlfn.IFS(LEFT('Monthly Update'!EG83, 3) = "*((", "", 'Monthly Update'!EG83="", "", TRUE, 'Monthly Update'!EG83)</f>
        <v/>
      </c>
      <c r="AP83" s="221" t="str" cm="1">
        <f t="array" ref="AP83">_xlfn.IFS(LEFT('Monthly Update'!EH83, 3) = "*((", "", 'Monthly Update'!EH83="", "", TRUE, 'Monthly Update'!EH83)</f>
        <v/>
      </c>
      <c r="AQ83" s="221" t="str" cm="1">
        <f t="array" ref="AQ83">_xlfn.IFS(LEFT('Monthly Update'!EI83, 3) = "*((", "", 'Monthly Update'!EI83="", "", TRUE, 'Monthly Update'!EI83)</f>
        <v/>
      </c>
      <c r="AR83" s="221" t="str" cm="1">
        <f t="array" ref="AR83">_xlfn.IFS(LEFT('Monthly Update'!EJ83, 3) = "*((", "", 'Monthly Update'!EJ83="", "", TRUE, 'Monthly Update'!EJ83)</f>
        <v/>
      </c>
      <c r="AS83" s="221" t="str" cm="1">
        <f t="array" ref="AS83">_xlfn.IFS(LEFT('Monthly Update'!EK83, 3) = "*((", "", 'Monthly Update'!EK83="", "", TRUE, 'Monthly Update'!EK83)</f>
        <v/>
      </c>
      <c r="AT83" s="221" t="str" cm="1">
        <f t="array" ref="AT83">_xlfn.IFS(LEFT('Monthly Update'!EL83, 3) = "*((", "", 'Monthly Update'!EL83="", "", TRUE, 'Monthly Update'!EL83)</f>
        <v/>
      </c>
      <c r="AU83" s="221" t="str" cm="1">
        <f t="array" ref="AU83">_xlfn.IFS(LEFT('Monthly Update'!EM83, 3) = "*((", "", 'Monthly Update'!EM83="", "", TRUE, 'Monthly Update'!EM83)</f>
        <v/>
      </c>
      <c r="AV83" s="221" t="str" cm="1">
        <f t="array" ref="AV83">_xlfn.IFS(LEFT('Monthly Update'!EN83, 3) = "*((", "", 'Monthly Update'!EN83="", "", TRUE, 'Monthly Update'!EN83)</f>
        <v/>
      </c>
      <c r="AW83" s="221" t="str" cm="1">
        <f t="array" ref="AW83">_xlfn.IFS(LEFT('Monthly Update'!EO83, 3) = "*((", "", 'Monthly Update'!EO83="", "", TRUE, 'Monthly Update'!EO83)</f>
        <v/>
      </c>
      <c r="NU83" s="252"/>
      <c r="NV83" s="252"/>
      <c r="NW83" s="252"/>
      <c r="NX83" s="252"/>
      <c r="NY83" s="252"/>
      <c r="NZ83" s="252"/>
      <c r="OA83" s="252"/>
      <c r="OB83" s="252"/>
      <c r="OC83" s="252"/>
      <c r="OD83" s="252"/>
      <c r="OE83" s="252"/>
      <c r="OF83" s="252"/>
      <c r="OG83" s="252"/>
      <c r="OH83" s="252"/>
      <c r="OI83" s="252"/>
      <c r="OJ83" s="252"/>
      <c r="OK83" s="252"/>
      <c r="OL83" s="252"/>
      <c r="OM83" s="252"/>
      <c r="ON83" s="252"/>
      <c r="OO83" s="252"/>
      <c r="OP83" s="252"/>
      <c r="OQ83" s="252"/>
      <c r="OR83" s="252"/>
      <c r="OS83" s="252"/>
      <c r="OT83" s="252"/>
      <c r="OU83" s="252"/>
      <c r="OV83" s="252"/>
      <c r="OW83" s="252"/>
      <c r="OX83" s="252"/>
      <c r="OY83" s="252"/>
      <c r="OZ83" s="252"/>
      <c r="PA83" s="252"/>
      <c r="PB83" s="252"/>
      <c r="PC83" s="252"/>
      <c r="PD83" s="252"/>
      <c r="PE83" s="252"/>
      <c r="PF83" s="252"/>
      <c r="PG83" s="252"/>
      <c r="PH83" s="252"/>
      <c r="PI83" s="252"/>
      <c r="PJ83" s="252"/>
      <c r="PK83" s="252"/>
      <c r="PL83" s="252"/>
      <c r="PM83" s="252"/>
      <c r="PN83" s="252"/>
      <c r="PO83" s="252"/>
      <c r="PP83" s="252"/>
      <c r="PQ83" s="252"/>
      <c r="PR83" s="252"/>
      <c r="PS83" s="252"/>
      <c r="PT83" s="252"/>
      <c r="PU83" s="252"/>
      <c r="PV83" s="252"/>
      <c r="PW83" s="252"/>
      <c r="PX83" s="252"/>
      <c r="PY83" s="252"/>
      <c r="PZ83" s="252"/>
      <c r="QA83" s="252"/>
      <c r="QB83" s="252"/>
      <c r="QC83" s="252"/>
      <c r="QD83" s="252"/>
      <c r="QE83" s="252"/>
      <c r="QF83" s="252"/>
      <c r="QG83" s="252"/>
      <c r="QH83" s="252"/>
      <c r="QI83" s="252"/>
      <c r="QJ83" s="252"/>
      <c r="QK83" s="252"/>
      <c r="QL83" s="252"/>
      <c r="QM83" s="252"/>
      <c r="QN83" s="252"/>
      <c r="QO83" s="252"/>
      <c r="QP83" s="252"/>
      <c r="QQ83" s="252"/>
      <c r="QR83" s="252"/>
      <c r="QS83" s="252"/>
      <c r="QT83" s="252"/>
      <c r="QU83" s="252"/>
      <c r="QV83" s="252"/>
      <c r="QW83" s="252"/>
      <c r="QX83" s="252"/>
      <c r="QY83" s="252"/>
      <c r="QZ83" s="252"/>
      <c r="RA83" s="252"/>
      <c r="RB83" s="252"/>
      <c r="RC83" s="252"/>
      <c r="RD83" s="252"/>
      <c r="RE83" s="252"/>
      <c r="RF83" s="252"/>
      <c r="RG83" s="252"/>
      <c r="RH83" s="252"/>
      <c r="RI83" s="252"/>
      <c r="RJ83" s="252"/>
      <c r="RK83" s="252"/>
      <c r="RL83" s="252"/>
      <c r="RM83" s="252"/>
      <c r="RN83" s="252"/>
      <c r="RO83" s="252"/>
      <c r="RP83" s="252"/>
      <c r="RQ83" s="252"/>
      <c r="RR83" s="252"/>
      <c r="RS83" s="252"/>
      <c r="RT83" s="252"/>
      <c r="RU83" s="252"/>
      <c r="RV83" s="252"/>
      <c r="RW83" s="252"/>
      <c r="RX83" s="252"/>
      <c r="RY83" s="252"/>
      <c r="RZ83" s="252"/>
      <c r="SA83" s="252"/>
      <c r="SB83" s="252"/>
      <c r="SC83" s="252"/>
      <c r="SD83" s="252"/>
      <c r="SE83" s="252"/>
      <c r="SF83" s="252"/>
      <c r="SG83" s="252"/>
      <c r="SH83" s="252"/>
      <c r="SI83" s="252"/>
      <c r="SJ83" s="252"/>
      <c r="SK83" s="252"/>
      <c r="SL83" s="252"/>
      <c r="SM83" s="252"/>
      <c r="SN83" s="252"/>
    </row>
    <row r="84" spans="1:508" s="243" customFormat="1" ht="15.6" customHeight="1" x14ac:dyDescent="0.55000000000000004">
      <c r="A84" s="220" t="str" cm="1">
        <f t="array" ref="A84">_xlfn.IFS(LEFT('Monthly Update'!A84, 3) = "*((", "", 'Monthly Update'!A84="", "", TRUE, 'Monthly Update'!A84)</f>
        <v/>
      </c>
      <c r="B84" s="220" t="str" cm="1">
        <f t="array" ref="B84">_xlfn.IFS(LEFT('Monthly Update'!B84, 3) = "*((", "", 'Monthly Update'!B84="", "", TRUE, 'Monthly Update'!B84)</f>
        <v/>
      </c>
      <c r="C84" s="221" t="str" cm="1">
        <f t="array" ref="C84">_xlfn.IFS(LEFT('Monthly Update'!CU84, 3) = "*((", "", 'Monthly Update'!CU84="", "", TRUE, 'Monthly Update'!CU84)</f>
        <v/>
      </c>
      <c r="D84" s="221" t="str" cm="1">
        <f t="array" ref="D84">_xlfn.IFS(LEFT('Monthly Update'!CV84, 3) = "*((", "", 'Monthly Update'!CV84="", "", TRUE, 'Monthly Update'!CV84)</f>
        <v/>
      </c>
      <c r="E84" s="221" t="str" cm="1">
        <f t="array" ref="E84">_xlfn.IFS(LEFT('Monthly Update'!CW84, 3) = "*((", "", 'Monthly Update'!CW84="", "", TRUE, 'Monthly Update'!CW84)</f>
        <v/>
      </c>
      <c r="F84" s="221" t="str" cm="1">
        <f t="array" ref="F84">_xlfn.IFS(LEFT('Monthly Update'!CX84, 3) = "*((", "", 'Monthly Update'!CX84="", "", TRUE, 'Monthly Update'!CX84)</f>
        <v/>
      </c>
      <c r="G84" s="221" t="str" cm="1">
        <f t="array" ref="G84">_xlfn.IFS(LEFT('Monthly Update'!CY84, 3) = "*((", "", 'Monthly Update'!CY84="", "", TRUE, 'Monthly Update'!CY84)</f>
        <v/>
      </c>
      <c r="H84" s="221" t="str" cm="1">
        <f t="array" ref="H84">_xlfn.IFS(LEFT('Monthly Update'!CZ84, 3) = "*((", "", 'Monthly Update'!CZ84="", "", TRUE, 'Monthly Update'!CZ84)</f>
        <v/>
      </c>
      <c r="I84" s="221" t="str" cm="1">
        <f t="array" ref="I84">_xlfn.IFS(LEFT('Monthly Update'!DA84, 3) = "*((", "", 'Monthly Update'!DA84="", "", TRUE, 'Monthly Update'!DA84)</f>
        <v/>
      </c>
      <c r="J84" s="221" t="str" cm="1">
        <f t="array" ref="J84">_xlfn.IFS(LEFT('Monthly Update'!DB84, 3) = "*((", "", 'Monthly Update'!DB84="", "", TRUE, 'Monthly Update'!DB84)</f>
        <v/>
      </c>
      <c r="K84" s="221" t="str" cm="1">
        <f t="array" ref="K84">_xlfn.IFS(LEFT('Monthly Update'!DC84, 3) = "*((", "", 'Monthly Update'!DC84="", "", TRUE, 'Monthly Update'!DC84)</f>
        <v/>
      </c>
      <c r="L84" s="221" t="str" cm="1">
        <f t="array" ref="L84">_xlfn.IFS(LEFT('Monthly Update'!DD84, 3) = "*((", "", 'Monthly Update'!DD84="", "", TRUE, 'Monthly Update'!DD84)</f>
        <v/>
      </c>
      <c r="M84" s="221" t="str" cm="1">
        <f t="array" ref="M84">_xlfn.IFS(LEFT('Monthly Update'!DE84, 3) = "*((", "", 'Monthly Update'!DE84="", "", TRUE, 'Monthly Update'!DE84)</f>
        <v/>
      </c>
      <c r="N84" s="221" t="str" cm="1">
        <f t="array" ref="N84">_xlfn.IFS(LEFT('Monthly Update'!DF84, 3) = "*((", "", 'Monthly Update'!DF84="", "", TRUE, 'Monthly Update'!DF84)</f>
        <v/>
      </c>
      <c r="O84" s="221" t="str" cm="1">
        <f t="array" ref="O84">_xlfn.IFS(LEFT('Monthly Update'!DG84, 3) = "*((", "", 'Monthly Update'!DG84="", "", TRUE, 'Monthly Update'!DG84)</f>
        <v/>
      </c>
      <c r="P84" s="221" t="str" cm="1">
        <f t="array" ref="P84">_xlfn.IFS(LEFT('Monthly Update'!DH84, 3) = "*((", "", 'Monthly Update'!DH84="", "", TRUE, 'Monthly Update'!DH84)</f>
        <v/>
      </c>
      <c r="Q84" s="221" t="str" cm="1">
        <f t="array" ref="Q84">_xlfn.IFS(LEFT('Monthly Update'!DI84, 3) = "*((", "", 'Monthly Update'!DI84="", "", TRUE, 'Monthly Update'!DI84)</f>
        <v/>
      </c>
      <c r="R84" s="221" t="str" cm="1">
        <f t="array" ref="R84">_xlfn.IFS(LEFT('Monthly Update'!DJ84, 3) = "*((", "", 'Monthly Update'!DJ84="", "", TRUE, 'Monthly Update'!DJ84)</f>
        <v/>
      </c>
      <c r="S84" s="221" t="str" cm="1">
        <f t="array" ref="S84">_xlfn.IFS(LEFT('Monthly Update'!DK84, 3) = "*((", "", 'Monthly Update'!DK84="", "", TRUE, 'Monthly Update'!DK84)</f>
        <v/>
      </c>
      <c r="T84" s="221" t="str" cm="1">
        <f t="array" ref="T84">_xlfn.IFS(LEFT('Monthly Update'!DL84, 3) = "*((", "", 'Monthly Update'!DL84="", "", TRUE, 'Monthly Update'!DL84)</f>
        <v/>
      </c>
      <c r="U84" s="221" t="str" cm="1">
        <f t="array" ref="U84">_xlfn.IFS(LEFT('Monthly Update'!DM84, 3) = "*((", "", 'Monthly Update'!DM84="", "", TRUE, 'Monthly Update'!DM84)</f>
        <v/>
      </c>
      <c r="V84" s="221" t="str" cm="1">
        <f t="array" ref="V84">_xlfn.IFS(LEFT('Monthly Update'!DN84, 3) = "*((", "", 'Monthly Update'!DN84="", "", TRUE, 'Monthly Update'!DN84)</f>
        <v/>
      </c>
      <c r="W84" s="221" t="str" cm="1">
        <f t="array" ref="W84">_xlfn.IFS(LEFT('Monthly Update'!DO84, 3) = "*((", "", 'Monthly Update'!DO84="", "", TRUE, 'Monthly Update'!DO84)</f>
        <v/>
      </c>
      <c r="X84" s="221" t="str" cm="1">
        <f t="array" ref="X84">_xlfn.IFS(LEFT('Monthly Update'!DP84, 3) = "*((", "", 'Monthly Update'!DP84="", "", TRUE, 'Monthly Update'!DP84)</f>
        <v/>
      </c>
      <c r="Y84" s="221" t="str" cm="1">
        <f t="array" ref="Y84">_xlfn.IFS(LEFT('Monthly Update'!DQ84, 3) = "*((", "", 'Monthly Update'!DQ84="", "", TRUE, 'Monthly Update'!DQ84)</f>
        <v/>
      </c>
      <c r="Z84" s="221" t="str" cm="1">
        <f t="array" ref="Z84">_xlfn.IFS(LEFT('Monthly Update'!DR84, 3) = "*((", "", 'Monthly Update'!DR84="", "", TRUE, 'Monthly Update'!DR84)</f>
        <v/>
      </c>
      <c r="AA84" s="221" t="str" cm="1">
        <f t="array" ref="AA84">_xlfn.IFS(LEFT('Monthly Update'!DS84, 3) = "*((", "", 'Monthly Update'!DS84="", "", TRUE, 'Monthly Update'!DS84)</f>
        <v/>
      </c>
      <c r="AB84" s="221" t="str" cm="1">
        <f t="array" ref="AB84">_xlfn.IFS(LEFT('Monthly Update'!DT84, 3) = "*((", "", 'Monthly Update'!DT84="", "", TRUE, 'Monthly Update'!DT84)</f>
        <v/>
      </c>
      <c r="AC84" s="221" t="str" cm="1">
        <f t="array" ref="AC84">_xlfn.IFS(LEFT('Monthly Update'!DU84, 3) = "*((", "", 'Monthly Update'!DU84="", "", TRUE, 'Monthly Update'!DU84)</f>
        <v/>
      </c>
      <c r="AD84" s="221" t="str" cm="1">
        <f t="array" ref="AD84">_xlfn.IFS(LEFT('Monthly Update'!DV84, 3) = "*((", "", 'Monthly Update'!DV84="", "", TRUE, 'Monthly Update'!DV84)</f>
        <v/>
      </c>
      <c r="AE84" s="221" t="str" cm="1">
        <f t="array" ref="AE84">_xlfn.IFS(LEFT('Monthly Update'!DW84, 3) = "*((", "", 'Monthly Update'!DW84="", "", TRUE, 'Monthly Update'!DW84)</f>
        <v/>
      </c>
      <c r="AF84" s="221" t="str" cm="1">
        <f t="array" ref="AF84">_xlfn.IFS(LEFT('Monthly Update'!DX84, 3) = "*((", "", 'Monthly Update'!DX84="", "", TRUE, 'Monthly Update'!DX84)</f>
        <v/>
      </c>
      <c r="AG84" s="221" t="str" cm="1">
        <f t="array" ref="AG84">_xlfn.IFS(LEFT('Monthly Update'!DY84, 3) = "*((", "", 'Monthly Update'!DY84="", "", TRUE, 'Monthly Update'!DY84)</f>
        <v/>
      </c>
      <c r="AH84" s="221" t="str" cm="1">
        <f t="array" ref="AH84">_xlfn.IFS(LEFT('Monthly Update'!DZ84, 3) = "*((", "", 'Monthly Update'!DZ84="", "", TRUE, 'Monthly Update'!DZ84)</f>
        <v/>
      </c>
      <c r="AI84" s="221" t="str" cm="1">
        <f t="array" ref="AI84">_xlfn.IFS(LEFT('Monthly Update'!EA84, 3) = "*((", "", 'Monthly Update'!EA84="", "", TRUE, 'Monthly Update'!EA84)</f>
        <v/>
      </c>
      <c r="AJ84" s="221" t="str" cm="1">
        <f t="array" ref="AJ84">_xlfn.IFS(LEFT('Monthly Update'!EB84, 3) = "*((", "", 'Monthly Update'!EB84="", "", TRUE, 'Monthly Update'!EB84)</f>
        <v/>
      </c>
      <c r="AK84" s="221" t="str" cm="1">
        <f t="array" ref="AK84">_xlfn.IFS(LEFT('Monthly Update'!EC84, 3) = "*((", "", 'Monthly Update'!EC84="", "", TRUE, 'Monthly Update'!EC84)</f>
        <v/>
      </c>
      <c r="AL84" s="221" t="str" cm="1">
        <f t="array" ref="AL84">_xlfn.IFS(LEFT('Monthly Update'!ED84, 3) = "*((", "", 'Monthly Update'!ED84="", "", TRUE, 'Monthly Update'!ED84)</f>
        <v/>
      </c>
      <c r="AM84" s="221" t="str" cm="1">
        <f t="array" ref="AM84">_xlfn.IFS(LEFT('Monthly Update'!EE84, 3) = "*((", "", 'Monthly Update'!EE84="", "", TRUE, 'Monthly Update'!EE84)</f>
        <v/>
      </c>
      <c r="AN84" s="221" t="str" cm="1">
        <f t="array" ref="AN84">_xlfn.IFS(LEFT('Monthly Update'!EF84, 3) = "*((", "", 'Monthly Update'!EF84="", "", TRUE, 'Monthly Update'!EF84)</f>
        <v/>
      </c>
      <c r="AO84" s="221" t="str" cm="1">
        <f t="array" ref="AO84">_xlfn.IFS(LEFT('Monthly Update'!EG84, 3) = "*((", "", 'Monthly Update'!EG84="", "", TRUE, 'Monthly Update'!EG84)</f>
        <v/>
      </c>
      <c r="AP84" s="221" t="str" cm="1">
        <f t="array" ref="AP84">_xlfn.IFS(LEFT('Monthly Update'!EH84, 3) = "*((", "", 'Monthly Update'!EH84="", "", TRUE, 'Monthly Update'!EH84)</f>
        <v/>
      </c>
      <c r="AQ84" s="221" t="str" cm="1">
        <f t="array" ref="AQ84">_xlfn.IFS(LEFT('Monthly Update'!EI84, 3) = "*((", "", 'Monthly Update'!EI84="", "", TRUE, 'Monthly Update'!EI84)</f>
        <v/>
      </c>
      <c r="AR84" s="221" t="str" cm="1">
        <f t="array" ref="AR84">_xlfn.IFS(LEFT('Monthly Update'!EJ84, 3) = "*((", "", 'Monthly Update'!EJ84="", "", TRUE, 'Monthly Update'!EJ84)</f>
        <v/>
      </c>
      <c r="AS84" s="221" t="str" cm="1">
        <f t="array" ref="AS84">_xlfn.IFS(LEFT('Monthly Update'!EK84, 3) = "*((", "", 'Monthly Update'!EK84="", "", TRUE, 'Monthly Update'!EK84)</f>
        <v/>
      </c>
      <c r="AT84" s="221" t="str" cm="1">
        <f t="array" ref="AT84">_xlfn.IFS(LEFT('Monthly Update'!EL84, 3) = "*((", "", 'Monthly Update'!EL84="", "", TRUE, 'Monthly Update'!EL84)</f>
        <v/>
      </c>
      <c r="AU84" s="221" t="str" cm="1">
        <f t="array" ref="AU84">_xlfn.IFS(LEFT('Monthly Update'!EM84, 3) = "*((", "", 'Monthly Update'!EM84="", "", TRUE, 'Monthly Update'!EM84)</f>
        <v/>
      </c>
      <c r="AV84" s="221" t="str" cm="1">
        <f t="array" ref="AV84">_xlfn.IFS(LEFT('Monthly Update'!EN84, 3) = "*((", "", 'Monthly Update'!EN84="", "", TRUE, 'Monthly Update'!EN84)</f>
        <v/>
      </c>
      <c r="AW84" s="221" t="str" cm="1">
        <f t="array" ref="AW84">_xlfn.IFS(LEFT('Monthly Update'!EO84, 3) = "*((", "", 'Monthly Update'!EO84="", "", TRUE, 'Monthly Update'!EO84)</f>
        <v/>
      </c>
      <c r="NU84" s="252"/>
      <c r="NV84" s="252"/>
      <c r="NW84" s="252"/>
      <c r="NX84" s="252"/>
      <c r="NY84" s="252"/>
      <c r="NZ84" s="252"/>
      <c r="OA84" s="252"/>
      <c r="OB84" s="252"/>
      <c r="OC84" s="252"/>
      <c r="OD84" s="252"/>
      <c r="OE84" s="252"/>
      <c r="OF84" s="252"/>
      <c r="OG84" s="252"/>
      <c r="OH84" s="252"/>
      <c r="OI84" s="252"/>
      <c r="OJ84" s="252"/>
      <c r="OK84" s="252"/>
      <c r="OL84" s="252"/>
      <c r="OM84" s="252"/>
      <c r="ON84" s="252"/>
      <c r="OO84" s="252"/>
      <c r="OP84" s="252"/>
      <c r="OQ84" s="252"/>
      <c r="OR84" s="252"/>
      <c r="OS84" s="252"/>
      <c r="OT84" s="252"/>
      <c r="OU84" s="252"/>
      <c r="OV84" s="252"/>
      <c r="OW84" s="252"/>
      <c r="OX84" s="252"/>
      <c r="OY84" s="252"/>
      <c r="OZ84" s="252"/>
      <c r="PA84" s="252"/>
      <c r="PB84" s="252"/>
      <c r="PC84" s="252"/>
      <c r="PD84" s="252"/>
      <c r="PE84" s="252"/>
      <c r="PF84" s="252"/>
      <c r="PG84" s="252"/>
      <c r="PH84" s="252"/>
      <c r="PI84" s="252"/>
      <c r="PJ84" s="252"/>
      <c r="PK84" s="252"/>
      <c r="PL84" s="252"/>
      <c r="PM84" s="252"/>
      <c r="PN84" s="252"/>
      <c r="PO84" s="252"/>
      <c r="PP84" s="252"/>
      <c r="PQ84" s="252"/>
      <c r="PR84" s="252"/>
      <c r="PS84" s="252"/>
      <c r="PT84" s="252"/>
      <c r="PU84" s="252"/>
      <c r="PV84" s="252"/>
      <c r="PW84" s="252"/>
      <c r="PX84" s="252"/>
      <c r="PY84" s="252"/>
      <c r="PZ84" s="252"/>
      <c r="QA84" s="252"/>
      <c r="QB84" s="252"/>
      <c r="QC84" s="252"/>
      <c r="QD84" s="252"/>
      <c r="QE84" s="252"/>
      <c r="QF84" s="252"/>
      <c r="QG84" s="252"/>
      <c r="QH84" s="252"/>
      <c r="QI84" s="252"/>
      <c r="QJ84" s="252"/>
      <c r="QK84" s="252"/>
      <c r="QL84" s="252"/>
      <c r="QM84" s="252"/>
      <c r="QN84" s="252"/>
      <c r="QO84" s="252"/>
      <c r="QP84" s="252"/>
      <c r="QQ84" s="252"/>
      <c r="QR84" s="252"/>
      <c r="QS84" s="252"/>
      <c r="QT84" s="252"/>
      <c r="QU84" s="252"/>
      <c r="QV84" s="252"/>
      <c r="QW84" s="252"/>
      <c r="QX84" s="252"/>
      <c r="QY84" s="252"/>
      <c r="QZ84" s="252"/>
      <c r="RA84" s="252"/>
      <c r="RB84" s="252"/>
      <c r="RC84" s="252"/>
      <c r="RD84" s="252"/>
      <c r="RE84" s="252"/>
      <c r="RF84" s="252"/>
      <c r="RG84" s="252"/>
      <c r="RH84" s="252"/>
      <c r="RI84" s="252"/>
      <c r="RJ84" s="252"/>
      <c r="RK84" s="252"/>
      <c r="RL84" s="252"/>
      <c r="RM84" s="252"/>
      <c r="RN84" s="252"/>
      <c r="RO84" s="252"/>
      <c r="RP84" s="252"/>
      <c r="RQ84" s="252"/>
      <c r="RR84" s="252"/>
      <c r="RS84" s="252"/>
      <c r="RT84" s="252"/>
      <c r="RU84" s="252"/>
      <c r="RV84" s="252"/>
      <c r="RW84" s="252"/>
      <c r="RX84" s="252"/>
      <c r="RY84" s="252"/>
      <c r="RZ84" s="252"/>
      <c r="SA84" s="252"/>
      <c r="SB84" s="252"/>
      <c r="SC84" s="252"/>
      <c r="SD84" s="252"/>
      <c r="SE84" s="252"/>
      <c r="SF84" s="252"/>
      <c r="SG84" s="252"/>
      <c r="SH84" s="252"/>
      <c r="SI84" s="252"/>
      <c r="SJ84" s="252"/>
      <c r="SK84" s="252"/>
      <c r="SL84" s="252"/>
      <c r="SM84" s="252"/>
      <c r="SN84" s="252"/>
    </row>
    <row r="85" spans="1:508" s="243" customFormat="1" ht="15.6" customHeight="1" x14ac:dyDescent="0.55000000000000004">
      <c r="A85" s="220" t="str" cm="1">
        <f t="array" ref="A85">_xlfn.IFS(LEFT('Monthly Update'!A85, 3) = "*((", "", 'Monthly Update'!A85="", "", TRUE, 'Monthly Update'!A85)</f>
        <v/>
      </c>
      <c r="B85" s="220" t="str" cm="1">
        <f t="array" ref="B85">_xlfn.IFS(LEFT('Monthly Update'!B85, 3) = "*((", "", 'Monthly Update'!B85="", "", TRUE, 'Monthly Update'!B85)</f>
        <v/>
      </c>
      <c r="C85" s="221" t="str" cm="1">
        <f t="array" ref="C85">_xlfn.IFS(LEFT('Monthly Update'!CU85, 3) = "*((", "", 'Monthly Update'!CU85="", "", TRUE, 'Monthly Update'!CU85)</f>
        <v/>
      </c>
      <c r="D85" s="221" t="str" cm="1">
        <f t="array" ref="D85">_xlfn.IFS(LEFT('Monthly Update'!CV85, 3) = "*((", "", 'Monthly Update'!CV85="", "", TRUE, 'Monthly Update'!CV85)</f>
        <v/>
      </c>
      <c r="E85" s="221" t="str" cm="1">
        <f t="array" ref="E85">_xlfn.IFS(LEFT('Monthly Update'!CW85, 3) = "*((", "", 'Monthly Update'!CW85="", "", TRUE, 'Monthly Update'!CW85)</f>
        <v/>
      </c>
      <c r="F85" s="221" t="str" cm="1">
        <f t="array" ref="F85">_xlfn.IFS(LEFT('Monthly Update'!CX85, 3) = "*((", "", 'Monthly Update'!CX85="", "", TRUE, 'Monthly Update'!CX85)</f>
        <v/>
      </c>
      <c r="G85" s="221" t="str" cm="1">
        <f t="array" ref="G85">_xlfn.IFS(LEFT('Monthly Update'!CY85, 3) = "*((", "", 'Monthly Update'!CY85="", "", TRUE, 'Monthly Update'!CY85)</f>
        <v/>
      </c>
      <c r="H85" s="221" t="str" cm="1">
        <f t="array" ref="H85">_xlfn.IFS(LEFT('Monthly Update'!CZ85, 3) = "*((", "", 'Monthly Update'!CZ85="", "", TRUE, 'Monthly Update'!CZ85)</f>
        <v/>
      </c>
      <c r="I85" s="221" t="str" cm="1">
        <f t="array" ref="I85">_xlfn.IFS(LEFT('Monthly Update'!DA85, 3) = "*((", "", 'Monthly Update'!DA85="", "", TRUE, 'Monthly Update'!DA85)</f>
        <v/>
      </c>
      <c r="J85" s="221" t="str" cm="1">
        <f t="array" ref="J85">_xlfn.IFS(LEFT('Monthly Update'!DB85, 3) = "*((", "", 'Monthly Update'!DB85="", "", TRUE, 'Monthly Update'!DB85)</f>
        <v/>
      </c>
      <c r="K85" s="221" t="str" cm="1">
        <f t="array" ref="K85">_xlfn.IFS(LEFT('Monthly Update'!DC85, 3) = "*((", "", 'Monthly Update'!DC85="", "", TRUE, 'Monthly Update'!DC85)</f>
        <v/>
      </c>
      <c r="L85" s="221" t="str" cm="1">
        <f t="array" ref="L85">_xlfn.IFS(LEFT('Monthly Update'!DD85, 3) = "*((", "", 'Monthly Update'!DD85="", "", TRUE, 'Monthly Update'!DD85)</f>
        <v/>
      </c>
      <c r="M85" s="221" t="str" cm="1">
        <f t="array" ref="M85">_xlfn.IFS(LEFT('Monthly Update'!DE85, 3) = "*((", "", 'Monthly Update'!DE85="", "", TRUE, 'Monthly Update'!DE85)</f>
        <v/>
      </c>
      <c r="N85" s="221" t="str" cm="1">
        <f t="array" ref="N85">_xlfn.IFS(LEFT('Monthly Update'!DF85, 3) = "*((", "", 'Monthly Update'!DF85="", "", TRUE, 'Monthly Update'!DF85)</f>
        <v/>
      </c>
      <c r="O85" s="221" t="str" cm="1">
        <f t="array" ref="O85">_xlfn.IFS(LEFT('Monthly Update'!DG85, 3) = "*((", "", 'Monthly Update'!DG85="", "", TRUE, 'Monthly Update'!DG85)</f>
        <v/>
      </c>
      <c r="P85" s="221" t="str" cm="1">
        <f t="array" ref="P85">_xlfn.IFS(LEFT('Monthly Update'!DH85, 3) = "*((", "", 'Monthly Update'!DH85="", "", TRUE, 'Monthly Update'!DH85)</f>
        <v/>
      </c>
      <c r="Q85" s="221" t="str" cm="1">
        <f t="array" ref="Q85">_xlfn.IFS(LEFT('Monthly Update'!DI85, 3) = "*((", "", 'Monthly Update'!DI85="", "", TRUE, 'Monthly Update'!DI85)</f>
        <v/>
      </c>
      <c r="R85" s="221" t="str" cm="1">
        <f t="array" ref="R85">_xlfn.IFS(LEFT('Monthly Update'!DJ85, 3) = "*((", "", 'Monthly Update'!DJ85="", "", TRUE, 'Monthly Update'!DJ85)</f>
        <v/>
      </c>
      <c r="S85" s="221" t="str" cm="1">
        <f t="array" ref="S85">_xlfn.IFS(LEFT('Monthly Update'!DK85, 3) = "*((", "", 'Monthly Update'!DK85="", "", TRUE, 'Monthly Update'!DK85)</f>
        <v/>
      </c>
      <c r="T85" s="221" t="str" cm="1">
        <f t="array" ref="T85">_xlfn.IFS(LEFT('Monthly Update'!DL85, 3) = "*((", "", 'Monthly Update'!DL85="", "", TRUE, 'Monthly Update'!DL85)</f>
        <v/>
      </c>
      <c r="U85" s="221" t="str" cm="1">
        <f t="array" ref="U85">_xlfn.IFS(LEFT('Monthly Update'!DM85, 3) = "*((", "", 'Monthly Update'!DM85="", "", TRUE, 'Monthly Update'!DM85)</f>
        <v/>
      </c>
      <c r="V85" s="221" t="str" cm="1">
        <f t="array" ref="V85">_xlfn.IFS(LEFT('Monthly Update'!DN85, 3) = "*((", "", 'Monthly Update'!DN85="", "", TRUE, 'Monthly Update'!DN85)</f>
        <v/>
      </c>
      <c r="W85" s="221" t="str" cm="1">
        <f t="array" ref="W85">_xlfn.IFS(LEFT('Monthly Update'!DO85, 3) = "*((", "", 'Monthly Update'!DO85="", "", TRUE, 'Monthly Update'!DO85)</f>
        <v/>
      </c>
      <c r="X85" s="221" t="str" cm="1">
        <f t="array" ref="X85">_xlfn.IFS(LEFT('Monthly Update'!DP85, 3) = "*((", "", 'Monthly Update'!DP85="", "", TRUE, 'Monthly Update'!DP85)</f>
        <v/>
      </c>
      <c r="Y85" s="221" t="str" cm="1">
        <f t="array" ref="Y85">_xlfn.IFS(LEFT('Monthly Update'!DQ85, 3) = "*((", "", 'Monthly Update'!DQ85="", "", TRUE, 'Monthly Update'!DQ85)</f>
        <v/>
      </c>
      <c r="Z85" s="221" t="str" cm="1">
        <f t="array" ref="Z85">_xlfn.IFS(LEFT('Monthly Update'!DR85, 3) = "*((", "", 'Monthly Update'!DR85="", "", TRUE, 'Monthly Update'!DR85)</f>
        <v/>
      </c>
      <c r="AA85" s="221" t="str" cm="1">
        <f t="array" ref="AA85">_xlfn.IFS(LEFT('Monthly Update'!DS85, 3) = "*((", "", 'Monthly Update'!DS85="", "", TRUE, 'Monthly Update'!DS85)</f>
        <v/>
      </c>
      <c r="AB85" s="221" t="str" cm="1">
        <f t="array" ref="AB85">_xlfn.IFS(LEFT('Monthly Update'!DT85, 3) = "*((", "", 'Monthly Update'!DT85="", "", TRUE, 'Monthly Update'!DT85)</f>
        <v/>
      </c>
      <c r="AC85" s="221" t="str" cm="1">
        <f t="array" ref="AC85">_xlfn.IFS(LEFT('Monthly Update'!DU85, 3) = "*((", "", 'Monthly Update'!DU85="", "", TRUE, 'Monthly Update'!DU85)</f>
        <v/>
      </c>
      <c r="AD85" s="221" t="str" cm="1">
        <f t="array" ref="AD85">_xlfn.IFS(LEFT('Monthly Update'!DV85, 3) = "*((", "", 'Monthly Update'!DV85="", "", TRUE, 'Monthly Update'!DV85)</f>
        <v/>
      </c>
      <c r="AE85" s="221" t="str" cm="1">
        <f t="array" ref="AE85">_xlfn.IFS(LEFT('Monthly Update'!DW85, 3) = "*((", "", 'Monthly Update'!DW85="", "", TRUE, 'Monthly Update'!DW85)</f>
        <v/>
      </c>
      <c r="AF85" s="221" t="str" cm="1">
        <f t="array" ref="AF85">_xlfn.IFS(LEFT('Monthly Update'!DX85, 3) = "*((", "", 'Monthly Update'!DX85="", "", TRUE, 'Monthly Update'!DX85)</f>
        <v/>
      </c>
      <c r="AG85" s="221" t="str" cm="1">
        <f t="array" ref="AG85">_xlfn.IFS(LEFT('Monthly Update'!DY85, 3) = "*((", "", 'Monthly Update'!DY85="", "", TRUE, 'Monthly Update'!DY85)</f>
        <v/>
      </c>
      <c r="AH85" s="221" t="str" cm="1">
        <f t="array" ref="AH85">_xlfn.IFS(LEFT('Monthly Update'!DZ85, 3) = "*((", "", 'Monthly Update'!DZ85="", "", TRUE, 'Monthly Update'!DZ85)</f>
        <v/>
      </c>
      <c r="AI85" s="221" t="str" cm="1">
        <f t="array" ref="AI85">_xlfn.IFS(LEFT('Monthly Update'!EA85, 3) = "*((", "", 'Monthly Update'!EA85="", "", TRUE, 'Monthly Update'!EA85)</f>
        <v/>
      </c>
      <c r="AJ85" s="221" t="str" cm="1">
        <f t="array" ref="AJ85">_xlfn.IFS(LEFT('Monthly Update'!EB85, 3) = "*((", "", 'Monthly Update'!EB85="", "", TRUE, 'Monthly Update'!EB85)</f>
        <v/>
      </c>
      <c r="AK85" s="221" t="str" cm="1">
        <f t="array" ref="AK85">_xlfn.IFS(LEFT('Monthly Update'!EC85, 3) = "*((", "", 'Monthly Update'!EC85="", "", TRUE, 'Monthly Update'!EC85)</f>
        <v/>
      </c>
      <c r="AL85" s="221" t="str" cm="1">
        <f t="array" ref="AL85">_xlfn.IFS(LEFT('Monthly Update'!ED85, 3) = "*((", "", 'Monthly Update'!ED85="", "", TRUE, 'Monthly Update'!ED85)</f>
        <v/>
      </c>
      <c r="AM85" s="221" t="str" cm="1">
        <f t="array" ref="AM85">_xlfn.IFS(LEFT('Monthly Update'!EE85, 3) = "*((", "", 'Monthly Update'!EE85="", "", TRUE, 'Monthly Update'!EE85)</f>
        <v/>
      </c>
      <c r="AN85" s="221" t="str" cm="1">
        <f t="array" ref="AN85">_xlfn.IFS(LEFT('Monthly Update'!EF85, 3) = "*((", "", 'Monthly Update'!EF85="", "", TRUE, 'Monthly Update'!EF85)</f>
        <v/>
      </c>
      <c r="AO85" s="221" t="str" cm="1">
        <f t="array" ref="AO85">_xlfn.IFS(LEFT('Monthly Update'!EG85, 3) = "*((", "", 'Monthly Update'!EG85="", "", TRUE, 'Monthly Update'!EG85)</f>
        <v/>
      </c>
      <c r="AP85" s="221" t="str" cm="1">
        <f t="array" ref="AP85">_xlfn.IFS(LEFT('Monthly Update'!EH85, 3) = "*((", "", 'Monthly Update'!EH85="", "", TRUE, 'Monthly Update'!EH85)</f>
        <v/>
      </c>
      <c r="AQ85" s="221" t="str" cm="1">
        <f t="array" ref="AQ85">_xlfn.IFS(LEFT('Monthly Update'!EI85, 3) = "*((", "", 'Monthly Update'!EI85="", "", TRUE, 'Monthly Update'!EI85)</f>
        <v/>
      </c>
      <c r="AR85" s="221" t="str" cm="1">
        <f t="array" ref="AR85">_xlfn.IFS(LEFT('Monthly Update'!EJ85, 3) = "*((", "", 'Monthly Update'!EJ85="", "", TRUE, 'Monthly Update'!EJ85)</f>
        <v/>
      </c>
      <c r="AS85" s="221" t="str" cm="1">
        <f t="array" ref="AS85">_xlfn.IFS(LEFT('Monthly Update'!EK85, 3) = "*((", "", 'Monthly Update'!EK85="", "", TRUE, 'Monthly Update'!EK85)</f>
        <v/>
      </c>
      <c r="AT85" s="221" t="str" cm="1">
        <f t="array" ref="AT85">_xlfn.IFS(LEFT('Monthly Update'!EL85, 3) = "*((", "", 'Monthly Update'!EL85="", "", TRUE, 'Monthly Update'!EL85)</f>
        <v/>
      </c>
      <c r="AU85" s="221" t="str" cm="1">
        <f t="array" ref="AU85">_xlfn.IFS(LEFT('Monthly Update'!EM85, 3) = "*((", "", 'Monthly Update'!EM85="", "", TRUE, 'Monthly Update'!EM85)</f>
        <v/>
      </c>
      <c r="AV85" s="221" t="str" cm="1">
        <f t="array" ref="AV85">_xlfn.IFS(LEFT('Monthly Update'!EN85, 3) = "*((", "", 'Monthly Update'!EN85="", "", TRUE, 'Monthly Update'!EN85)</f>
        <v/>
      </c>
      <c r="AW85" s="221" t="str" cm="1">
        <f t="array" ref="AW85">_xlfn.IFS(LEFT('Monthly Update'!EO85, 3) = "*((", "", 'Monthly Update'!EO85="", "", TRUE, 'Monthly Update'!EO85)</f>
        <v/>
      </c>
      <c r="NU85" s="252"/>
      <c r="NV85" s="252"/>
      <c r="NW85" s="252"/>
      <c r="NX85" s="252"/>
      <c r="NY85" s="252"/>
      <c r="NZ85" s="252"/>
      <c r="OA85" s="252"/>
      <c r="OB85" s="252"/>
      <c r="OC85" s="252"/>
      <c r="OD85" s="252"/>
      <c r="OE85" s="252"/>
      <c r="OF85" s="252"/>
      <c r="OG85" s="252"/>
      <c r="OH85" s="252"/>
      <c r="OI85" s="252"/>
      <c r="OJ85" s="252"/>
      <c r="OK85" s="252"/>
      <c r="OL85" s="252"/>
      <c r="OM85" s="252"/>
      <c r="ON85" s="252"/>
      <c r="OO85" s="252"/>
      <c r="OP85" s="252"/>
      <c r="OQ85" s="252"/>
      <c r="OR85" s="252"/>
      <c r="OS85" s="252"/>
      <c r="OT85" s="252"/>
      <c r="OU85" s="252"/>
      <c r="OV85" s="252"/>
      <c r="OW85" s="252"/>
      <c r="OX85" s="252"/>
      <c r="OY85" s="252"/>
      <c r="OZ85" s="252"/>
      <c r="PA85" s="252"/>
      <c r="PB85" s="252"/>
      <c r="PC85" s="252"/>
      <c r="PD85" s="252"/>
      <c r="PE85" s="252"/>
      <c r="PF85" s="252"/>
      <c r="PG85" s="252"/>
      <c r="PH85" s="252"/>
      <c r="PI85" s="252"/>
      <c r="PJ85" s="252"/>
      <c r="PK85" s="252"/>
      <c r="PL85" s="252"/>
      <c r="PM85" s="252"/>
      <c r="PN85" s="252"/>
      <c r="PO85" s="252"/>
      <c r="PP85" s="252"/>
      <c r="PQ85" s="252"/>
      <c r="PR85" s="252"/>
      <c r="PS85" s="252"/>
      <c r="PT85" s="252"/>
      <c r="PU85" s="252"/>
      <c r="PV85" s="252"/>
      <c r="PW85" s="252"/>
      <c r="PX85" s="252"/>
      <c r="PY85" s="252"/>
      <c r="PZ85" s="252"/>
      <c r="QA85" s="252"/>
      <c r="QB85" s="252"/>
      <c r="QC85" s="252"/>
      <c r="QD85" s="252"/>
      <c r="QE85" s="252"/>
      <c r="QF85" s="252"/>
      <c r="QG85" s="252"/>
      <c r="QH85" s="252"/>
      <c r="QI85" s="252"/>
      <c r="QJ85" s="252"/>
      <c r="QK85" s="252"/>
      <c r="QL85" s="252"/>
      <c r="QM85" s="252"/>
      <c r="QN85" s="252"/>
      <c r="QO85" s="252"/>
      <c r="QP85" s="252"/>
      <c r="QQ85" s="252"/>
      <c r="QR85" s="252"/>
      <c r="QS85" s="252"/>
      <c r="QT85" s="252"/>
      <c r="QU85" s="252"/>
      <c r="QV85" s="252"/>
      <c r="QW85" s="252"/>
      <c r="QX85" s="252"/>
      <c r="QY85" s="252"/>
      <c r="QZ85" s="252"/>
      <c r="RA85" s="252"/>
      <c r="RB85" s="252"/>
      <c r="RC85" s="252"/>
      <c r="RD85" s="252"/>
      <c r="RE85" s="252"/>
      <c r="RF85" s="252"/>
      <c r="RG85" s="252"/>
      <c r="RH85" s="252"/>
      <c r="RI85" s="252"/>
      <c r="RJ85" s="252"/>
      <c r="RK85" s="252"/>
      <c r="RL85" s="252"/>
      <c r="RM85" s="252"/>
      <c r="RN85" s="252"/>
      <c r="RO85" s="252"/>
      <c r="RP85" s="252"/>
      <c r="RQ85" s="252"/>
      <c r="RR85" s="252"/>
      <c r="RS85" s="252"/>
      <c r="RT85" s="252"/>
      <c r="RU85" s="252"/>
      <c r="RV85" s="252"/>
      <c r="RW85" s="252"/>
      <c r="RX85" s="252"/>
      <c r="RY85" s="252"/>
      <c r="RZ85" s="252"/>
      <c r="SA85" s="252"/>
      <c r="SB85" s="252"/>
      <c r="SC85" s="252"/>
      <c r="SD85" s="252"/>
      <c r="SE85" s="252"/>
      <c r="SF85" s="252"/>
      <c r="SG85" s="252"/>
      <c r="SH85" s="252"/>
      <c r="SI85" s="252"/>
      <c r="SJ85" s="252"/>
      <c r="SK85" s="252"/>
      <c r="SL85" s="252"/>
      <c r="SM85" s="252"/>
      <c r="SN85" s="252"/>
    </row>
    <row r="86" spans="1:508" s="282" customFormat="1" ht="15.6" customHeight="1" x14ac:dyDescent="0.55000000000000004">
      <c r="A86" s="222">
        <v>1</v>
      </c>
      <c r="B86" s="222">
        <v>1</v>
      </c>
      <c r="C86" s="221" cm="1">
        <f t="array" ref="C86">_xlfn.IFS(LEFT('Monthly Update'!CU86, 3) = "*((", "", 'Monthly Update'!CU86="", "", TRUE, 'Monthly Update'!CU86)</f>
        <v>1</v>
      </c>
      <c r="D86" s="221" cm="1">
        <f t="array" ref="D86">_xlfn.IFS(LEFT('Monthly Update'!CV86, 3) = "*((", "", 'Monthly Update'!CV86="", "", TRUE, 'Monthly Update'!CV86)</f>
        <v>1</v>
      </c>
      <c r="E86" s="221" cm="1">
        <f t="array" ref="E86">_xlfn.IFS(LEFT('Monthly Update'!CW86, 3) = "*((", "", 'Monthly Update'!CW86="", "", TRUE, 'Monthly Update'!CW86)</f>
        <v>1</v>
      </c>
      <c r="F86" s="221" cm="1">
        <f t="array" ref="F86">_xlfn.IFS(LEFT('Monthly Update'!CX86, 3) = "*((", "", 'Monthly Update'!CX86="", "", TRUE, 'Monthly Update'!CX86)</f>
        <v>1</v>
      </c>
      <c r="G86" s="221" cm="1">
        <f t="array" ref="G86">_xlfn.IFS(LEFT('Monthly Update'!CY86, 3) = "*((", "", 'Monthly Update'!CY86="", "", TRUE, 'Monthly Update'!CY86)</f>
        <v>1</v>
      </c>
      <c r="H86" s="221" cm="1">
        <f t="array" ref="H86">_xlfn.IFS(LEFT('Monthly Update'!CZ86, 3) = "*((", "", 'Monthly Update'!CZ86="", "", TRUE, 'Monthly Update'!CZ86)</f>
        <v>1</v>
      </c>
      <c r="I86" s="221" t="str" cm="1">
        <f t="array" ref="I86">_xlfn.IFS(LEFT('Monthly Update'!DA86, 3) = "*((", "", 'Monthly Update'!DA86="", "", TRUE, 'Monthly Update'!DA86)</f>
        <v/>
      </c>
      <c r="J86" s="221" cm="1">
        <f t="array" ref="J86">_xlfn.IFS(LEFT('Monthly Update'!DB86, 3) = "*((", "", 'Monthly Update'!DB86="", "", TRUE, 'Monthly Update'!DB86)</f>
        <v>1</v>
      </c>
      <c r="K86" s="221" cm="1">
        <f t="array" ref="K86">_xlfn.IFS(LEFT('Monthly Update'!DC86, 3) = "*((", "", 'Monthly Update'!DC86="", "", TRUE, 'Monthly Update'!DC86)</f>
        <v>1</v>
      </c>
      <c r="L86" s="221" cm="1">
        <f t="array" ref="L86">_xlfn.IFS(LEFT('Monthly Update'!DD86, 3) = "*((", "", 'Monthly Update'!DD86="", "", TRUE, 'Monthly Update'!DD86)</f>
        <v>1</v>
      </c>
      <c r="M86" s="221" t="str" cm="1">
        <f t="array" ref="M86">_xlfn.IFS(LEFT('Monthly Update'!DE86, 3) = "*((", "", 'Monthly Update'!DE86="", "", TRUE, 'Monthly Update'!DE86)</f>
        <v/>
      </c>
      <c r="N86" s="221" cm="1">
        <f t="array" ref="N86">_xlfn.IFS(LEFT('Monthly Update'!DF86, 3) = "*((", "", 'Monthly Update'!DF86="", "", TRUE, 'Monthly Update'!DF86)</f>
        <v>1</v>
      </c>
      <c r="O86" s="221" cm="1">
        <f t="array" ref="O86">_xlfn.IFS(LEFT('Monthly Update'!DG86, 3) = "*((", "", 'Monthly Update'!DG86="", "", TRUE, 'Monthly Update'!DG86)</f>
        <v>1</v>
      </c>
      <c r="P86" s="221" cm="1">
        <f t="array" ref="P86">_xlfn.IFS(LEFT('Monthly Update'!DH86, 3) = "*((", "", 'Monthly Update'!DH86="", "", TRUE, 'Monthly Update'!DH86)</f>
        <v>1</v>
      </c>
      <c r="Q86" s="221" cm="1">
        <f t="array" ref="Q86">_xlfn.IFS(LEFT('Monthly Update'!DI86, 3) = "*((", "", 'Monthly Update'!DI86="", "", TRUE, 'Monthly Update'!DI86)</f>
        <v>1</v>
      </c>
      <c r="R86" s="221" t="str" cm="1">
        <f t="array" ref="R86">_xlfn.IFS(LEFT('Monthly Update'!DJ86, 3) = "*((", "", 'Monthly Update'!DJ86="", "", TRUE, 'Monthly Update'!DJ86)</f>
        <v/>
      </c>
      <c r="S86" s="221" cm="1">
        <f t="array" ref="S86">_xlfn.IFS(LEFT('Monthly Update'!DK86, 3) = "*((", "", 'Monthly Update'!DK86="", "", TRUE, 'Monthly Update'!DK86)</f>
        <v>1</v>
      </c>
      <c r="T86" s="221" cm="1">
        <f t="array" ref="T86">_xlfn.IFS(LEFT('Monthly Update'!DL86, 3) = "*((", "", 'Monthly Update'!DL86="", "", TRUE, 'Monthly Update'!DL86)</f>
        <v>1</v>
      </c>
      <c r="U86" s="221" cm="1">
        <f t="array" ref="U86">_xlfn.IFS(LEFT('Monthly Update'!DM86, 3) = "*((", "", 'Monthly Update'!DM86="", "", TRUE, 'Monthly Update'!DM86)</f>
        <v>1</v>
      </c>
      <c r="V86" s="221" t="str" cm="1">
        <f t="array" ref="V86">_xlfn.IFS(LEFT('Monthly Update'!DN86, 3) = "*((", "", 'Monthly Update'!DN86="", "", TRUE, 'Monthly Update'!DN86)</f>
        <v/>
      </c>
      <c r="W86" s="221" cm="1">
        <f t="array" ref="W86">_xlfn.IFS(LEFT('Monthly Update'!DO86, 3) = "*((", "", 'Monthly Update'!DO86="", "", TRUE, 'Monthly Update'!DO86)</f>
        <v>1</v>
      </c>
      <c r="X86" s="221" cm="1">
        <f t="array" ref="X86">_xlfn.IFS(LEFT('Monthly Update'!DP86, 3) = "*((", "", 'Monthly Update'!DP86="", "", TRUE, 'Monthly Update'!DP86)</f>
        <v>1</v>
      </c>
      <c r="Y86" s="221" cm="1">
        <f t="array" ref="Y86">_xlfn.IFS(LEFT('Monthly Update'!DQ86, 3) = "*((", "", 'Monthly Update'!DQ86="", "", TRUE, 'Monthly Update'!DQ86)</f>
        <v>1</v>
      </c>
      <c r="Z86" s="221" cm="1">
        <f t="array" ref="Z86">_xlfn.IFS(LEFT('Monthly Update'!DR86, 3) = "*((", "", 'Monthly Update'!DR86="", "", TRUE, 'Monthly Update'!DR86)</f>
        <v>1</v>
      </c>
      <c r="AA86" s="221" cm="1">
        <f t="array" ref="AA86">_xlfn.IFS(LEFT('Monthly Update'!DS86, 3) = "*((", "", 'Monthly Update'!DS86="", "", TRUE, 'Monthly Update'!DS86)</f>
        <v>1</v>
      </c>
      <c r="AB86" s="221" cm="1">
        <f t="array" ref="AB86">_xlfn.IFS(LEFT('Monthly Update'!DT86, 3) = "*((", "", 'Monthly Update'!DT86="", "", TRUE, 'Monthly Update'!DT86)</f>
        <v>1</v>
      </c>
      <c r="AC86" s="221" cm="1">
        <f t="array" ref="AC86">_xlfn.IFS(LEFT('Monthly Update'!DU86, 3) = "*((", "", 'Monthly Update'!DU86="", "", TRUE, 'Monthly Update'!DU86)</f>
        <v>1</v>
      </c>
      <c r="AD86" s="221" cm="1">
        <f t="array" ref="AD86">_xlfn.IFS(LEFT('Monthly Update'!DV86, 3) = "*((", "", 'Monthly Update'!DV86="", "", TRUE, 'Monthly Update'!DV86)</f>
        <v>1</v>
      </c>
      <c r="AE86" s="221" cm="1">
        <f t="array" ref="AE86">_xlfn.IFS(LEFT('Monthly Update'!DW86, 3) = "*((", "", 'Monthly Update'!DW86="", "", TRUE, 'Monthly Update'!DW86)</f>
        <v>1</v>
      </c>
      <c r="AF86" s="221" t="str" cm="1">
        <f t="array" ref="AF86">_xlfn.IFS(LEFT('Monthly Update'!DX86, 3) = "*((", "", 'Monthly Update'!DX86="", "", TRUE, 'Monthly Update'!DX86)</f>
        <v/>
      </c>
      <c r="AG86" s="221" cm="1">
        <f t="array" ref="AG86">_xlfn.IFS(LEFT('Monthly Update'!DY86, 3) = "*((", "", 'Monthly Update'!DY86="", "", TRUE, 'Monthly Update'!DY86)</f>
        <v>1</v>
      </c>
      <c r="AH86" s="221" t="str" cm="1">
        <f t="array" ref="AH86">_xlfn.IFS(LEFT('Monthly Update'!DZ86, 3) = "*((", "", 'Monthly Update'!DZ86="", "", TRUE, 'Monthly Update'!DZ86)</f>
        <v/>
      </c>
      <c r="AI86" s="221" cm="1">
        <f t="array" ref="AI86">_xlfn.IFS(LEFT('Monthly Update'!EA86, 3) = "*((", "", 'Monthly Update'!EA86="", "", TRUE, 'Monthly Update'!EA86)</f>
        <v>1</v>
      </c>
      <c r="AJ86" s="221" t="str" cm="1">
        <f t="array" ref="AJ86">_xlfn.IFS(LEFT('Monthly Update'!EB86, 3) = "*((", "", 'Monthly Update'!EB86="", "", TRUE, 'Monthly Update'!EB86)</f>
        <v/>
      </c>
      <c r="AK86" s="221" cm="1">
        <f t="array" ref="AK86">_xlfn.IFS(LEFT('Monthly Update'!EC86, 3) = "*((", "", 'Monthly Update'!EC86="", "", TRUE, 'Monthly Update'!EC86)</f>
        <v>1</v>
      </c>
      <c r="AL86" s="221" t="str" cm="1">
        <f t="array" ref="AL86">_xlfn.IFS(LEFT('Monthly Update'!ED86, 3) = "*((", "", 'Monthly Update'!ED86="", "", TRUE, 'Monthly Update'!ED86)</f>
        <v/>
      </c>
      <c r="AM86" s="221" cm="1">
        <f t="array" ref="AM86">_xlfn.IFS(LEFT('Monthly Update'!EE86, 3) = "*((", "", 'Monthly Update'!EE86="", "", TRUE, 'Monthly Update'!EE86)</f>
        <v>1</v>
      </c>
      <c r="AN86" s="221" cm="1">
        <f t="array" ref="AN86">_xlfn.IFS(LEFT('Monthly Update'!EF86, 3) = "*((", "", 'Monthly Update'!EF86="", "", TRUE, 'Monthly Update'!EF86)</f>
        <v>1</v>
      </c>
      <c r="AO86" s="221" cm="1">
        <f t="array" ref="AO86">_xlfn.IFS(LEFT('Monthly Update'!EG86, 3) = "*((", "", 'Monthly Update'!EG86="", "", TRUE, 'Monthly Update'!EG86)</f>
        <v>1</v>
      </c>
      <c r="AP86" s="221" cm="1">
        <f t="array" ref="AP86">_xlfn.IFS(LEFT('Monthly Update'!EH86, 3) = "*((", "", 'Monthly Update'!EH86="", "", TRUE, 'Monthly Update'!EH86)</f>
        <v>1</v>
      </c>
      <c r="AQ86" s="221" cm="1">
        <f t="array" ref="AQ86">_xlfn.IFS(LEFT('Monthly Update'!EI86, 3) = "*((", "", 'Monthly Update'!EI86="", "", TRUE, 'Monthly Update'!EI86)</f>
        <v>1</v>
      </c>
      <c r="AR86" s="221" cm="1">
        <f t="array" ref="AR86">_xlfn.IFS(LEFT('Monthly Update'!EJ86, 3) = "*((", "", 'Monthly Update'!EJ86="", "", TRUE, 'Monthly Update'!EJ86)</f>
        <v>1</v>
      </c>
      <c r="AS86" s="221" cm="1">
        <f t="array" ref="AS86">_xlfn.IFS(LEFT('Monthly Update'!EK86, 3) = "*((", "", 'Monthly Update'!EK86="", "", TRUE, 'Monthly Update'!EK86)</f>
        <v>1</v>
      </c>
      <c r="AT86" s="221" cm="1">
        <f t="array" ref="AT86">_xlfn.IFS(LEFT('Monthly Update'!EL86, 3) = "*((", "", 'Monthly Update'!EL86="", "", TRUE, 'Monthly Update'!EL86)</f>
        <v>1</v>
      </c>
      <c r="AU86" s="221" cm="1">
        <f t="array" ref="AU86">_xlfn.IFS(LEFT('Monthly Update'!EM86, 3) = "*((", "", 'Monthly Update'!EM86="", "", TRUE, 'Monthly Update'!EM86)</f>
        <v>1</v>
      </c>
      <c r="AV86" s="221" cm="1">
        <f t="array" ref="AV86">_xlfn.IFS(LEFT('Monthly Update'!EN86, 3) = "*((", "", 'Monthly Update'!EN86="", "", TRUE, 'Monthly Update'!EN86)</f>
        <v>1</v>
      </c>
      <c r="AW86" s="221" cm="1">
        <f t="array" ref="AW86">_xlfn.IFS(LEFT('Monthly Update'!EO86, 3) = "*((", "", 'Monthly Update'!EO86="", "", TRUE, 'Monthly Update'!EO86)</f>
        <v>1</v>
      </c>
      <c r="AX86" s="281">
        <v>1</v>
      </c>
      <c r="AY86" s="281">
        <v>1</v>
      </c>
      <c r="AZ86" s="281">
        <v>1</v>
      </c>
      <c r="BA86" s="281">
        <v>1</v>
      </c>
      <c r="BB86" s="281">
        <v>1</v>
      </c>
      <c r="BC86" s="281">
        <v>1</v>
      </c>
      <c r="BD86" s="281">
        <v>1</v>
      </c>
      <c r="BE86" s="281">
        <v>1</v>
      </c>
      <c r="BF86" s="281">
        <v>1</v>
      </c>
      <c r="BG86" s="281">
        <v>1</v>
      </c>
      <c r="BH86" s="281">
        <v>1</v>
      </c>
      <c r="BI86" s="281">
        <v>1</v>
      </c>
      <c r="BJ86" s="281">
        <v>1</v>
      </c>
      <c r="BK86" s="281">
        <v>1</v>
      </c>
      <c r="BL86" s="281">
        <v>1</v>
      </c>
      <c r="BM86" s="281">
        <v>1</v>
      </c>
      <c r="BN86" s="281">
        <v>1</v>
      </c>
      <c r="BO86" s="281">
        <v>1</v>
      </c>
      <c r="BP86" s="281">
        <v>1</v>
      </c>
      <c r="BQ86" s="281">
        <v>1</v>
      </c>
      <c r="BR86" s="281">
        <v>1</v>
      </c>
      <c r="BS86" s="281">
        <v>1</v>
      </c>
      <c r="BT86" s="281">
        <v>1</v>
      </c>
      <c r="BU86" s="281">
        <v>1</v>
      </c>
      <c r="BV86" s="281">
        <v>1</v>
      </c>
      <c r="BW86" s="281">
        <v>1</v>
      </c>
      <c r="BX86" s="281">
        <v>1</v>
      </c>
      <c r="BY86" s="281">
        <v>1</v>
      </c>
      <c r="BZ86" s="281">
        <v>1</v>
      </c>
      <c r="CA86" s="281">
        <v>1</v>
      </c>
      <c r="CB86" s="281">
        <v>1</v>
      </c>
      <c r="CC86" s="281">
        <v>1</v>
      </c>
      <c r="CD86" s="281">
        <v>1</v>
      </c>
      <c r="CE86" s="281">
        <v>1</v>
      </c>
      <c r="CF86" s="281">
        <v>1</v>
      </c>
      <c r="CG86" s="281">
        <v>1</v>
      </c>
      <c r="CH86" s="281">
        <v>1</v>
      </c>
      <c r="CI86" s="281">
        <v>1</v>
      </c>
      <c r="CJ86" s="281">
        <v>1</v>
      </c>
      <c r="CK86" s="281">
        <v>1</v>
      </c>
      <c r="CL86" s="281">
        <v>1</v>
      </c>
      <c r="CM86" s="281">
        <v>1</v>
      </c>
      <c r="CN86" s="281">
        <v>1</v>
      </c>
    </row>
    <row r="87" spans="1:508" s="243" customFormat="1" ht="15.6" customHeight="1" x14ac:dyDescent="0.55000000000000004">
      <c r="A87" s="220"/>
      <c r="B87" s="283"/>
      <c r="C87" s="283"/>
      <c r="D87" s="283"/>
      <c r="E87" s="283"/>
      <c r="F87" s="283"/>
      <c r="G87" s="284"/>
      <c r="H87" s="285"/>
      <c r="I87" s="284"/>
      <c r="J87" s="286"/>
      <c r="K87" s="283"/>
      <c r="L87" s="283"/>
      <c r="M87" s="284"/>
      <c r="N87" s="283"/>
      <c r="O87" s="284"/>
      <c r="P87" s="285"/>
      <c r="Q87" s="283"/>
      <c r="R87" s="283"/>
      <c r="S87" s="283"/>
      <c r="T87" s="283"/>
      <c r="U87" s="284"/>
      <c r="V87" s="287"/>
      <c r="W87" s="286"/>
      <c r="X87" s="283"/>
      <c r="Y87" s="283"/>
      <c r="Z87" s="283"/>
      <c r="AA87" s="283"/>
      <c r="AB87" s="283"/>
      <c r="AC87" s="283"/>
      <c r="AD87" s="288"/>
      <c r="AE87" s="283"/>
      <c r="AF87" s="283"/>
      <c r="AG87" s="283"/>
      <c r="AH87" s="284"/>
      <c r="AI87" s="285"/>
      <c r="AJ87" s="283"/>
      <c r="AK87" s="283"/>
      <c r="AL87" s="283"/>
      <c r="AM87" s="284"/>
      <c r="AN87" s="285"/>
      <c r="AO87" s="283"/>
      <c r="AP87" s="283"/>
      <c r="AQ87" s="283"/>
      <c r="AR87" s="284"/>
      <c r="AS87" s="285"/>
      <c r="AT87" s="283"/>
      <c r="AU87" s="283"/>
      <c r="AV87" s="283"/>
      <c r="AW87" s="283"/>
      <c r="NU87" s="252"/>
      <c r="NV87" s="252"/>
      <c r="NW87" s="252"/>
      <c r="NX87" s="252"/>
      <c r="NY87" s="252"/>
      <c r="NZ87" s="252"/>
      <c r="OA87" s="252"/>
      <c r="OB87" s="252"/>
      <c r="OC87" s="252"/>
      <c r="OD87" s="252"/>
      <c r="OE87" s="252"/>
      <c r="OF87" s="252"/>
      <c r="OG87" s="252"/>
      <c r="OH87" s="252"/>
      <c r="OI87" s="252"/>
      <c r="OJ87" s="252"/>
      <c r="OK87" s="252"/>
      <c r="OL87" s="252"/>
      <c r="OM87" s="252"/>
      <c r="ON87" s="252"/>
      <c r="OO87" s="252"/>
      <c r="OP87" s="252"/>
      <c r="OQ87" s="252"/>
      <c r="OR87" s="252"/>
      <c r="OS87" s="252"/>
      <c r="OT87" s="252"/>
      <c r="OU87" s="252"/>
      <c r="OV87" s="252"/>
      <c r="OW87" s="252"/>
      <c r="OX87" s="252"/>
      <c r="OY87" s="252"/>
      <c r="OZ87" s="252"/>
      <c r="PA87" s="252"/>
      <c r="PB87" s="252"/>
      <c r="PC87" s="252"/>
      <c r="PD87" s="252"/>
      <c r="PE87" s="252"/>
      <c r="PF87" s="252"/>
      <c r="PG87" s="252"/>
      <c r="PH87" s="252"/>
      <c r="PI87" s="252"/>
      <c r="PJ87" s="252"/>
      <c r="PK87" s="252"/>
      <c r="PL87" s="252"/>
      <c r="PM87" s="252"/>
      <c r="PN87" s="252"/>
      <c r="PO87" s="252"/>
      <c r="PP87" s="252"/>
      <c r="PQ87" s="252"/>
      <c r="PR87" s="252"/>
      <c r="PS87" s="252"/>
      <c r="PT87" s="252"/>
      <c r="PU87" s="252"/>
      <c r="PV87" s="252"/>
      <c r="PW87" s="252"/>
      <c r="PX87" s="252"/>
      <c r="PY87" s="252"/>
      <c r="PZ87" s="252"/>
      <c r="QA87" s="252"/>
      <c r="QB87" s="252"/>
      <c r="QC87" s="252"/>
      <c r="QD87" s="252"/>
      <c r="QE87" s="252"/>
      <c r="QF87" s="252"/>
      <c r="QG87" s="252"/>
      <c r="QH87" s="252"/>
      <c r="QI87" s="252"/>
      <c r="QJ87" s="252"/>
      <c r="QK87" s="252"/>
      <c r="QL87" s="252"/>
      <c r="QM87" s="252"/>
      <c r="QN87" s="252"/>
      <c r="QO87" s="252"/>
      <c r="QP87" s="252"/>
      <c r="QQ87" s="252"/>
      <c r="QR87" s="252"/>
      <c r="QS87" s="252"/>
      <c r="QT87" s="252"/>
      <c r="QU87" s="252"/>
      <c r="QV87" s="252"/>
      <c r="QW87" s="252"/>
      <c r="QX87" s="252"/>
      <c r="QY87" s="252"/>
      <c r="QZ87" s="252"/>
      <c r="RA87" s="252"/>
      <c r="RB87" s="252"/>
      <c r="RC87" s="252"/>
      <c r="RD87" s="252"/>
      <c r="RE87" s="252"/>
      <c r="RF87" s="252"/>
      <c r="RG87" s="252"/>
      <c r="RH87" s="252"/>
      <c r="RI87" s="252"/>
      <c r="RJ87" s="252"/>
      <c r="RK87" s="252"/>
      <c r="RL87" s="252"/>
      <c r="RM87" s="252"/>
      <c r="RN87" s="252"/>
      <c r="RO87" s="252"/>
      <c r="RP87" s="252"/>
      <c r="RQ87" s="252"/>
      <c r="RR87" s="252"/>
      <c r="RS87" s="252"/>
      <c r="RT87" s="252"/>
      <c r="RU87" s="252"/>
      <c r="RV87" s="252"/>
      <c r="RW87" s="252"/>
      <c r="RX87" s="252"/>
      <c r="RY87" s="252"/>
      <c r="RZ87" s="252"/>
      <c r="SA87" s="252"/>
      <c r="SB87" s="252"/>
      <c r="SC87" s="252"/>
      <c r="SD87" s="252"/>
      <c r="SE87" s="252"/>
      <c r="SF87" s="252"/>
      <c r="SG87" s="252"/>
      <c r="SH87" s="252"/>
      <c r="SI87" s="252"/>
      <c r="SJ87" s="252"/>
      <c r="SK87" s="252"/>
      <c r="SL87" s="252"/>
      <c r="SM87" s="252"/>
      <c r="SN87" s="252"/>
    </row>
    <row r="88" spans="1:508" s="243" customFormat="1" ht="15.6" customHeight="1" x14ac:dyDescent="0.55000000000000004">
      <c r="A88" s="220"/>
      <c r="B88" s="283"/>
      <c r="C88" s="283"/>
      <c r="D88" s="283"/>
      <c r="E88" s="283"/>
      <c r="F88" s="283"/>
      <c r="G88" s="284"/>
      <c r="H88" s="285"/>
      <c r="I88" s="284"/>
      <c r="J88" s="286"/>
      <c r="K88" s="283"/>
      <c r="L88" s="283"/>
      <c r="M88" s="284"/>
      <c r="N88" s="283"/>
      <c r="O88" s="284"/>
      <c r="P88" s="285"/>
      <c r="Q88" s="283"/>
      <c r="R88" s="283"/>
      <c r="S88" s="283"/>
      <c r="T88" s="283"/>
      <c r="U88" s="284"/>
      <c r="V88" s="287"/>
      <c r="W88" s="286"/>
      <c r="X88" s="283"/>
      <c r="Y88" s="283"/>
      <c r="Z88" s="283"/>
      <c r="AA88" s="283"/>
      <c r="AB88" s="283"/>
      <c r="AC88" s="283"/>
      <c r="AD88" s="288"/>
      <c r="AE88" s="283"/>
      <c r="AF88" s="283"/>
      <c r="AG88" s="283"/>
      <c r="AH88" s="284"/>
      <c r="AI88" s="285"/>
      <c r="AJ88" s="283"/>
      <c r="AK88" s="283"/>
      <c r="AL88" s="283"/>
      <c r="AM88" s="284"/>
      <c r="AN88" s="285"/>
      <c r="AO88" s="283"/>
      <c r="AP88" s="283"/>
      <c r="AQ88" s="283"/>
      <c r="AR88" s="284"/>
      <c r="AS88" s="285"/>
      <c r="AT88" s="283"/>
      <c r="AU88" s="283"/>
      <c r="AV88" s="283"/>
      <c r="AW88" s="283"/>
      <c r="NU88" s="252"/>
      <c r="NV88" s="252"/>
      <c r="NW88" s="252"/>
      <c r="NX88" s="252"/>
      <c r="NY88" s="252"/>
      <c r="NZ88" s="252"/>
      <c r="OA88" s="252"/>
      <c r="OB88" s="252"/>
      <c r="OC88" s="252"/>
      <c r="OD88" s="252"/>
      <c r="OE88" s="252"/>
      <c r="OF88" s="252"/>
      <c r="OG88" s="252"/>
      <c r="OH88" s="252"/>
      <c r="OI88" s="252"/>
      <c r="OJ88" s="252"/>
      <c r="OK88" s="252"/>
      <c r="OL88" s="252"/>
      <c r="OM88" s="252"/>
      <c r="ON88" s="252"/>
      <c r="OO88" s="252"/>
      <c r="OP88" s="252"/>
      <c r="OQ88" s="252"/>
      <c r="OR88" s="252"/>
      <c r="OS88" s="252"/>
      <c r="OT88" s="252"/>
      <c r="OU88" s="252"/>
      <c r="OV88" s="252"/>
      <c r="OW88" s="252"/>
      <c r="OX88" s="252"/>
      <c r="OY88" s="252"/>
      <c r="OZ88" s="252"/>
      <c r="PA88" s="252"/>
      <c r="PB88" s="252"/>
      <c r="PC88" s="252"/>
      <c r="PD88" s="252"/>
      <c r="PE88" s="252"/>
      <c r="PF88" s="252"/>
      <c r="PG88" s="252"/>
      <c r="PH88" s="252"/>
      <c r="PI88" s="252"/>
      <c r="PJ88" s="252"/>
      <c r="PK88" s="252"/>
      <c r="PL88" s="252"/>
      <c r="PM88" s="252"/>
      <c r="PN88" s="252"/>
      <c r="PO88" s="252"/>
      <c r="PP88" s="252"/>
      <c r="PQ88" s="252"/>
      <c r="PR88" s="252"/>
      <c r="PS88" s="252"/>
      <c r="PT88" s="252"/>
      <c r="PU88" s="252"/>
      <c r="PV88" s="252"/>
      <c r="PW88" s="252"/>
      <c r="PX88" s="252"/>
      <c r="PY88" s="252"/>
      <c r="PZ88" s="252"/>
      <c r="QA88" s="252"/>
      <c r="QB88" s="252"/>
      <c r="QC88" s="252"/>
      <c r="QD88" s="252"/>
      <c r="QE88" s="252"/>
      <c r="QF88" s="252"/>
      <c r="QG88" s="252"/>
      <c r="QH88" s="252"/>
      <c r="QI88" s="252"/>
      <c r="QJ88" s="252"/>
      <c r="QK88" s="252"/>
      <c r="QL88" s="252"/>
      <c r="QM88" s="252"/>
      <c r="QN88" s="252"/>
      <c r="QO88" s="252"/>
      <c r="QP88" s="252"/>
      <c r="QQ88" s="252"/>
      <c r="QR88" s="252"/>
      <c r="QS88" s="252"/>
      <c r="QT88" s="252"/>
      <c r="QU88" s="252"/>
      <c r="QV88" s="252"/>
      <c r="QW88" s="252"/>
      <c r="QX88" s="252"/>
      <c r="QY88" s="252"/>
      <c r="QZ88" s="252"/>
      <c r="RA88" s="252"/>
      <c r="RB88" s="252"/>
      <c r="RC88" s="252"/>
      <c r="RD88" s="252"/>
      <c r="RE88" s="252"/>
      <c r="RF88" s="252"/>
      <c r="RG88" s="252"/>
      <c r="RH88" s="252"/>
      <c r="RI88" s="252"/>
      <c r="RJ88" s="252"/>
      <c r="RK88" s="252"/>
      <c r="RL88" s="252"/>
      <c r="RM88" s="252"/>
      <c r="RN88" s="252"/>
      <c r="RO88" s="252"/>
      <c r="RP88" s="252"/>
      <c r="RQ88" s="252"/>
      <c r="RR88" s="252"/>
      <c r="RS88" s="252"/>
      <c r="RT88" s="252"/>
      <c r="RU88" s="252"/>
      <c r="RV88" s="252"/>
      <c r="RW88" s="252"/>
      <c r="RX88" s="252"/>
      <c r="RY88" s="252"/>
      <c r="RZ88" s="252"/>
      <c r="SA88" s="252"/>
      <c r="SB88" s="252"/>
      <c r="SC88" s="252"/>
      <c r="SD88" s="252"/>
      <c r="SE88" s="252"/>
      <c r="SF88" s="252"/>
      <c r="SG88" s="252"/>
      <c r="SH88" s="252"/>
      <c r="SI88" s="252"/>
      <c r="SJ88" s="252"/>
      <c r="SK88" s="252"/>
      <c r="SL88" s="252"/>
      <c r="SM88" s="252"/>
      <c r="SN88" s="252"/>
    </row>
    <row r="89" spans="1:508" s="243" customFormat="1" ht="15.6" customHeight="1" x14ac:dyDescent="0.55000000000000004">
      <c r="A89" s="220"/>
      <c r="B89" s="283"/>
      <c r="C89" s="283"/>
      <c r="D89" s="283"/>
      <c r="E89" s="283"/>
      <c r="F89" s="283"/>
      <c r="G89" s="284"/>
      <c r="H89" s="285"/>
      <c r="I89" s="284"/>
      <c r="J89" s="286"/>
      <c r="K89" s="283"/>
      <c r="L89" s="283"/>
      <c r="M89" s="284"/>
      <c r="N89" s="283"/>
      <c r="O89" s="284"/>
      <c r="P89" s="285"/>
      <c r="Q89" s="283"/>
      <c r="R89" s="283"/>
      <c r="S89" s="283"/>
      <c r="T89" s="283"/>
      <c r="U89" s="284"/>
      <c r="V89" s="287"/>
      <c r="W89" s="286"/>
      <c r="X89" s="283"/>
      <c r="Y89" s="283"/>
      <c r="Z89" s="283"/>
      <c r="AA89" s="283"/>
      <c r="AB89" s="283"/>
      <c r="AC89" s="283"/>
      <c r="AD89" s="288"/>
      <c r="AE89" s="283"/>
      <c r="AF89" s="283"/>
      <c r="AG89" s="283"/>
      <c r="AH89" s="284"/>
      <c r="AI89" s="285"/>
      <c r="AJ89" s="283"/>
      <c r="AK89" s="283"/>
      <c r="AL89" s="283"/>
      <c r="AM89" s="284"/>
      <c r="AN89" s="285"/>
      <c r="AO89" s="283"/>
      <c r="AP89" s="283"/>
      <c r="AQ89" s="283"/>
      <c r="AR89" s="284"/>
      <c r="AS89" s="285"/>
      <c r="AT89" s="283"/>
      <c r="AU89" s="283"/>
      <c r="AV89" s="283"/>
      <c r="AW89" s="283"/>
      <c r="NU89" s="252"/>
      <c r="NV89" s="252"/>
      <c r="NW89" s="252"/>
      <c r="NX89" s="252"/>
      <c r="NY89" s="252"/>
      <c r="NZ89" s="252"/>
      <c r="OA89" s="252"/>
      <c r="OB89" s="252"/>
      <c r="OC89" s="252"/>
      <c r="OD89" s="252"/>
      <c r="OE89" s="252"/>
      <c r="OF89" s="252"/>
      <c r="OG89" s="252"/>
      <c r="OH89" s="252"/>
      <c r="OI89" s="252"/>
      <c r="OJ89" s="252"/>
      <c r="OK89" s="252"/>
      <c r="OL89" s="252"/>
      <c r="OM89" s="252"/>
      <c r="ON89" s="252"/>
      <c r="OO89" s="252"/>
      <c r="OP89" s="252"/>
      <c r="OQ89" s="252"/>
      <c r="OR89" s="252"/>
      <c r="OS89" s="252"/>
      <c r="OT89" s="252"/>
      <c r="OU89" s="252"/>
      <c r="OV89" s="252"/>
      <c r="OW89" s="252"/>
      <c r="OX89" s="252"/>
      <c r="OY89" s="252"/>
      <c r="OZ89" s="252"/>
      <c r="PA89" s="252"/>
      <c r="PB89" s="252"/>
      <c r="PC89" s="252"/>
      <c r="PD89" s="252"/>
      <c r="PE89" s="252"/>
      <c r="PF89" s="252"/>
      <c r="PG89" s="252"/>
      <c r="PH89" s="252"/>
      <c r="PI89" s="252"/>
      <c r="PJ89" s="252"/>
      <c r="PK89" s="252"/>
      <c r="PL89" s="252"/>
      <c r="PM89" s="252"/>
      <c r="PN89" s="252"/>
      <c r="PO89" s="252"/>
      <c r="PP89" s="252"/>
      <c r="PQ89" s="252"/>
      <c r="PR89" s="252"/>
      <c r="PS89" s="252"/>
      <c r="PT89" s="252"/>
      <c r="PU89" s="252"/>
      <c r="PV89" s="252"/>
      <c r="PW89" s="252"/>
      <c r="PX89" s="252"/>
      <c r="PY89" s="252"/>
      <c r="PZ89" s="252"/>
      <c r="QA89" s="252"/>
      <c r="QB89" s="252"/>
      <c r="QC89" s="252"/>
      <c r="QD89" s="252"/>
      <c r="QE89" s="252"/>
      <c r="QF89" s="252"/>
      <c r="QG89" s="252"/>
      <c r="QH89" s="252"/>
      <c r="QI89" s="252"/>
      <c r="QJ89" s="252"/>
      <c r="QK89" s="252"/>
      <c r="QL89" s="252"/>
      <c r="QM89" s="252"/>
      <c r="QN89" s="252"/>
      <c r="QO89" s="252"/>
      <c r="QP89" s="252"/>
      <c r="QQ89" s="252"/>
      <c r="QR89" s="252"/>
      <c r="QS89" s="252"/>
      <c r="QT89" s="252"/>
      <c r="QU89" s="252"/>
      <c r="QV89" s="252"/>
      <c r="QW89" s="252"/>
      <c r="QX89" s="252"/>
      <c r="QY89" s="252"/>
      <c r="QZ89" s="252"/>
      <c r="RA89" s="252"/>
      <c r="RB89" s="252"/>
      <c r="RC89" s="252"/>
      <c r="RD89" s="252"/>
      <c r="RE89" s="252"/>
      <c r="RF89" s="252"/>
      <c r="RG89" s="252"/>
      <c r="RH89" s="252"/>
      <c r="RI89" s="252"/>
      <c r="RJ89" s="252"/>
      <c r="RK89" s="252"/>
      <c r="RL89" s="252"/>
      <c r="RM89" s="252"/>
      <c r="RN89" s="252"/>
      <c r="RO89" s="252"/>
      <c r="RP89" s="252"/>
      <c r="RQ89" s="252"/>
      <c r="RR89" s="252"/>
      <c r="RS89" s="252"/>
      <c r="RT89" s="252"/>
      <c r="RU89" s="252"/>
      <c r="RV89" s="252"/>
      <c r="RW89" s="252"/>
      <c r="RX89" s="252"/>
      <c r="RY89" s="252"/>
      <c r="RZ89" s="252"/>
      <c r="SA89" s="252"/>
      <c r="SB89" s="252"/>
      <c r="SC89" s="252"/>
      <c r="SD89" s="252"/>
      <c r="SE89" s="252"/>
      <c r="SF89" s="252"/>
      <c r="SG89" s="252"/>
      <c r="SH89" s="252"/>
      <c r="SI89" s="252"/>
      <c r="SJ89" s="252"/>
      <c r="SK89" s="252"/>
      <c r="SL89" s="252"/>
      <c r="SM89" s="252"/>
      <c r="SN89" s="252"/>
    </row>
    <row r="90" spans="1:508" s="243" customFormat="1" ht="15.6" customHeight="1" x14ac:dyDescent="0.55000000000000004">
      <c r="A90" s="220"/>
      <c r="B90" s="283"/>
      <c r="C90" s="283"/>
      <c r="D90" s="283"/>
      <c r="E90" s="283"/>
      <c r="F90" s="283"/>
      <c r="G90" s="284"/>
      <c r="H90" s="285"/>
      <c r="I90" s="284"/>
      <c r="J90" s="286"/>
      <c r="K90" s="283"/>
      <c r="L90" s="283"/>
      <c r="M90" s="284"/>
      <c r="N90" s="283"/>
      <c r="O90" s="284"/>
      <c r="P90" s="285"/>
      <c r="Q90" s="283"/>
      <c r="R90" s="283"/>
      <c r="S90" s="283"/>
      <c r="T90" s="283"/>
      <c r="U90" s="284"/>
      <c r="V90" s="287"/>
      <c r="W90" s="286"/>
      <c r="X90" s="283"/>
      <c r="Y90" s="283"/>
      <c r="Z90" s="283"/>
      <c r="AA90" s="283"/>
      <c r="AB90" s="283"/>
      <c r="AC90" s="283"/>
      <c r="AD90" s="288"/>
      <c r="AE90" s="283"/>
      <c r="AF90" s="283"/>
      <c r="AG90" s="283"/>
      <c r="AH90" s="284"/>
      <c r="AI90" s="285"/>
      <c r="AJ90" s="283"/>
      <c r="AK90" s="283"/>
      <c r="AL90" s="283"/>
      <c r="AM90" s="284"/>
      <c r="AN90" s="285"/>
      <c r="AO90" s="283"/>
      <c r="AP90" s="283"/>
      <c r="AQ90" s="283"/>
      <c r="AR90" s="284"/>
      <c r="AS90" s="285"/>
      <c r="AT90" s="283"/>
      <c r="AU90" s="283"/>
      <c r="AV90" s="283"/>
      <c r="AW90" s="283"/>
      <c r="NU90" s="252"/>
      <c r="NV90" s="252"/>
      <c r="NW90" s="252"/>
      <c r="NX90" s="252"/>
      <c r="NY90" s="252"/>
      <c r="NZ90" s="252"/>
      <c r="OA90" s="252"/>
      <c r="OB90" s="252"/>
      <c r="OC90" s="252"/>
      <c r="OD90" s="252"/>
      <c r="OE90" s="252"/>
      <c r="OF90" s="252"/>
      <c r="OG90" s="252"/>
      <c r="OH90" s="252"/>
      <c r="OI90" s="252"/>
      <c r="OJ90" s="252"/>
      <c r="OK90" s="252"/>
      <c r="OL90" s="252"/>
      <c r="OM90" s="252"/>
      <c r="ON90" s="252"/>
      <c r="OO90" s="252"/>
      <c r="OP90" s="252"/>
      <c r="OQ90" s="252"/>
      <c r="OR90" s="252"/>
      <c r="OS90" s="252"/>
      <c r="OT90" s="252"/>
      <c r="OU90" s="252"/>
      <c r="OV90" s="252"/>
      <c r="OW90" s="252"/>
      <c r="OX90" s="252"/>
      <c r="OY90" s="252"/>
      <c r="OZ90" s="252"/>
      <c r="PA90" s="252"/>
      <c r="PB90" s="252"/>
      <c r="PC90" s="252"/>
      <c r="PD90" s="252"/>
      <c r="PE90" s="252"/>
      <c r="PF90" s="252"/>
      <c r="PG90" s="252"/>
      <c r="PH90" s="252"/>
      <c r="PI90" s="252"/>
      <c r="PJ90" s="252"/>
      <c r="PK90" s="252"/>
      <c r="PL90" s="252"/>
      <c r="PM90" s="252"/>
      <c r="PN90" s="252"/>
      <c r="PO90" s="252"/>
      <c r="PP90" s="252"/>
      <c r="PQ90" s="252"/>
      <c r="PR90" s="252"/>
      <c r="PS90" s="252"/>
      <c r="PT90" s="252"/>
      <c r="PU90" s="252"/>
      <c r="PV90" s="252"/>
      <c r="PW90" s="252"/>
      <c r="PX90" s="252"/>
      <c r="PY90" s="252"/>
      <c r="PZ90" s="252"/>
      <c r="QA90" s="252"/>
      <c r="QB90" s="252"/>
      <c r="QC90" s="252"/>
      <c r="QD90" s="252"/>
      <c r="QE90" s="252"/>
      <c r="QF90" s="252"/>
      <c r="QG90" s="252"/>
      <c r="QH90" s="252"/>
      <c r="QI90" s="252"/>
      <c r="QJ90" s="252"/>
      <c r="QK90" s="252"/>
      <c r="QL90" s="252"/>
      <c r="QM90" s="252"/>
      <c r="QN90" s="252"/>
      <c r="QO90" s="252"/>
      <c r="QP90" s="252"/>
      <c r="QQ90" s="252"/>
      <c r="QR90" s="252"/>
      <c r="QS90" s="252"/>
      <c r="QT90" s="252"/>
      <c r="QU90" s="252"/>
      <c r="QV90" s="252"/>
      <c r="QW90" s="252"/>
      <c r="QX90" s="252"/>
      <c r="QY90" s="252"/>
      <c r="QZ90" s="252"/>
      <c r="RA90" s="252"/>
      <c r="RB90" s="252"/>
      <c r="RC90" s="252"/>
      <c r="RD90" s="252"/>
      <c r="RE90" s="252"/>
      <c r="RF90" s="252"/>
      <c r="RG90" s="252"/>
      <c r="RH90" s="252"/>
      <c r="RI90" s="252"/>
      <c r="RJ90" s="252"/>
      <c r="RK90" s="252"/>
      <c r="RL90" s="252"/>
      <c r="RM90" s="252"/>
      <c r="RN90" s="252"/>
      <c r="RO90" s="252"/>
      <c r="RP90" s="252"/>
      <c r="RQ90" s="252"/>
      <c r="RR90" s="252"/>
      <c r="RS90" s="252"/>
      <c r="RT90" s="252"/>
      <c r="RU90" s="252"/>
      <c r="RV90" s="252"/>
      <c r="RW90" s="252"/>
      <c r="RX90" s="252"/>
      <c r="RY90" s="252"/>
      <c r="RZ90" s="252"/>
      <c r="SA90" s="252"/>
      <c r="SB90" s="252"/>
      <c r="SC90" s="252"/>
      <c r="SD90" s="252"/>
      <c r="SE90" s="252"/>
      <c r="SF90" s="252"/>
      <c r="SG90" s="252"/>
      <c r="SH90" s="252"/>
      <c r="SI90" s="252"/>
      <c r="SJ90" s="252"/>
      <c r="SK90" s="252"/>
      <c r="SL90" s="252"/>
      <c r="SM90" s="252"/>
      <c r="SN90" s="252"/>
    </row>
    <row r="91" spans="1:508" s="243" customFormat="1" ht="15.6" customHeight="1" x14ac:dyDescent="0.55000000000000004">
      <c r="A91" s="220"/>
      <c r="B91" s="283"/>
      <c r="C91" s="283"/>
      <c r="D91" s="283"/>
      <c r="E91" s="283"/>
      <c r="F91" s="283"/>
      <c r="G91" s="284"/>
      <c r="H91" s="285"/>
      <c r="I91" s="284"/>
      <c r="J91" s="286"/>
      <c r="K91" s="283"/>
      <c r="L91" s="283"/>
      <c r="M91" s="284"/>
      <c r="N91" s="283"/>
      <c r="O91" s="284"/>
      <c r="P91" s="285"/>
      <c r="Q91" s="283"/>
      <c r="R91" s="283"/>
      <c r="S91" s="283"/>
      <c r="T91" s="283"/>
      <c r="U91" s="284"/>
      <c r="V91" s="287"/>
      <c r="W91" s="286"/>
      <c r="X91" s="283"/>
      <c r="Y91" s="283"/>
      <c r="Z91" s="283"/>
      <c r="AA91" s="283"/>
      <c r="AB91" s="283"/>
      <c r="AC91" s="283"/>
      <c r="AD91" s="288"/>
      <c r="AE91" s="283"/>
      <c r="AF91" s="283"/>
      <c r="AG91" s="283"/>
      <c r="AH91" s="284"/>
      <c r="AI91" s="285"/>
      <c r="AJ91" s="283"/>
      <c r="AK91" s="283"/>
      <c r="AL91" s="283"/>
      <c r="AM91" s="284"/>
      <c r="AN91" s="285"/>
      <c r="AO91" s="283"/>
      <c r="AP91" s="283"/>
      <c r="AQ91" s="283"/>
      <c r="AR91" s="284"/>
      <c r="AS91" s="285"/>
      <c r="AT91" s="283"/>
      <c r="AU91" s="283"/>
      <c r="AV91" s="283"/>
      <c r="AW91" s="283"/>
      <c r="NU91" s="252"/>
      <c r="NV91" s="252"/>
      <c r="NW91" s="252"/>
      <c r="NX91" s="252"/>
      <c r="NY91" s="252"/>
      <c r="NZ91" s="252"/>
      <c r="OA91" s="252"/>
      <c r="OB91" s="252"/>
      <c r="OC91" s="252"/>
      <c r="OD91" s="252"/>
      <c r="OE91" s="252"/>
      <c r="OF91" s="252"/>
      <c r="OG91" s="252"/>
      <c r="OH91" s="252"/>
      <c r="OI91" s="252"/>
      <c r="OJ91" s="252"/>
      <c r="OK91" s="252"/>
      <c r="OL91" s="252"/>
      <c r="OM91" s="252"/>
      <c r="ON91" s="252"/>
      <c r="OO91" s="252"/>
      <c r="OP91" s="252"/>
      <c r="OQ91" s="252"/>
      <c r="OR91" s="252"/>
      <c r="OS91" s="252"/>
      <c r="OT91" s="252"/>
      <c r="OU91" s="252"/>
      <c r="OV91" s="252"/>
      <c r="OW91" s="252"/>
      <c r="OX91" s="252"/>
      <c r="OY91" s="252"/>
      <c r="OZ91" s="252"/>
      <c r="PA91" s="252"/>
      <c r="PB91" s="252"/>
      <c r="PC91" s="252"/>
      <c r="PD91" s="252"/>
      <c r="PE91" s="252"/>
      <c r="PF91" s="252"/>
      <c r="PG91" s="252"/>
      <c r="PH91" s="252"/>
      <c r="PI91" s="252"/>
      <c r="PJ91" s="252"/>
      <c r="PK91" s="252"/>
      <c r="PL91" s="252"/>
      <c r="PM91" s="252"/>
      <c r="PN91" s="252"/>
      <c r="PO91" s="252"/>
      <c r="PP91" s="252"/>
      <c r="PQ91" s="252"/>
      <c r="PR91" s="252"/>
      <c r="PS91" s="252"/>
      <c r="PT91" s="252"/>
      <c r="PU91" s="252"/>
      <c r="PV91" s="252"/>
      <c r="PW91" s="252"/>
      <c r="PX91" s="252"/>
      <c r="PY91" s="252"/>
      <c r="PZ91" s="252"/>
      <c r="QA91" s="252"/>
      <c r="QB91" s="252"/>
      <c r="QC91" s="252"/>
      <c r="QD91" s="252"/>
      <c r="QE91" s="252"/>
      <c r="QF91" s="252"/>
      <c r="QG91" s="252"/>
      <c r="QH91" s="252"/>
      <c r="QI91" s="252"/>
      <c r="QJ91" s="252"/>
      <c r="QK91" s="252"/>
      <c r="QL91" s="252"/>
      <c r="QM91" s="252"/>
      <c r="QN91" s="252"/>
      <c r="QO91" s="252"/>
      <c r="QP91" s="252"/>
      <c r="QQ91" s="252"/>
      <c r="QR91" s="252"/>
      <c r="QS91" s="252"/>
      <c r="QT91" s="252"/>
      <c r="QU91" s="252"/>
      <c r="QV91" s="252"/>
      <c r="QW91" s="252"/>
      <c r="QX91" s="252"/>
      <c r="QY91" s="252"/>
      <c r="QZ91" s="252"/>
      <c r="RA91" s="252"/>
      <c r="RB91" s="252"/>
      <c r="RC91" s="252"/>
      <c r="RD91" s="252"/>
      <c r="RE91" s="252"/>
      <c r="RF91" s="252"/>
      <c r="RG91" s="252"/>
      <c r="RH91" s="252"/>
      <c r="RI91" s="252"/>
      <c r="RJ91" s="252"/>
      <c r="RK91" s="252"/>
      <c r="RL91" s="252"/>
      <c r="RM91" s="252"/>
      <c r="RN91" s="252"/>
      <c r="RO91" s="252"/>
      <c r="RP91" s="252"/>
      <c r="RQ91" s="252"/>
      <c r="RR91" s="252"/>
      <c r="RS91" s="252"/>
      <c r="RT91" s="252"/>
      <c r="RU91" s="252"/>
      <c r="RV91" s="252"/>
      <c r="RW91" s="252"/>
      <c r="RX91" s="252"/>
      <c r="RY91" s="252"/>
      <c r="RZ91" s="252"/>
      <c r="SA91" s="252"/>
      <c r="SB91" s="252"/>
      <c r="SC91" s="252"/>
      <c r="SD91" s="252"/>
      <c r="SE91" s="252"/>
      <c r="SF91" s="252"/>
      <c r="SG91" s="252"/>
      <c r="SH91" s="252"/>
      <c r="SI91" s="252"/>
      <c r="SJ91" s="252"/>
      <c r="SK91" s="252"/>
      <c r="SL91" s="252"/>
      <c r="SM91" s="252"/>
      <c r="SN91" s="252"/>
    </row>
    <row r="92" spans="1:508" s="243" customFormat="1" ht="15.6" customHeight="1" x14ac:dyDescent="0.55000000000000004">
      <c r="A92" s="220"/>
      <c r="B92" s="283"/>
      <c r="C92" s="283"/>
      <c r="D92" s="283"/>
      <c r="E92" s="283"/>
      <c r="F92" s="283"/>
      <c r="G92" s="284"/>
      <c r="H92" s="285"/>
      <c r="I92" s="284"/>
      <c r="J92" s="286"/>
      <c r="K92" s="283"/>
      <c r="L92" s="283"/>
      <c r="M92" s="284"/>
      <c r="N92" s="283"/>
      <c r="O92" s="284"/>
      <c r="P92" s="285"/>
      <c r="Q92" s="283"/>
      <c r="R92" s="283"/>
      <c r="S92" s="283"/>
      <c r="T92" s="283"/>
      <c r="U92" s="284"/>
      <c r="V92" s="287"/>
      <c r="W92" s="286"/>
      <c r="X92" s="283"/>
      <c r="Y92" s="283"/>
      <c r="Z92" s="283"/>
      <c r="AA92" s="283"/>
      <c r="AB92" s="283"/>
      <c r="AC92" s="283"/>
      <c r="AD92" s="288"/>
      <c r="AE92" s="283"/>
      <c r="AF92" s="283"/>
      <c r="AG92" s="283"/>
      <c r="AH92" s="284"/>
      <c r="AI92" s="285"/>
      <c r="AJ92" s="283"/>
      <c r="AK92" s="283"/>
      <c r="AL92" s="283"/>
      <c r="AM92" s="284"/>
      <c r="AN92" s="285"/>
      <c r="AO92" s="283"/>
      <c r="AP92" s="283"/>
      <c r="AQ92" s="283"/>
      <c r="AR92" s="284"/>
      <c r="AS92" s="285"/>
      <c r="AT92" s="283"/>
      <c r="AU92" s="283"/>
      <c r="AV92" s="283"/>
      <c r="AW92" s="283"/>
      <c r="NU92" s="252"/>
      <c r="NV92" s="252"/>
      <c r="NW92" s="252"/>
      <c r="NX92" s="252"/>
      <c r="NY92" s="252"/>
      <c r="NZ92" s="252"/>
      <c r="OA92" s="252"/>
      <c r="OB92" s="252"/>
      <c r="OC92" s="252"/>
      <c r="OD92" s="252"/>
      <c r="OE92" s="252"/>
      <c r="OF92" s="252"/>
      <c r="OG92" s="252"/>
      <c r="OH92" s="252"/>
      <c r="OI92" s="252"/>
      <c r="OJ92" s="252"/>
      <c r="OK92" s="252"/>
      <c r="OL92" s="252"/>
      <c r="OM92" s="252"/>
      <c r="ON92" s="252"/>
      <c r="OO92" s="252"/>
      <c r="OP92" s="252"/>
      <c r="OQ92" s="252"/>
      <c r="OR92" s="252"/>
      <c r="OS92" s="252"/>
      <c r="OT92" s="252"/>
      <c r="OU92" s="252"/>
      <c r="OV92" s="252"/>
      <c r="OW92" s="252"/>
      <c r="OX92" s="252"/>
      <c r="OY92" s="252"/>
      <c r="OZ92" s="252"/>
      <c r="PA92" s="252"/>
      <c r="PB92" s="252"/>
      <c r="PC92" s="252"/>
      <c r="PD92" s="252"/>
      <c r="PE92" s="252"/>
      <c r="PF92" s="252"/>
      <c r="PG92" s="252"/>
      <c r="PH92" s="252"/>
      <c r="PI92" s="252"/>
      <c r="PJ92" s="252"/>
      <c r="PK92" s="252"/>
      <c r="PL92" s="252"/>
      <c r="PM92" s="252"/>
      <c r="PN92" s="252"/>
      <c r="PO92" s="252"/>
      <c r="PP92" s="252"/>
      <c r="PQ92" s="252"/>
      <c r="PR92" s="252"/>
      <c r="PS92" s="252"/>
      <c r="PT92" s="252"/>
      <c r="PU92" s="252"/>
      <c r="PV92" s="252"/>
      <c r="PW92" s="252"/>
      <c r="PX92" s="252"/>
      <c r="PY92" s="252"/>
      <c r="PZ92" s="252"/>
      <c r="QA92" s="252"/>
      <c r="QB92" s="252"/>
      <c r="QC92" s="252"/>
      <c r="QD92" s="252"/>
      <c r="QE92" s="252"/>
      <c r="QF92" s="252"/>
      <c r="QG92" s="252"/>
      <c r="QH92" s="252"/>
      <c r="QI92" s="252"/>
      <c r="QJ92" s="252"/>
      <c r="QK92" s="252"/>
      <c r="QL92" s="252"/>
      <c r="QM92" s="252"/>
      <c r="QN92" s="252"/>
      <c r="QO92" s="252"/>
      <c r="QP92" s="252"/>
      <c r="QQ92" s="252"/>
      <c r="QR92" s="252"/>
      <c r="QS92" s="252"/>
      <c r="QT92" s="252"/>
      <c r="QU92" s="252"/>
      <c r="QV92" s="252"/>
      <c r="QW92" s="252"/>
      <c r="QX92" s="252"/>
      <c r="QY92" s="252"/>
      <c r="QZ92" s="252"/>
      <c r="RA92" s="252"/>
      <c r="RB92" s="252"/>
      <c r="RC92" s="252"/>
      <c r="RD92" s="252"/>
      <c r="RE92" s="252"/>
      <c r="RF92" s="252"/>
      <c r="RG92" s="252"/>
      <c r="RH92" s="252"/>
      <c r="RI92" s="252"/>
      <c r="RJ92" s="252"/>
      <c r="RK92" s="252"/>
      <c r="RL92" s="252"/>
      <c r="RM92" s="252"/>
      <c r="RN92" s="252"/>
      <c r="RO92" s="252"/>
      <c r="RP92" s="252"/>
      <c r="RQ92" s="252"/>
      <c r="RR92" s="252"/>
      <c r="RS92" s="252"/>
      <c r="RT92" s="252"/>
      <c r="RU92" s="252"/>
      <c r="RV92" s="252"/>
      <c r="RW92" s="252"/>
      <c r="RX92" s="252"/>
      <c r="RY92" s="252"/>
      <c r="RZ92" s="252"/>
      <c r="SA92" s="252"/>
      <c r="SB92" s="252"/>
      <c r="SC92" s="252"/>
      <c r="SD92" s="252"/>
      <c r="SE92" s="252"/>
      <c r="SF92" s="252"/>
      <c r="SG92" s="252"/>
      <c r="SH92" s="252"/>
      <c r="SI92" s="252"/>
      <c r="SJ92" s="252"/>
      <c r="SK92" s="252"/>
      <c r="SL92" s="252"/>
      <c r="SM92" s="252"/>
      <c r="SN92" s="252"/>
    </row>
    <row r="93" spans="1:508" s="243" customFormat="1" ht="15.6" customHeight="1" x14ac:dyDescent="0.55000000000000004">
      <c r="A93" s="220"/>
      <c r="B93" s="283"/>
      <c r="C93" s="283"/>
      <c r="D93" s="283"/>
      <c r="E93" s="283"/>
      <c r="F93" s="283"/>
      <c r="G93" s="284"/>
      <c r="H93" s="285"/>
      <c r="I93" s="284"/>
      <c r="J93" s="286"/>
      <c r="K93" s="283"/>
      <c r="L93" s="283"/>
      <c r="M93" s="284"/>
      <c r="N93" s="283"/>
      <c r="O93" s="284"/>
      <c r="P93" s="285"/>
      <c r="Q93" s="283"/>
      <c r="R93" s="283"/>
      <c r="S93" s="283"/>
      <c r="T93" s="283"/>
      <c r="U93" s="284"/>
      <c r="V93" s="287"/>
      <c r="W93" s="286"/>
      <c r="X93" s="283"/>
      <c r="Y93" s="283"/>
      <c r="Z93" s="283"/>
      <c r="AA93" s="283"/>
      <c r="AB93" s="283"/>
      <c r="AC93" s="283"/>
      <c r="AD93" s="288"/>
      <c r="AE93" s="283"/>
      <c r="AF93" s="283"/>
      <c r="AG93" s="283"/>
      <c r="AH93" s="284"/>
      <c r="AI93" s="285"/>
      <c r="AJ93" s="283"/>
      <c r="AK93" s="283"/>
      <c r="AL93" s="283"/>
      <c r="AM93" s="284"/>
      <c r="AN93" s="285"/>
      <c r="AO93" s="283"/>
      <c r="AP93" s="283"/>
      <c r="AQ93" s="283"/>
      <c r="AR93" s="284"/>
      <c r="AS93" s="285"/>
      <c r="AT93" s="283"/>
      <c r="AU93" s="283"/>
      <c r="AV93" s="283"/>
      <c r="AW93" s="283"/>
      <c r="NU93" s="252"/>
      <c r="NV93" s="252"/>
      <c r="NW93" s="252"/>
      <c r="NX93" s="252"/>
      <c r="NY93" s="252"/>
      <c r="NZ93" s="252"/>
      <c r="OA93" s="252"/>
      <c r="OB93" s="252"/>
      <c r="OC93" s="252"/>
      <c r="OD93" s="252"/>
      <c r="OE93" s="252"/>
      <c r="OF93" s="252"/>
      <c r="OG93" s="252"/>
      <c r="OH93" s="252"/>
      <c r="OI93" s="252"/>
      <c r="OJ93" s="252"/>
      <c r="OK93" s="252"/>
      <c r="OL93" s="252"/>
      <c r="OM93" s="252"/>
      <c r="ON93" s="252"/>
      <c r="OO93" s="252"/>
      <c r="OP93" s="252"/>
      <c r="OQ93" s="252"/>
      <c r="OR93" s="252"/>
      <c r="OS93" s="252"/>
      <c r="OT93" s="252"/>
      <c r="OU93" s="252"/>
      <c r="OV93" s="252"/>
      <c r="OW93" s="252"/>
      <c r="OX93" s="252"/>
      <c r="OY93" s="252"/>
      <c r="OZ93" s="252"/>
      <c r="PA93" s="252"/>
      <c r="PB93" s="252"/>
      <c r="PC93" s="252"/>
      <c r="PD93" s="252"/>
      <c r="PE93" s="252"/>
      <c r="PF93" s="252"/>
      <c r="PG93" s="252"/>
      <c r="PH93" s="252"/>
      <c r="PI93" s="252"/>
      <c r="PJ93" s="252"/>
      <c r="PK93" s="252"/>
      <c r="PL93" s="252"/>
      <c r="PM93" s="252"/>
      <c r="PN93" s="252"/>
      <c r="PO93" s="252"/>
      <c r="PP93" s="252"/>
      <c r="PQ93" s="252"/>
      <c r="PR93" s="252"/>
      <c r="PS93" s="252"/>
      <c r="PT93" s="252"/>
      <c r="PU93" s="252"/>
      <c r="PV93" s="252"/>
      <c r="PW93" s="252"/>
      <c r="PX93" s="252"/>
      <c r="PY93" s="252"/>
      <c r="PZ93" s="252"/>
      <c r="QA93" s="252"/>
      <c r="QB93" s="252"/>
      <c r="QC93" s="252"/>
      <c r="QD93" s="252"/>
      <c r="QE93" s="252"/>
      <c r="QF93" s="252"/>
      <c r="QG93" s="252"/>
      <c r="QH93" s="252"/>
      <c r="QI93" s="252"/>
      <c r="QJ93" s="252"/>
      <c r="QK93" s="252"/>
      <c r="QL93" s="252"/>
      <c r="QM93" s="252"/>
      <c r="QN93" s="252"/>
      <c r="QO93" s="252"/>
      <c r="QP93" s="252"/>
      <c r="QQ93" s="252"/>
      <c r="QR93" s="252"/>
      <c r="QS93" s="252"/>
      <c r="QT93" s="252"/>
      <c r="QU93" s="252"/>
      <c r="QV93" s="252"/>
      <c r="QW93" s="252"/>
      <c r="QX93" s="252"/>
      <c r="QY93" s="252"/>
      <c r="QZ93" s="252"/>
      <c r="RA93" s="252"/>
      <c r="RB93" s="252"/>
      <c r="RC93" s="252"/>
      <c r="RD93" s="252"/>
      <c r="RE93" s="252"/>
      <c r="RF93" s="252"/>
      <c r="RG93" s="252"/>
      <c r="RH93" s="252"/>
      <c r="RI93" s="252"/>
      <c r="RJ93" s="252"/>
      <c r="RK93" s="252"/>
      <c r="RL93" s="252"/>
      <c r="RM93" s="252"/>
      <c r="RN93" s="252"/>
      <c r="RO93" s="252"/>
      <c r="RP93" s="252"/>
      <c r="RQ93" s="252"/>
      <c r="RR93" s="252"/>
      <c r="RS93" s="252"/>
      <c r="RT93" s="252"/>
      <c r="RU93" s="252"/>
      <c r="RV93" s="252"/>
      <c r="RW93" s="252"/>
      <c r="RX93" s="252"/>
      <c r="RY93" s="252"/>
      <c r="RZ93" s="252"/>
      <c r="SA93" s="252"/>
      <c r="SB93" s="252"/>
      <c r="SC93" s="252"/>
      <c r="SD93" s="252"/>
      <c r="SE93" s="252"/>
      <c r="SF93" s="252"/>
      <c r="SG93" s="252"/>
      <c r="SH93" s="252"/>
      <c r="SI93" s="252"/>
      <c r="SJ93" s="252"/>
      <c r="SK93" s="252"/>
      <c r="SL93" s="252"/>
      <c r="SM93" s="252"/>
      <c r="SN93" s="252"/>
    </row>
    <row r="94" spans="1:508" s="243" customFormat="1" ht="15.6" customHeight="1" x14ac:dyDescent="0.55000000000000004">
      <c r="A94" s="220"/>
      <c r="B94" s="283"/>
      <c r="C94" s="283"/>
      <c r="D94" s="283"/>
      <c r="E94" s="283"/>
      <c r="F94" s="283"/>
      <c r="G94" s="284"/>
      <c r="H94" s="285"/>
      <c r="I94" s="284"/>
      <c r="J94" s="286"/>
      <c r="K94" s="283"/>
      <c r="L94" s="283"/>
      <c r="M94" s="284"/>
      <c r="N94" s="283"/>
      <c r="O94" s="284"/>
      <c r="P94" s="285"/>
      <c r="Q94" s="283"/>
      <c r="R94" s="283"/>
      <c r="S94" s="283"/>
      <c r="T94" s="283"/>
      <c r="U94" s="284"/>
      <c r="V94" s="287"/>
      <c r="W94" s="286"/>
      <c r="X94" s="283"/>
      <c r="Y94" s="283"/>
      <c r="Z94" s="283"/>
      <c r="AA94" s="283"/>
      <c r="AB94" s="283"/>
      <c r="AC94" s="283"/>
      <c r="AD94" s="288"/>
      <c r="AE94" s="283"/>
      <c r="AF94" s="283"/>
      <c r="AG94" s="283"/>
      <c r="AH94" s="284"/>
      <c r="AI94" s="285"/>
      <c r="AJ94" s="283"/>
      <c r="AK94" s="283"/>
      <c r="AL94" s="283"/>
      <c r="AM94" s="284"/>
      <c r="AN94" s="285"/>
      <c r="AO94" s="283"/>
      <c r="AP94" s="283"/>
      <c r="AQ94" s="283"/>
      <c r="AR94" s="284"/>
      <c r="AS94" s="285"/>
      <c r="AT94" s="283"/>
      <c r="AU94" s="283"/>
      <c r="AV94" s="283"/>
      <c r="AW94" s="283"/>
      <c r="NU94" s="252"/>
      <c r="NV94" s="252"/>
      <c r="NW94" s="252"/>
      <c r="NX94" s="252"/>
      <c r="NY94" s="252"/>
      <c r="NZ94" s="252"/>
      <c r="OA94" s="252"/>
      <c r="OB94" s="252"/>
      <c r="OC94" s="252"/>
      <c r="OD94" s="252"/>
      <c r="OE94" s="252"/>
      <c r="OF94" s="252"/>
      <c r="OG94" s="252"/>
      <c r="OH94" s="252"/>
      <c r="OI94" s="252"/>
      <c r="OJ94" s="252"/>
      <c r="OK94" s="252"/>
      <c r="OL94" s="252"/>
      <c r="OM94" s="252"/>
      <c r="ON94" s="252"/>
      <c r="OO94" s="252"/>
      <c r="OP94" s="252"/>
      <c r="OQ94" s="252"/>
      <c r="OR94" s="252"/>
      <c r="OS94" s="252"/>
      <c r="OT94" s="252"/>
      <c r="OU94" s="252"/>
      <c r="OV94" s="252"/>
      <c r="OW94" s="252"/>
      <c r="OX94" s="252"/>
      <c r="OY94" s="252"/>
      <c r="OZ94" s="252"/>
      <c r="PA94" s="252"/>
      <c r="PB94" s="252"/>
      <c r="PC94" s="252"/>
      <c r="PD94" s="252"/>
      <c r="PE94" s="252"/>
      <c r="PF94" s="252"/>
      <c r="PG94" s="252"/>
      <c r="PH94" s="252"/>
      <c r="PI94" s="252"/>
      <c r="PJ94" s="252"/>
      <c r="PK94" s="252"/>
      <c r="PL94" s="252"/>
      <c r="PM94" s="252"/>
      <c r="PN94" s="252"/>
      <c r="PO94" s="252"/>
      <c r="PP94" s="252"/>
      <c r="PQ94" s="252"/>
      <c r="PR94" s="252"/>
      <c r="PS94" s="252"/>
      <c r="PT94" s="252"/>
      <c r="PU94" s="252"/>
      <c r="PV94" s="252"/>
      <c r="PW94" s="252"/>
      <c r="PX94" s="252"/>
      <c r="PY94" s="252"/>
      <c r="PZ94" s="252"/>
      <c r="QA94" s="252"/>
      <c r="QB94" s="252"/>
      <c r="QC94" s="252"/>
      <c r="QD94" s="252"/>
      <c r="QE94" s="252"/>
      <c r="QF94" s="252"/>
      <c r="QG94" s="252"/>
      <c r="QH94" s="252"/>
      <c r="QI94" s="252"/>
      <c r="QJ94" s="252"/>
      <c r="QK94" s="252"/>
      <c r="QL94" s="252"/>
      <c r="QM94" s="252"/>
      <c r="QN94" s="252"/>
      <c r="QO94" s="252"/>
      <c r="QP94" s="252"/>
      <c r="QQ94" s="252"/>
      <c r="QR94" s="252"/>
      <c r="QS94" s="252"/>
      <c r="QT94" s="252"/>
      <c r="QU94" s="252"/>
      <c r="QV94" s="252"/>
      <c r="QW94" s="252"/>
      <c r="QX94" s="252"/>
      <c r="QY94" s="252"/>
      <c r="QZ94" s="252"/>
      <c r="RA94" s="252"/>
      <c r="RB94" s="252"/>
      <c r="RC94" s="252"/>
      <c r="RD94" s="252"/>
      <c r="RE94" s="252"/>
      <c r="RF94" s="252"/>
      <c r="RG94" s="252"/>
      <c r="RH94" s="252"/>
      <c r="RI94" s="252"/>
      <c r="RJ94" s="252"/>
      <c r="RK94" s="252"/>
      <c r="RL94" s="252"/>
      <c r="RM94" s="252"/>
      <c r="RN94" s="252"/>
      <c r="RO94" s="252"/>
      <c r="RP94" s="252"/>
      <c r="RQ94" s="252"/>
      <c r="RR94" s="252"/>
      <c r="RS94" s="252"/>
      <c r="RT94" s="252"/>
      <c r="RU94" s="252"/>
      <c r="RV94" s="252"/>
      <c r="RW94" s="252"/>
      <c r="RX94" s="252"/>
      <c r="RY94" s="252"/>
      <c r="RZ94" s="252"/>
      <c r="SA94" s="252"/>
      <c r="SB94" s="252"/>
      <c r="SC94" s="252"/>
      <c r="SD94" s="252"/>
      <c r="SE94" s="252"/>
      <c r="SF94" s="252"/>
      <c r="SG94" s="252"/>
      <c r="SH94" s="252"/>
      <c r="SI94" s="252"/>
      <c r="SJ94" s="252"/>
      <c r="SK94" s="252"/>
      <c r="SL94" s="252"/>
      <c r="SM94" s="252"/>
      <c r="SN94" s="252"/>
    </row>
    <row r="95" spans="1:508" s="243" customFormat="1" ht="15.6" customHeight="1" x14ac:dyDescent="0.55000000000000004">
      <c r="A95" s="220"/>
      <c r="B95" s="283"/>
      <c r="C95" s="283"/>
      <c r="D95" s="283"/>
      <c r="E95" s="283"/>
      <c r="F95" s="283"/>
      <c r="G95" s="284"/>
      <c r="H95" s="285"/>
      <c r="I95" s="284"/>
      <c r="J95" s="286"/>
      <c r="K95" s="283"/>
      <c r="L95" s="283"/>
      <c r="M95" s="284"/>
      <c r="N95" s="283"/>
      <c r="O95" s="284"/>
      <c r="P95" s="285"/>
      <c r="Q95" s="283"/>
      <c r="R95" s="283"/>
      <c r="S95" s="283"/>
      <c r="T95" s="283"/>
      <c r="U95" s="284"/>
      <c r="V95" s="287"/>
      <c r="W95" s="286"/>
      <c r="X95" s="283"/>
      <c r="Y95" s="283"/>
      <c r="Z95" s="283"/>
      <c r="AA95" s="283"/>
      <c r="AB95" s="283"/>
      <c r="AC95" s="283"/>
      <c r="AD95" s="288"/>
      <c r="AE95" s="283"/>
      <c r="AF95" s="283"/>
      <c r="AG95" s="283"/>
      <c r="AH95" s="284"/>
      <c r="AI95" s="285"/>
      <c r="AJ95" s="283"/>
      <c r="AK95" s="283"/>
      <c r="AL95" s="283"/>
      <c r="AM95" s="284"/>
      <c r="AN95" s="285"/>
      <c r="AO95" s="283"/>
      <c r="AP95" s="283"/>
      <c r="AQ95" s="283"/>
      <c r="AR95" s="284"/>
      <c r="AS95" s="285"/>
      <c r="AT95" s="283"/>
      <c r="AU95" s="283"/>
      <c r="AV95" s="283"/>
      <c r="AW95" s="283"/>
      <c r="NU95" s="252"/>
      <c r="NV95" s="252"/>
      <c r="NW95" s="252"/>
      <c r="NX95" s="252"/>
      <c r="NY95" s="252"/>
      <c r="NZ95" s="252"/>
      <c r="OA95" s="252"/>
      <c r="OB95" s="252"/>
      <c r="OC95" s="252"/>
      <c r="OD95" s="252"/>
      <c r="OE95" s="252"/>
      <c r="OF95" s="252"/>
      <c r="OG95" s="252"/>
      <c r="OH95" s="252"/>
      <c r="OI95" s="252"/>
      <c r="OJ95" s="252"/>
      <c r="OK95" s="252"/>
      <c r="OL95" s="252"/>
      <c r="OM95" s="252"/>
      <c r="ON95" s="252"/>
      <c r="OO95" s="252"/>
      <c r="OP95" s="252"/>
      <c r="OQ95" s="252"/>
      <c r="OR95" s="252"/>
      <c r="OS95" s="252"/>
      <c r="OT95" s="252"/>
      <c r="OU95" s="252"/>
      <c r="OV95" s="252"/>
      <c r="OW95" s="252"/>
      <c r="OX95" s="252"/>
      <c r="OY95" s="252"/>
      <c r="OZ95" s="252"/>
      <c r="PA95" s="252"/>
      <c r="PB95" s="252"/>
      <c r="PC95" s="252"/>
      <c r="PD95" s="252"/>
      <c r="PE95" s="252"/>
      <c r="PF95" s="252"/>
      <c r="PG95" s="252"/>
      <c r="PH95" s="252"/>
      <c r="PI95" s="252"/>
      <c r="PJ95" s="252"/>
      <c r="PK95" s="252"/>
      <c r="PL95" s="252"/>
      <c r="PM95" s="252"/>
      <c r="PN95" s="252"/>
      <c r="PO95" s="252"/>
      <c r="PP95" s="252"/>
      <c r="PQ95" s="252"/>
      <c r="PR95" s="252"/>
      <c r="PS95" s="252"/>
      <c r="PT95" s="252"/>
      <c r="PU95" s="252"/>
      <c r="PV95" s="252"/>
      <c r="PW95" s="252"/>
      <c r="PX95" s="252"/>
      <c r="PY95" s="252"/>
      <c r="PZ95" s="252"/>
      <c r="QA95" s="252"/>
      <c r="QB95" s="252"/>
      <c r="QC95" s="252"/>
      <c r="QD95" s="252"/>
      <c r="QE95" s="252"/>
      <c r="QF95" s="252"/>
      <c r="QG95" s="252"/>
      <c r="QH95" s="252"/>
      <c r="QI95" s="252"/>
      <c r="QJ95" s="252"/>
      <c r="QK95" s="252"/>
      <c r="QL95" s="252"/>
      <c r="QM95" s="252"/>
      <c r="QN95" s="252"/>
      <c r="QO95" s="252"/>
      <c r="QP95" s="252"/>
      <c r="QQ95" s="252"/>
      <c r="QR95" s="252"/>
      <c r="QS95" s="252"/>
      <c r="QT95" s="252"/>
      <c r="QU95" s="252"/>
      <c r="QV95" s="252"/>
      <c r="QW95" s="252"/>
      <c r="QX95" s="252"/>
      <c r="QY95" s="252"/>
      <c r="QZ95" s="252"/>
      <c r="RA95" s="252"/>
      <c r="RB95" s="252"/>
      <c r="RC95" s="252"/>
      <c r="RD95" s="252"/>
      <c r="RE95" s="252"/>
      <c r="RF95" s="252"/>
      <c r="RG95" s="252"/>
      <c r="RH95" s="252"/>
      <c r="RI95" s="252"/>
      <c r="RJ95" s="252"/>
      <c r="RK95" s="252"/>
      <c r="RL95" s="252"/>
      <c r="RM95" s="252"/>
      <c r="RN95" s="252"/>
      <c r="RO95" s="252"/>
      <c r="RP95" s="252"/>
      <c r="RQ95" s="252"/>
      <c r="RR95" s="252"/>
      <c r="RS95" s="252"/>
      <c r="RT95" s="252"/>
      <c r="RU95" s="252"/>
      <c r="RV95" s="252"/>
      <c r="RW95" s="252"/>
      <c r="RX95" s="252"/>
      <c r="RY95" s="252"/>
      <c r="RZ95" s="252"/>
      <c r="SA95" s="252"/>
      <c r="SB95" s="252"/>
      <c r="SC95" s="252"/>
      <c r="SD95" s="252"/>
      <c r="SE95" s="252"/>
      <c r="SF95" s="252"/>
      <c r="SG95" s="252"/>
      <c r="SH95" s="252"/>
      <c r="SI95" s="252"/>
      <c r="SJ95" s="252"/>
      <c r="SK95" s="252"/>
      <c r="SL95" s="252"/>
      <c r="SM95" s="252"/>
      <c r="SN95" s="252"/>
    </row>
    <row r="96" spans="1:508" s="243" customFormat="1" ht="15.6" customHeight="1" x14ac:dyDescent="0.55000000000000004">
      <c r="A96" s="220"/>
      <c r="B96" s="283"/>
      <c r="C96" s="283"/>
      <c r="D96" s="283"/>
      <c r="E96" s="283"/>
      <c r="F96" s="283"/>
      <c r="G96" s="284"/>
      <c r="H96" s="285"/>
      <c r="I96" s="284"/>
      <c r="J96" s="286"/>
      <c r="K96" s="283"/>
      <c r="L96" s="283"/>
      <c r="M96" s="284"/>
      <c r="N96" s="283"/>
      <c r="O96" s="284"/>
      <c r="P96" s="285"/>
      <c r="Q96" s="283"/>
      <c r="R96" s="283"/>
      <c r="S96" s="283"/>
      <c r="T96" s="283"/>
      <c r="U96" s="284"/>
      <c r="V96" s="287"/>
      <c r="W96" s="286"/>
      <c r="X96" s="283"/>
      <c r="Y96" s="283"/>
      <c r="Z96" s="283"/>
      <c r="AA96" s="283"/>
      <c r="AB96" s="283"/>
      <c r="AC96" s="283"/>
      <c r="AD96" s="288"/>
      <c r="AE96" s="283"/>
      <c r="AF96" s="283"/>
      <c r="AG96" s="283"/>
      <c r="AH96" s="284"/>
      <c r="AI96" s="285"/>
      <c r="AJ96" s="283"/>
      <c r="AK96" s="283"/>
      <c r="AL96" s="283"/>
      <c r="AM96" s="284"/>
      <c r="AN96" s="285"/>
      <c r="AO96" s="283"/>
      <c r="AP96" s="283"/>
      <c r="AQ96" s="283"/>
      <c r="AR96" s="284"/>
      <c r="AS96" s="285"/>
      <c r="AT96" s="283"/>
      <c r="AU96" s="283"/>
      <c r="AV96" s="283"/>
      <c r="AW96" s="283"/>
      <c r="NU96" s="252"/>
      <c r="NV96" s="252"/>
      <c r="NW96" s="252"/>
      <c r="NX96" s="252"/>
      <c r="NY96" s="252"/>
      <c r="NZ96" s="252"/>
      <c r="OA96" s="252"/>
      <c r="OB96" s="252"/>
      <c r="OC96" s="252"/>
      <c r="OD96" s="252"/>
      <c r="OE96" s="252"/>
      <c r="OF96" s="252"/>
      <c r="OG96" s="252"/>
      <c r="OH96" s="252"/>
      <c r="OI96" s="252"/>
      <c r="OJ96" s="252"/>
      <c r="OK96" s="252"/>
      <c r="OL96" s="252"/>
      <c r="OM96" s="252"/>
      <c r="ON96" s="252"/>
      <c r="OO96" s="252"/>
      <c r="OP96" s="252"/>
      <c r="OQ96" s="252"/>
      <c r="OR96" s="252"/>
      <c r="OS96" s="252"/>
      <c r="OT96" s="252"/>
      <c r="OU96" s="252"/>
      <c r="OV96" s="252"/>
      <c r="OW96" s="252"/>
      <c r="OX96" s="252"/>
      <c r="OY96" s="252"/>
      <c r="OZ96" s="252"/>
      <c r="PA96" s="252"/>
      <c r="PB96" s="252"/>
      <c r="PC96" s="252"/>
      <c r="PD96" s="252"/>
      <c r="PE96" s="252"/>
      <c r="PF96" s="252"/>
      <c r="PG96" s="252"/>
      <c r="PH96" s="252"/>
      <c r="PI96" s="252"/>
      <c r="PJ96" s="252"/>
      <c r="PK96" s="252"/>
      <c r="PL96" s="252"/>
      <c r="PM96" s="252"/>
      <c r="PN96" s="252"/>
      <c r="PO96" s="252"/>
      <c r="PP96" s="252"/>
      <c r="PQ96" s="252"/>
      <c r="PR96" s="252"/>
      <c r="PS96" s="252"/>
      <c r="PT96" s="252"/>
      <c r="PU96" s="252"/>
      <c r="PV96" s="252"/>
      <c r="PW96" s="252"/>
      <c r="PX96" s="252"/>
      <c r="PY96" s="252"/>
      <c r="PZ96" s="252"/>
      <c r="QA96" s="252"/>
      <c r="QB96" s="252"/>
      <c r="QC96" s="252"/>
      <c r="QD96" s="252"/>
      <c r="QE96" s="252"/>
      <c r="QF96" s="252"/>
      <c r="QG96" s="252"/>
      <c r="QH96" s="252"/>
      <c r="QI96" s="252"/>
      <c r="QJ96" s="252"/>
      <c r="QK96" s="252"/>
      <c r="QL96" s="252"/>
      <c r="QM96" s="252"/>
      <c r="QN96" s="252"/>
      <c r="QO96" s="252"/>
      <c r="QP96" s="252"/>
      <c r="QQ96" s="252"/>
      <c r="QR96" s="252"/>
      <c r="QS96" s="252"/>
      <c r="QT96" s="252"/>
      <c r="QU96" s="252"/>
      <c r="QV96" s="252"/>
      <c r="QW96" s="252"/>
      <c r="QX96" s="252"/>
      <c r="QY96" s="252"/>
      <c r="QZ96" s="252"/>
      <c r="RA96" s="252"/>
      <c r="RB96" s="252"/>
      <c r="RC96" s="252"/>
      <c r="RD96" s="252"/>
      <c r="RE96" s="252"/>
      <c r="RF96" s="252"/>
      <c r="RG96" s="252"/>
      <c r="RH96" s="252"/>
      <c r="RI96" s="252"/>
      <c r="RJ96" s="252"/>
      <c r="RK96" s="252"/>
      <c r="RL96" s="252"/>
      <c r="RM96" s="252"/>
      <c r="RN96" s="252"/>
      <c r="RO96" s="252"/>
      <c r="RP96" s="252"/>
      <c r="RQ96" s="252"/>
      <c r="RR96" s="252"/>
      <c r="RS96" s="252"/>
      <c r="RT96" s="252"/>
      <c r="RU96" s="252"/>
      <c r="RV96" s="252"/>
      <c r="RW96" s="252"/>
      <c r="RX96" s="252"/>
      <c r="RY96" s="252"/>
      <c r="RZ96" s="252"/>
      <c r="SA96" s="252"/>
      <c r="SB96" s="252"/>
      <c r="SC96" s="252"/>
      <c r="SD96" s="252"/>
      <c r="SE96" s="252"/>
      <c r="SF96" s="252"/>
      <c r="SG96" s="252"/>
      <c r="SH96" s="252"/>
      <c r="SI96" s="252"/>
      <c r="SJ96" s="252"/>
      <c r="SK96" s="252"/>
      <c r="SL96" s="252"/>
      <c r="SM96" s="252"/>
      <c r="SN96" s="252"/>
    </row>
    <row r="97" spans="1:508" s="243" customFormat="1" ht="15.6" customHeight="1" x14ac:dyDescent="0.55000000000000004">
      <c r="A97" s="220"/>
      <c r="B97" s="283"/>
      <c r="C97" s="283"/>
      <c r="D97" s="283"/>
      <c r="E97" s="283"/>
      <c r="F97" s="283"/>
      <c r="G97" s="284"/>
      <c r="H97" s="285"/>
      <c r="I97" s="284"/>
      <c r="J97" s="286"/>
      <c r="K97" s="283"/>
      <c r="L97" s="283"/>
      <c r="M97" s="284"/>
      <c r="N97" s="283"/>
      <c r="O97" s="284"/>
      <c r="P97" s="285"/>
      <c r="Q97" s="283"/>
      <c r="R97" s="283"/>
      <c r="S97" s="283"/>
      <c r="T97" s="283"/>
      <c r="U97" s="284"/>
      <c r="V97" s="287"/>
      <c r="W97" s="286"/>
      <c r="X97" s="283"/>
      <c r="Y97" s="283"/>
      <c r="Z97" s="283"/>
      <c r="AA97" s="283"/>
      <c r="AB97" s="283"/>
      <c r="AC97" s="283"/>
      <c r="AD97" s="288"/>
      <c r="AE97" s="283"/>
      <c r="AF97" s="283"/>
      <c r="AG97" s="283"/>
      <c r="AH97" s="284"/>
      <c r="AI97" s="285"/>
      <c r="AJ97" s="283"/>
      <c r="AK97" s="283"/>
      <c r="AL97" s="283"/>
      <c r="AM97" s="284"/>
      <c r="AN97" s="285"/>
      <c r="AO97" s="283"/>
      <c r="AP97" s="283"/>
      <c r="AQ97" s="283"/>
      <c r="AR97" s="284"/>
      <c r="AS97" s="285"/>
      <c r="AT97" s="283"/>
      <c r="AU97" s="283"/>
      <c r="AV97" s="283"/>
      <c r="AW97" s="283"/>
      <c r="NU97" s="252"/>
      <c r="NV97" s="252"/>
      <c r="NW97" s="252"/>
      <c r="NX97" s="252"/>
      <c r="NY97" s="252"/>
      <c r="NZ97" s="252"/>
      <c r="OA97" s="252"/>
      <c r="OB97" s="252"/>
      <c r="OC97" s="252"/>
      <c r="OD97" s="252"/>
      <c r="OE97" s="252"/>
      <c r="OF97" s="252"/>
      <c r="OG97" s="252"/>
      <c r="OH97" s="252"/>
      <c r="OI97" s="252"/>
      <c r="OJ97" s="252"/>
      <c r="OK97" s="252"/>
      <c r="OL97" s="252"/>
      <c r="OM97" s="252"/>
      <c r="ON97" s="252"/>
      <c r="OO97" s="252"/>
      <c r="OP97" s="252"/>
      <c r="OQ97" s="252"/>
      <c r="OR97" s="252"/>
      <c r="OS97" s="252"/>
      <c r="OT97" s="252"/>
      <c r="OU97" s="252"/>
      <c r="OV97" s="252"/>
      <c r="OW97" s="252"/>
      <c r="OX97" s="252"/>
      <c r="OY97" s="252"/>
      <c r="OZ97" s="252"/>
      <c r="PA97" s="252"/>
      <c r="PB97" s="252"/>
      <c r="PC97" s="252"/>
      <c r="PD97" s="252"/>
      <c r="PE97" s="252"/>
      <c r="PF97" s="252"/>
      <c r="PG97" s="252"/>
      <c r="PH97" s="252"/>
      <c r="PI97" s="252"/>
      <c r="PJ97" s="252"/>
      <c r="PK97" s="252"/>
      <c r="PL97" s="252"/>
      <c r="PM97" s="252"/>
      <c r="PN97" s="252"/>
      <c r="PO97" s="252"/>
      <c r="PP97" s="252"/>
      <c r="PQ97" s="252"/>
      <c r="PR97" s="252"/>
      <c r="PS97" s="252"/>
      <c r="PT97" s="252"/>
      <c r="PU97" s="252"/>
      <c r="PV97" s="252"/>
      <c r="PW97" s="252"/>
      <c r="PX97" s="252"/>
      <c r="PY97" s="252"/>
      <c r="PZ97" s="252"/>
      <c r="QA97" s="252"/>
      <c r="QB97" s="252"/>
      <c r="QC97" s="252"/>
      <c r="QD97" s="252"/>
      <c r="QE97" s="252"/>
      <c r="QF97" s="252"/>
      <c r="QG97" s="252"/>
      <c r="QH97" s="252"/>
      <c r="QI97" s="252"/>
      <c r="QJ97" s="252"/>
      <c r="QK97" s="252"/>
      <c r="QL97" s="252"/>
      <c r="QM97" s="252"/>
      <c r="QN97" s="252"/>
      <c r="QO97" s="252"/>
      <c r="QP97" s="252"/>
      <c r="QQ97" s="252"/>
      <c r="QR97" s="252"/>
      <c r="QS97" s="252"/>
      <c r="QT97" s="252"/>
      <c r="QU97" s="252"/>
      <c r="QV97" s="252"/>
      <c r="QW97" s="252"/>
      <c r="QX97" s="252"/>
      <c r="QY97" s="252"/>
      <c r="QZ97" s="252"/>
      <c r="RA97" s="252"/>
      <c r="RB97" s="252"/>
      <c r="RC97" s="252"/>
      <c r="RD97" s="252"/>
      <c r="RE97" s="252"/>
      <c r="RF97" s="252"/>
      <c r="RG97" s="252"/>
      <c r="RH97" s="252"/>
      <c r="RI97" s="252"/>
      <c r="RJ97" s="252"/>
      <c r="RK97" s="252"/>
      <c r="RL97" s="252"/>
      <c r="RM97" s="252"/>
      <c r="RN97" s="252"/>
      <c r="RO97" s="252"/>
      <c r="RP97" s="252"/>
      <c r="RQ97" s="252"/>
      <c r="RR97" s="252"/>
      <c r="RS97" s="252"/>
      <c r="RT97" s="252"/>
      <c r="RU97" s="252"/>
      <c r="RV97" s="252"/>
      <c r="RW97" s="252"/>
      <c r="RX97" s="252"/>
      <c r="RY97" s="252"/>
      <c r="RZ97" s="252"/>
      <c r="SA97" s="252"/>
      <c r="SB97" s="252"/>
      <c r="SC97" s="252"/>
      <c r="SD97" s="252"/>
      <c r="SE97" s="252"/>
      <c r="SF97" s="252"/>
      <c r="SG97" s="252"/>
      <c r="SH97" s="252"/>
      <c r="SI97" s="252"/>
      <c r="SJ97" s="252"/>
      <c r="SK97" s="252"/>
      <c r="SL97" s="252"/>
      <c r="SM97" s="252"/>
      <c r="SN97" s="252"/>
    </row>
    <row r="98" spans="1:508" s="243" customFormat="1" ht="15.6" customHeight="1" x14ac:dyDescent="0.55000000000000004">
      <c r="A98" s="220"/>
      <c r="B98" s="283"/>
      <c r="C98" s="283"/>
      <c r="D98" s="283"/>
      <c r="E98" s="283"/>
      <c r="F98" s="283"/>
      <c r="G98" s="284"/>
      <c r="H98" s="285"/>
      <c r="I98" s="284"/>
      <c r="J98" s="286"/>
      <c r="K98" s="283"/>
      <c r="L98" s="283"/>
      <c r="M98" s="284"/>
      <c r="N98" s="283"/>
      <c r="O98" s="284"/>
      <c r="P98" s="285"/>
      <c r="Q98" s="283"/>
      <c r="R98" s="283"/>
      <c r="S98" s="283"/>
      <c r="T98" s="283"/>
      <c r="U98" s="284"/>
      <c r="V98" s="287"/>
      <c r="W98" s="286"/>
      <c r="X98" s="283"/>
      <c r="Y98" s="283"/>
      <c r="Z98" s="283"/>
      <c r="AA98" s="283"/>
      <c r="AB98" s="283"/>
      <c r="AC98" s="283"/>
      <c r="AD98" s="288"/>
      <c r="AE98" s="283"/>
      <c r="AF98" s="283"/>
      <c r="AG98" s="283"/>
      <c r="AH98" s="284"/>
      <c r="AI98" s="285"/>
      <c r="AJ98" s="283"/>
      <c r="AK98" s="283"/>
      <c r="AL98" s="283"/>
      <c r="AM98" s="284"/>
      <c r="AN98" s="285"/>
      <c r="AO98" s="283"/>
      <c r="AP98" s="283"/>
      <c r="AQ98" s="283"/>
      <c r="AR98" s="284"/>
      <c r="AS98" s="285"/>
      <c r="AT98" s="283"/>
      <c r="AU98" s="283"/>
      <c r="AV98" s="283"/>
      <c r="AW98" s="283"/>
      <c r="NU98" s="252"/>
      <c r="NV98" s="252"/>
      <c r="NW98" s="252"/>
      <c r="NX98" s="252"/>
      <c r="NY98" s="252"/>
      <c r="NZ98" s="252"/>
      <c r="OA98" s="252"/>
      <c r="OB98" s="252"/>
      <c r="OC98" s="252"/>
      <c r="OD98" s="252"/>
      <c r="OE98" s="252"/>
      <c r="OF98" s="252"/>
      <c r="OG98" s="252"/>
      <c r="OH98" s="252"/>
      <c r="OI98" s="252"/>
      <c r="OJ98" s="252"/>
      <c r="OK98" s="252"/>
      <c r="OL98" s="252"/>
      <c r="OM98" s="252"/>
      <c r="ON98" s="252"/>
      <c r="OO98" s="252"/>
      <c r="OP98" s="252"/>
      <c r="OQ98" s="252"/>
      <c r="OR98" s="252"/>
      <c r="OS98" s="252"/>
      <c r="OT98" s="252"/>
      <c r="OU98" s="252"/>
      <c r="OV98" s="252"/>
      <c r="OW98" s="252"/>
      <c r="OX98" s="252"/>
      <c r="OY98" s="252"/>
      <c r="OZ98" s="252"/>
      <c r="PA98" s="252"/>
      <c r="PB98" s="252"/>
      <c r="PC98" s="252"/>
      <c r="PD98" s="252"/>
      <c r="PE98" s="252"/>
      <c r="PF98" s="252"/>
      <c r="PG98" s="252"/>
      <c r="PH98" s="252"/>
      <c r="PI98" s="252"/>
      <c r="PJ98" s="252"/>
      <c r="PK98" s="252"/>
      <c r="PL98" s="252"/>
      <c r="PM98" s="252"/>
      <c r="PN98" s="252"/>
      <c r="PO98" s="252"/>
      <c r="PP98" s="252"/>
      <c r="PQ98" s="252"/>
      <c r="PR98" s="252"/>
      <c r="PS98" s="252"/>
      <c r="PT98" s="252"/>
      <c r="PU98" s="252"/>
      <c r="PV98" s="252"/>
      <c r="PW98" s="252"/>
      <c r="PX98" s="252"/>
      <c r="PY98" s="252"/>
      <c r="PZ98" s="252"/>
      <c r="QA98" s="252"/>
      <c r="QB98" s="252"/>
      <c r="QC98" s="252"/>
      <c r="QD98" s="252"/>
      <c r="QE98" s="252"/>
      <c r="QF98" s="252"/>
      <c r="QG98" s="252"/>
      <c r="QH98" s="252"/>
      <c r="QI98" s="252"/>
      <c r="QJ98" s="252"/>
      <c r="QK98" s="252"/>
      <c r="QL98" s="252"/>
      <c r="QM98" s="252"/>
      <c r="QN98" s="252"/>
      <c r="QO98" s="252"/>
      <c r="QP98" s="252"/>
      <c r="QQ98" s="252"/>
      <c r="QR98" s="252"/>
      <c r="QS98" s="252"/>
      <c r="QT98" s="252"/>
      <c r="QU98" s="252"/>
      <c r="QV98" s="252"/>
      <c r="QW98" s="252"/>
      <c r="QX98" s="252"/>
      <c r="QY98" s="252"/>
      <c r="QZ98" s="252"/>
      <c r="RA98" s="252"/>
      <c r="RB98" s="252"/>
      <c r="RC98" s="252"/>
      <c r="RD98" s="252"/>
      <c r="RE98" s="252"/>
      <c r="RF98" s="252"/>
      <c r="RG98" s="252"/>
      <c r="RH98" s="252"/>
      <c r="RI98" s="252"/>
      <c r="RJ98" s="252"/>
      <c r="RK98" s="252"/>
      <c r="RL98" s="252"/>
      <c r="RM98" s="252"/>
      <c r="RN98" s="252"/>
      <c r="RO98" s="252"/>
      <c r="RP98" s="252"/>
      <c r="RQ98" s="252"/>
      <c r="RR98" s="252"/>
      <c r="RS98" s="252"/>
      <c r="RT98" s="252"/>
      <c r="RU98" s="252"/>
      <c r="RV98" s="252"/>
      <c r="RW98" s="252"/>
      <c r="RX98" s="252"/>
      <c r="RY98" s="252"/>
      <c r="RZ98" s="252"/>
      <c r="SA98" s="252"/>
      <c r="SB98" s="252"/>
      <c r="SC98" s="252"/>
      <c r="SD98" s="252"/>
      <c r="SE98" s="252"/>
      <c r="SF98" s="252"/>
      <c r="SG98" s="252"/>
      <c r="SH98" s="252"/>
      <c r="SI98" s="252"/>
      <c r="SJ98" s="252"/>
      <c r="SK98" s="252"/>
      <c r="SL98" s="252"/>
      <c r="SM98" s="252"/>
      <c r="SN98" s="252"/>
    </row>
    <row r="99" spans="1:508" s="243" customFormat="1" ht="15.6" customHeight="1" x14ac:dyDescent="0.55000000000000004">
      <c r="A99" s="220"/>
      <c r="B99" s="283"/>
      <c r="C99" s="283"/>
      <c r="D99" s="283"/>
      <c r="E99" s="283"/>
      <c r="F99" s="283"/>
      <c r="G99" s="284"/>
      <c r="H99" s="285"/>
      <c r="I99" s="284"/>
      <c r="J99" s="286"/>
      <c r="K99" s="283"/>
      <c r="L99" s="283"/>
      <c r="M99" s="284"/>
      <c r="N99" s="283"/>
      <c r="O99" s="284"/>
      <c r="P99" s="285"/>
      <c r="Q99" s="283"/>
      <c r="R99" s="283"/>
      <c r="S99" s="283"/>
      <c r="T99" s="283"/>
      <c r="U99" s="284"/>
      <c r="V99" s="287"/>
      <c r="W99" s="286"/>
      <c r="X99" s="283"/>
      <c r="Y99" s="283"/>
      <c r="Z99" s="283"/>
      <c r="AA99" s="283"/>
      <c r="AB99" s="283"/>
      <c r="AC99" s="283"/>
      <c r="AD99" s="288"/>
      <c r="AE99" s="283"/>
      <c r="AF99" s="283"/>
      <c r="AG99" s="283"/>
      <c r="AH99" s="284"/>
      <c r="AI99" s="285"/>
      <c r="AJ99" s="283"/>
      <c r="AK99" s="283"/>
      <c r="AL99" s="283"/>
      <c r="AM99" s="284"/>
      <c r="AN99" s="285"/>
      <c r="AO99" s="283"/>
      <c r="AP99" s="283"/>
      <c r="AQ99" s="283"/>
      <c r="AR99" s="284"/>
      <c r="AS99" s="285"/>
      <c r="AT99" s="283"/>
      <c r="AU99" s="283"/>
      <c r="AV99" s="283"/>
      <c r="AW99" s="283"/>
      <c r="NU99" s="252"/>
      <c r="NV99" s="252"/>
      <c r="NW99" s="252"/>
      <c r="NX99" s="252"/>
      <c r="NY99" s="252"/>
      <c r="NZ99" s="252"/>
      <c r="OA99" s="252"/>
      <c r="OB99" s="252"/>
      <c r="OC99" s="252"/>
      <c r="OD99" s="252"/>
      <c r="OE99" s="252"/>
      <c r="OF99" s="252"/>
      <c r="OG99" s="252"/>
      <c r="OH99" s="252"/>
      <c r="OI99" s="252"/>
      <c r="OJ99" s="252"/>
      <c r="OK99" s="252"/>
      <c r="OL99" s="252"/>
      <c r="OM99" s="252"/>
      <c r="ON99" s="252"/>
      <c r="OO99" s="252"/>
      <c r="OP99" s="252"/>
      <c r="OQ99" s="252"/>
      <c r="OR99" s="252"/>
      <c r="OS99" s="252"/>
      <c r="OT99" s="252"/>
      <c r="OU99" s="252"/>
      <c r="OV99" s="252"/>
      <c r="OW99" s="252"/>
      <c r="OX99" s="252"/>
      <c r="OY99" s="252"/>
      <c r="OZ99" s="252"/>
      <c r="PA99" s="252"/>
      <c r="PB99" s="252"/>
      <c r="PC99" s="252"/>
      <c r="PD99" s="252"/>
      <c r="PE99" s="252"/>
      <c r="PF99" s="252"/>
      <c r="PG99" s="252"/>
      <c r="PH99" s="252"/>
      <c r="PI99" s="252"/>
      <c r="PJ99" s="252"/>
      <c r="PK99" s="252"/>
      <c r="PL99" s="252"/>
      <c r="PM99" s="252"/>
      <c r="PN99" s="252"/>
      <c r="PO99" s="252"/>
      <c r="PP99" s="252"/>
      <c r="PQ99" s="252"/>
      <c r="PR99" s="252"/>
      <c r="PS99" s="252"/>
      <c r="PT99" s="252"/>
      <c r="PU99" s="252"/>
      <c r="PV99" s="252"/>
      <c r="PW99" s="252"/>
      <c r="PX99" s="252"/>
      <c r="PY99" s="252"/>
      <c r="PZ99" s="252"/>
      <c r="QA99" s="252"/>
      <c r="QB99" s="252"/>
      <c r="QC99" s="252"/>
      <c r="QD99" s="252"/>
      <c r="QE99" s="252"/>
      <c r="QF99" s="252"/>
      <c r="QG99" s="252"/>
      <c r="QH99" s="252"/>
      <c r="QI99" s="252"/>
      <c r="QJ99" s="252"/>
      <c r="QK99" s="252"/>
      <c r="QL99" s="252"/>
      <c r="QM99" s="252"/>
      <c r="QN99" s="252"/>
      <c r="QO99" s="252"/>
      <c r="QP99" s="252"/>
      <c r="QQ99" s="252"/>
      <c r="QR99" s="252"/>
      <c r="QS99" s="252"/>
      <c r="QT99" s="252"/>
      <c r="QU99" s="252"/>
      <c r="QV99" s="252"/>
      <c r="QW99" s="252"/>
      <c r="QX99" s="252"/>
      <c r="QY99" s="252"/>
      <c r="QZ99" s="252"/>
      <c r="RA99" s="252"/>
      <c r="RB99" s="252"/>
      <c r="RC99" s="252"/>
      <c r="RD99" s="252"/>
      <c r="RE99" s="252"/>
      <c r="RF99" s="252"/>
      <c r="RG99" s="252"/>
      <c r="RH99" s="252"/>
      <c r="RI99" s="252"/>
      <c r="RJ99" s="252"/>
      <c r="RK99" s="252"/>
      <c r="RL99" s="252"/>
      <c r="RM99" s="252"/>
      <c r="RN99" s="252"/>
      <c r="RO99" s="252"/>
      <c r="RP99" s="252"/>
      <c r="RQ99" s="252"/>
      <c r="RR99" s="252"/>
      <c r="RS99" s="252"/>
      <c r="RT99" s="252"/>
      <c r="RU99" s="252"/>
      <c r="RV99" s="252"/>
      <c r="RW99" s="252"/>
      <c r="RX99" s="252"/>
      <c r="RY99" s="252"/>
      <c r="RZ99" s="252"/>
      <c r="SA99" s="252"/>
      <c r="SB99" s="252"/>
      <c r="SC99" s="252"/>
      <c r="SD99" s="252"/>
      <c r="SE99" s="252"/>
      <c r="SF99" s="252"/>
      <c r="SG99" s="252"/>
      <c r="SH99" s="252"/>
      <c r="SI99" s="252"/>
      <c r="SJ99" s="252"/>
      <c r="SK99" s="252"/>
      <c r="SL99" s="252"/>
      <c r="SM99" s="252"/>
      <c r="SN99" s="252"/>
    </row>
    <row r="100" spans="1:508" s="243" customFormat="1" ht="15.6" customHeight="1" x14ac:dyDescent="0.55000000000000004">
      <c r="A100" s="289"/>
      <c r="B100" s="283"/>
      <c r="C100" s="283"/>
      <c r="D100" s="283"/>
      <c r="E100" s="283"/>
      <c r="F100" s="283"/>
      <c r="G100" s="284"/>
      <c r="H100" s="285"/>
      <c r="I100" s="284"/>
      <c r="J100" s="286"/>
      <c r="K100" s="283"/>
      <c r="L100" s="283"/>
      <c r="M100" s="284"/>
      <c r="N100" s="283"/>
      <c r="O100" s="284"/>
      <c r="P100" s="285"/>
      <c r="Q100" s="283"/>
      <c r="R100" s="283"/>
      <c r="S100" s="283"/>
      <c r="T100" s="283"/>
      <c r="U100" s="284"/>
      <c r="V100" s="287"/>
      <c r="W100" s="286"/>
      <c r="X100" s="283"/>
      <c r="Y100" s="283"/>
      <c r="Z100" s="283"/>
      <c r="AA100" s="283"/>
      <c r="AB100" s="283"/>
      <c r="AC100" s="283"/>
      <c r="AD100" s="288"/>
      <c r="AE100" s="283"/>
      <c r="AF100" s="283"/>
      <c r="AG100" s="283"/>
      <c r="AH100" s="284"/>
      <c r="AI100" s="285"/>
      <c r="AJ100" s="283"/>
      <c r="AK100" s="283"/>
      <c r="AL100" s="283"/>
      <c r="AM100" s="284"/>
      <c r="AN100" s="285"/>
      <c r="AO100" s="283"/>
      <c r="AP100" s="283"/>
      <c r="AQ100" s="283"/>
      <c r="AR100" s="284"/>
      <c r="AS100" s="285"/>
      <c r="AT100" s="283"/>
      <c r="AU100" s="283"/>
      <c r="AV100" s="283"/>
      <c r="AW100" s="283"/>
      <c r="NU100" s="252"/>
      <c r="NV100" s="252"/>
      <c r="NW100" s="252"/>
      <c r="NX100" s="252"/>
      <c r="NY100" s="252"/>
      <c r="NZ100" s="252"/>
      <c r="OA100" s="252"/>
      <c r="OB100" s="252"/>
      <c r="OC100" s="252"/>
      <c r="OD100" s="252"/>
      <c r="OE100" s="252"/>
      <c r="OF100" s="252"/>
      <c r="OG100" s="252"/>
      <c r="OH100" s="252"/>
      <c r="OI100" s="252"/>
      <c r="OJ100" s="252"/>
      <c r="OK100" s="252"/>
      <c r="OL100" s="252"/>
      <c r="OM100" s="252"/>
      <c r="ON100" s="252"/>
      <c r="OO100" s="252"/>
      <c r="OP100" s="252"/>
      <c r="OQ100" s="252"/>
      <c r="OR100" s="252"/>
      <c r="OS100" s="252"/>
      <c r="OT100" s="252"/>
      <c r="OU100" s="252"/>
      <c r="OV100" s="252"/>
      <c r="OW100" s="252"/>
      <c r="OX100" s="252"/>
      <c r="OY100" s="252"/>
      <c r="OZ100" s="252"/>
      <c r="PA100" s="252"/>
      <c r="PB100" s="252"/>
      <c r="PC100" s="252"/>
      <c r="PD100" s="252"/>
      <c r="PE100" s="252"/>
      <c r="PF100" s="252"/>
      <c r="PG100" s="252"/>
      <c r="PH100" s="252"/>
      <c r="PI100" s="252"/>
      <c r="PJ100" s="252"/>
      <c r="PK100" s="252"/>
      <c r="PL100" s="252"/>
      <c r="PM100" s="252"/>
      <c r="PN100" s="252"/>
      <c r="PO100" s="252"/>
      <c r="PP100" s="252"/>
      <c r="PQ100" s="252"/>
      <c r="PR100" s="252"/>
      <c r="PS100" s="252"/>
      <c r="PT100" s="252"/>
      <c r="PU100" s="252"/>
      <c r="PV100" s="252"/>
      <c r="PW100" s="252"/>
      <c r="PX100" s="252"/>
      <c r="PY100" s="252"/>
      <c r="PZ100" s="252"/>
      <c r="QA100" s="252"/>
      <c r="QB100" s="252"/>
      <c r="QC100" s="252"/>
      <c r="QD100" s="252"/>
      <c r="QE100" s="252"/>
      <c r="QF100" s="252"/>
      <c r="QG100" s="252"/>
      <c r="QH100" s="252"/>
      <c r="QI100" s="252"/>
      <c r="QJ100" s="252"/>
      <c r="QK100" s="252"/>
      <c r="QL100" s="252"/>
      <c r="QM100" s="252"/>
      <c r="QN100" s="252"/>
      <c r="QO100" s="252"/>
      <c r="QP100" s="252"/>
      <c r="QQ100" s="252"/>
      <c r="QR100" s="252"/>
      <c r="QS100" s="252"/>
      <c r="QT100" s="252"/>
      <c r="QU100" s="252"/>
      <c r="QV100" s="252"/>
      <c r="QW100" s="252"/>
      <c r="QX100" s="252"/>
      <c r="QY100" s="252"/>
      <c r="QZ100" s="252"/>
      <c r="RA100" s="252"/>
      <c r="RB100" s="252"/>
      <c r="RC100" s="252"/>
      <c r="RD100" s="252"/>
      <c r="RE100" s="252"/>
      <c r="RF100" s="252"/>
      <c r="RG100" s="252"/>
      <c r="RH100" s="252"/>
      <c r="RI100" s="252"/>
      <c r="RJ100" s="252"/>
      <c r="RK100" s="252"/>
      <c r="RL100" s="252"/>
      <c r="RM100" s="252"/>
      <c r="RN100" s="252"/>
      <c r="RO100" s="252"/>
      <c r="RP100" s="252"/>
      <c r="RQ100" s="252"/>
      <c r="RR100" s="252"/>
      <c r="RS100" s="252"/>
      <c r="RT100" s="252"/>
      <c r="RU100" s="252"/>
      <c r="RV100" s="252"/>
      <c r="RW100" s="252"/>
      <c r="RX100" s="252"/>
      <c r="RY100" s="252"/>
      <c r="RZ100" s="252"/>
      <c r="SA100" s="252"/>
      <c r="SB100" s="252"/>
      <c r="SC100" s="252"/>
      <c r="SD100" s="252"/>
      <c r="SE100" s="252"/>
      <c r="SF100" s="252"/>
      <c r="SG100" s="252"/>
      <c r="SH100" s="252"/>
      <c r="SI100" s="252"/>
      <c r="SJ100" s="252"/>
      <c r="SK100" s="252"/>
      <c r="SL100" s="252"/>
      <c r="SM100" s="252"/>
      <c r="SN100" s="252"/>
    </row>
    <row r="101" spans="1:508" s="243" customFormat="1" ht="15.6" customHeight="1" x14ac:dyDescent="0.55000000000000004">
      <c r="A101" s="289"/>
      <c r="B101" s="283"/>
      <c r="C101" s="283"/>
      <c r="D101" s="283"/>
      <c r="E101" s="283"/>
      <c r="F101" s="283"/>
      <c r="G101" s="284"/>
      <c r="H101" s="285"/>
      <c r="I101" s="284"/>
      <c r="J101" s="286"/>
      <c r="K101" s="283"/>
      <c r="L101" s="283"/>
      <c r="M101" s="284"/>
      <c r="N101" s="283"/>
      <c r="O101" s="284"/>
      <c r="P101" s="285"/>
      <c r="Q101" s="283"/>
      <c r="R101" s="283"/>
      <c r="S101" s="283"/>
      <c r="T101" s="283"/>
      <c r="U101" s="284"/>
      <c r="V101" s="287"/>
      <c r="W101" s="286"/>
      <c r="X101" s="283"/>
      <c r="Y101" s="283"/>
      <c r="Z101" s="283"/>
      <c r="AA101" s="283"/>
      <c r="AB101" s="283"/>
      <c r="AC101" s="283"/>
      <c r="AD101" s="288"/>
      <c r="AE101" s="283"/>
      <c r="AF101" s="283"/>
      <c r="AG101" s="283"/>
      <c r="AH101" s="284"/>
      <c r="AI101" s="285"/>
      <c r="AJ101" s="283"/>
      <c r="AK101" s="283"/>
      <c r="AL101" s="283"/>
      <c r="AM101" s="284"/>
      <c r="AN101" s="285"/>
      <c r="AO101" s="283"/>
      <c r="AP101" s="283"/>
      <c r="AQ101" s="283"/>
      <c r="AR101" s="284"/>
      <c r="AS101" s="285"/>
      <c r="AT101" s="283"/>
      <c r="AU101" s="283"/>
      <c r="AV101" s="283"/>
      <c r="AW101" s="283"/>
      <c r="NU101" s="252"/>
      <c r="NV101" s="252"/>
      <c r="NW101" s="252"/>
      <c r="NX101" s="252"/>
      <c r="NY101" s="252"/>
      <c r="NZ101" s="252"/>
      <c r="OA101" s="252"/>
      <c r="OB101" s="252"/>
      <c r="OC101" s="252"/>
      <c r="OD101" s="252"/>
      <c r="OE101" s="252"/>
      <c r="OF101" s="252"/>
      <c r="OG101" s="252"/>
      <c r="OH101" s="252"/>
      <c r="OI101" s="252"/>
      <c r="OJ101" s="252"/>
      <c r="OK101" s="252"/>
      <c r="OL101" s="252"/>
      <c r="OM101" s="252"/>
      <c r="ON101" s="252"/>
      <c r="OO101" s="252"/>
      <c r="OP101" s="252"/>
      <c r="OQ101" s="252"/>
      <c r="OR101" s="252"/>
      <c r="OS101" s="252"/>
      <c r="OT101" s="252"/>
      <c r="OU101" s="252"/>
      <c r="OV101" s="252"/>
      <c r="OW101" s="252"/>
      <c r="OX101" s="252"/>
      <c r="OY101" s="252"/>
      <c r="OZ101" s="252"/>
      <c r="PA101" s="252"/>
      <c r="PB101" s="252"/>
      <c r="PC101" s="252"/>
      <c r="PD101" s="252"/>
      <c r="PE101" s="252"/>
      <c r="PF101" s="252"/>
      <c r="PG101" s="252"/>
      <c r="PH101" s="252"/>
      <c r="PI101" s="252"/>
      <c r="PJ101" s="252"/>
      <c r="PK101" s="252"/>
      <c r="PL101" s="252"/>
      <c r="PM101" s="252"/>
      <c r="PN101" s="252"/>
      <c r="PO101" s="252"/>
      <c r="PP101" s="252"/>
      <c r="PQ101" s="252"/>
      <c r="PR101" s="252"/>
      <c r="PS101" s="252"/>
      <c r="PT101" s="252"/>
      <c r="PU101" s="252"/>
      <c r="PV101" s="252"/>
      <c r="PW101" s="252"/>
      <c r="PX101" s="252"/>
      <c r="PY101" s="252"/>
      <c r="PZ101" s="252"/>
      <c r="QA101" s="252"/>
      <c r="QB101" s="252"/>
      <c r="QC101" s="252"/>
      <c r="QD101" s="252"/>
      <c r="QE101" s="252"/>
      <c r="QF101" s="252"/>
      <c r="QG101" s="252"/>
      <c r="QH101" s="252"/>
      <c r="QI101" s="252"/>
      <c r="QJ101" s="252"/>
      <c r="QK101" s="252"/>
      <c r="QL101" s="252"/>
      <c r="QM101" s="252"/>
      <c r="QN101" s="252"/>
      <c r="QO101" s="252"/>
      <c r="QP101" s="252"/>
      <c r="QQ101" s="252"/>
      <c r="QR101" s="252"/>
      <c r="QS101" s="252"/>
      <c r="QT101" s="252"/>
      <c r="QU101" s="252"/>
      <c r="QV101" s="252"/>
      <c r="QW101" s="252"/>
      <c r="QX101" s="252"/>
      <c r="QY101" s="252"/>
      <c r="QZ101" s="252"/>
      <c r="RA101" s="252"/>
      <c r="RB101" s="252"/>
      <c r="RC101" s="252"/>
      <c r="RD101" s="252"/>
      <c r="RE101" s="252"/>
      <c r="RF101" s="252"/>
      <c r="RG101" s="252"/>
      <c r="RH101" s="252"/>
      <c r="RI101" s="252"/>
      <c r="RJ101" s="252"/>
      <c r="RK101" s="252"/>
      <c r="RL101" s="252"/>
      <c r="RM101" s="252"/>
      <c r="RN101" s="252"/>
      <c r="RO101" s="252"/>
      <c r="RP101" s="252"/>
      <c r="RQ101" s="252"/>
      <c r="RR101" s="252"/>
      <c r="RS101" s="252"/>
      <c r="RT101" s="252"/>
      <c r="RU101" s="252"/>
      <c r="RV101" s="252"/>
      <c r="RW101" s="252"/>
      <c r="RX101" s="252"/>
      <c r="RY101" s="252"/>
      <c r="RZ101" s="252"/>
      <c r="SA101" s="252"/>
      <c r="SB101" s="252"/>
      <c r="SC101" s="252"/>
      <c r="SD101" s="252"/>
      <c r="SE101" s="252"/>
      <c r="SF101" s="252"/>
      <c r="SG101" s="252"/>
      <c r="SH101" s="252"/>
      <c r="SI101" s="252"/>
      <c r="SJ101" s="252"/>
      <c r="SK101" s="252"/>
      <c r="SL101" s="252"/>
      <c r="SM101" s="252"/>
      <c r="SN101" s="252"/>
    </row>
    <row r="102" spans="1:508" s="243" customFormat="1" ht="15.6" customHeight="1" x14ac:dyDescent="0.55000000000000004">
      <c r="A102" s="289"/>
      <c r="B102" s="283"/>
      <c r="C102" s="283"/>
      <c r="D102" s="283"/>
      <c r="E102" s="283"/>
      <c r="F102" s="283"/>
      <c r="G102" s="284"/>
      <c r="H102" s="285"/>
      <c r="I102" s="284"/>
      <c r="J102" s="286"/>
      <c r="K102" s="283"/>
      <c r="L102" s="283"/>
      <c r="M102" s="284"/>
      <c r="N102" s="283"/>
      <c r="O102" s="284"/>
      <c r="P102" s="285"/>
      <c r="Q102" s="283"/>
      <c r="R102" s="283"/>
      <c r="S102" s="283"/>
      <c r="T102" s="283"/>
      <c r="U102" s="284"/>
      <c r="V102" s="287"/>
      <c r="W102" s="286"/>
      <c r="X102" s="283"/>
      <c r="Y102" s="283"/>
      <c r="Z102" s="283"/>
      <c r="AA102" s="283"/>
      <c r="AB102" s="283"/>
      <c r="AC102" s="283"/>
      <c r="AD102" s="288"/>
      <c r="AE102" s="283"/>
      <c r="AF102" s="283"/>
      <c r="AG102" s="283"/>
      <c r="AH102" s="284"/>
      <c r="AI102" s="285"/>
      <c r="AJ102" s="283"/>
      <c r="AK102" s="283"/>
      <c r="AL102" s="283"/>
      <c r="AM102" s="284"/>
      <c r="AN102" s="285"/>
      <c r="AO102" s="283"/>
      <c r="AP102" s="283"/>
      <c r="AQ102" s="283"/>
      <c r="AR102" s="284"/>
      <c r="AS102" s="285"/>
      <c r="AT102" s="283"/>
      <c r="AU102" s="283"/>
      <c r="AV102" s="283"/>
      <c r="AW102" s="283"/>
      <c r="NU102" s="252"/>
      <c r="NV102" s="252"/>
      <c r="NW102" s="252"/>
      <c r="NX102" s="252"/>
      <c r="NY102" s="252"/>
      <c r="NZ102" s="252"/>
      <c r="OA102" s="252"/>
      <c r="OB102" s="252"/>
      <c r="OC102" s="252"/>
      <c r="OD102" s="252"/>
      <c r="OE102" s="252"/>
      <c r="OF102" s="252"/>
      <c r="OG102" s="252"/>
      <c r="OH102" s="252"/>
      <c r="OI102" s="252"/>
      <c r="OJ102" s="252"/>
      <c r="OK102" s="252"/>
      <c r="OL102" s="252"/>
      <c r="OM102" s="252"/>
      <c r="ON102" s="252"/>
      <c r="OO102" s="252"/>
      <c r="OP102" s="252"/>
      <c r="OQ102" s="252"/>
      <c r="OR102" s="252"/>
      <c r="OS102" s="252"/>
      <c r="OT102" s="252"/>
      <c r="OU102" s="252"/>
      <c r="OV102" s="252"/>
      <c r="OW102" s="252"/>
      <c r="OX102" s="252"/>
      <c r="OY102" s="252"/>
      <c r="OZ102" s="252"/>
      <c r="PA102" s="252"/>
      <c r="PB102" s="252"/>
      <c r="PC102" s="252"/>
      <c r="PD102" s="252"/>
      <c r="PE102" s="252"/>
      <c r="PF102" s="252"/>
      <c r="PG102" s="252"/>
      <c r="PH102" s="252"/>
      <c r="PI102" s="252"/>
      <c r="PJ102" s="252"/>
      <c r="PK102" s="252"/>
      <c r="PL102" s="252"/>
      <c r="PM102" s="252"/>
      <c r="PN102" s="252"/>
      <c r="PO102" s="252"/>
      <c r="PP102" s="252"/>
      <c r="PQ102" s="252"/>
      <c r="PR102" s="252"/>
      <c r="PS102" s="252"/>
      <c r="PT102" s="252"/>
      <c r="PU102" s="252"/>
      <c r="PV102" s="252"/>
      <c r="PW102" s="252"/>
      <c r="PX102" s="252"/>
      <c r="PY102" s="252"/>
      <c r="PZ102" s="252"/>
      <c r="QA102" s="252"/>
      <c r="QB102" s="252"/>
      <c r="QC102" s="252"/>
      <c r="QD102" s="252"/>
      <c r="QE102" s="252"/>
      <c r="QF102" s="252"/>
      <c r="QG102" s="252"/>
      <c r="QH102" s="252"/>
      <c r="QI102" s="252"/>
      <c r="QJ102" s="252"/>
      <c r="QK102" s="252"/>
      <c r="QL102" s="252"/>
      <c r="QM102" s="252"/>
      <c r="QN102" s="252"/>
      <c r="QO102" s="252"/>
      <c r="QP102" s="252"/>
      <c r="QQ102" s="252"/>
      <c r="QR102" s="252"/>
      <c r="QS102" s="252"/>
      <c r="QT102" s="252"/>
      <c r="QU102" s="252"/>
      <c r="QV102" s="252"/>
      <c r="QW102" s="252"/>
      <c r="QX102" s="252"/>
      <c r="QY102" s="252"/>
      <c r="QZ102" s="252"/>
      <c r="RA102" s="252"/>
      <c r="RB102" s="252"/>
      <c r="RC102" s="252"/>
      <c r="RD102" s="252"/>
      <c r="RE102" s="252"/>
      <c r="RF102" s="252"/>
      <c r="RG102" s="252"/>
      <c r="RH102" s="252"/>
      <c r="RI102" s="252"/>
      <c r="RJ102" s="252"/>
      <c r="RK102" s="252"/>
      <c r="RL102" s="252"/>
      <c r="RM102" s="252"/>
      <c r="RN102" s="252"/>
      <c r="RO102" s="252"/>
      <c r="RP102" s="252"/>
      <c r="RQ102" s="252"/>
      <c r="RR102" s="252"/>
      <c r="RS102" s="252"/>
      <c r="RT102" s="252"/>
      <c r="RU102" s="252"/>
      <c r="RV102" s="252"/>
      <c r="RW102" s="252"/>
      <c r="RX102" s="252"/>
      <c r="RY102" s="252"/>
      <c r="RZ102" s="252"/>
      <c r="SA102" s="252"/>
      <c r="SB102" s="252"/>
      <c r="SC102" s="252"/>
      <c r="SD102" s="252"/>
      <c r="SE102" s="252"/>
      <c r="SF102" s="252"/>
      <c r="SG102" s="252"/>
      <c r="SH102" s="252"/>
      <c r="SI102" s="252"/>
      <c r="SJ102" s="252"/>
      <c r="SK102" s="252"/>
      <c r="SL102" s="252"/>
      <c r="SM102" s="252"/>
      <c r="SN102" s="252"/>
    </row>
    <row r="103" spans="1:508" s="243" customFormat="1" ht="15.6" customHeight="1" x14ac:dyDescent="0.55000000000000004">
      <c r="A103" s="289"/>
      <c r="B103" s="283"/>
      <c r="C103" s="283"/>
      <c r="D103" s="283"/>
      <c r="E103" s="283"/>
      <c r="F103" s="283"/>
      <c r="G103" s="284"/>
      <c r="H103" s="285"/>
      <c r="I103" s="284"/>
      <c r="J103" s="286"/>
      <c r="K103" s="283"/>
      <c r="L103" s="283"/>
      <c r="M103" s="284"/>
      <c r="N103" s="283"/>
      <c r="O103" s="284"/>
      <c r="P103" s="285"/>
      <c r="Q103" s="283"/>
      <c r="R103" s="283"/>
      <c r="S103" s="283"/>
      <c r="T103" s="283"/>
      <c r="U103" s="284"/>
      <c r="V103" s="287"/>
      <c r="W103" s="286"/>
      <c r="X103" s="283"/>
      <c r="Y103" s="283"/>
      <c r="Z103" s="283"/>
      <c r="AA103" s="283"/>
      <c r="AB103" s="283"/>
      <c r="AC103" s="283"/>
      <c r="AD103" s="288"/>
      <c r="AE103" s="283"/>
      <c r="AF103" s="283"/>
      <c r="AG103" s="283"/>
      <c r="AH103" s="284"/>
      <c r="AI103" s="285"/>
      <c r="AJ103" s="283"/>
      <c r="AK103" s="283"/>
      <c r="AL103" s="283"/>
      <c r="AM103" s="284"/>
      <c r="AN103" s="285"/>
      <c r="AO103" s="283"/>
      <c r="AP103" s="283"/>
      <c r="AQ103" s="283"/>
      <c r="AR103" s="284"/>
      <c r="AS103" s="285"/>
      <c r="AT103" s="283"/>
      <c r="AU103" s="283"/>
      <c r="AV103" s="283"/>
      <c r="AW103" s="283"/>
      <c r="NU103" s="252"/>
      <c r="NV103" s="252"/>
      <c r="NW103" s="252"/>
      <c r="NX103" s="252"/>
      <c r="NY103" s="252"/>
      <c r="NZ103" s="252"/>
      <c r="OA103" s="252"/>
      <c r="OB103" s="252"/>
      <c r="OC103" s="252"/>
      <c r="OD103" s="252"/>
      <c r="OE103" s="252"/>
      <c r="OF103" s="252"/>
      <c r="OG103" s="252"/>
      <c r="OH103" s="252"/>
      <c r="OI103" s="252"/>
      <c r="OJ103" s="252"/>
      <c r="OK103" s="252"/>
      <c r="OL103" s="252"/>
      <c r="OM103" s="252"/>
      <c r="ON103" s="252"/>
      <c r="OO103" s="252"/>
      <c r="OP103" s="252"/>
      <c r="OQ103" s="252"/>
      <c r="OR103" s="252"/>
      <c r="OS103" s="252"/>
      <c r="OT103" s="252"/>
      <c r="OU103" s="252"/>
      <c r="OV103" s="252"/>
      <c r="OW103" s="252"/>
      <c r="OX103" s="252"/>
      <c r="OY103" s="252"/>
      <c r="OZ103" s="252"/>
      <c r="PA103" s="252"/>
      <c r="PB103" s="252"/>
      <c r="PC103" s="252"/>
      <c r="PD103" s="252"/>
      <c r="PE103" s="252"/>
      <c r="PF103" s="252"/>
      <c r="PG103" s="252"/>
      <c r="PH103" s="252"/>
      <c r="PI103" s="252"/>
      <c r="PJ103" s="252"/>
      <c r="PK103" s="252"/>
      <c r="PL103" s="252"/>
      <c r="PM103" s="252"/>
      <c r="PN103" s="252"/>
      <c r="PO103" s="252"/>
      <c r="PP103" s="252"/>
      <c r="PQ103" s="252"/>
      <c r="PR103" s="252"/>
      <c r="PS103" s="252"/>
      <c r="PT103" s="252"/>
      <c r="PU103" s="252"/>
      <c r="PV103" s="252"/>
      <c r="PW103" s="252"/>
      <c r="PX103" s="252"/>
      <c r="PY103" s="252"/>
      <c r="PZ103" s="252"/>
      <c r="QA103" s="252"/>
      <c r="QB103" s="252"/>
      <c r="QC103" s="252"/>
      <c r="QD103" s="252"/>
      <c r="QE103" s="252"/>
      <c r="QF103" s="252"/>
      <c r="QG103" s="252"/>
      <c r="QH103" s="252"/>
      <c r="QI103" s="252"/>
      <c r="QJ103" s="252"/>
      <c r="QK103" s="252"/>
      <c r="QL103" s="252"/>
      <c r="QM103" s="252"/>
      <c r="QN103" s="252"/>
      <c r="QO103" s="252"/>
      <c r="QP103" s="252"/>
      <c r="QQ103" s="252"/>
      <c r="QR103" s="252"/>
      <c r="QS103" s="252"/>
      <c r="QT103" s="252"/>
      <c r="QU103" s="252"/>
      <c r="QV103" s="252"/>
      <c r="QW103" s="252"/>
      <c r="QX103" s="252"/>
      <c r="QY103" s="252"/>
      <c r="QZ103" s="252"/>
      <c r="RA103" s="252"/>
      <c r="RB103" s="252"/>
      <c r="RC103" s="252"/>
      <c r="RD103" s="252"/>
      <c r="RE103" s="252"/>
      <c r="RF103" s="252"/>
      <c r="RG103" s="252"/>
      <c r="RH103" s="252"/>
      <c r="RI103" s="252"/>
      <c r="RJ103" s="252"/>
      <c r="RK103" s="252"/>
      <c r="RL103" s="252"/>
      <c r="RM103" s="252"/>
      <c r="RN103" s="252"/>
      <c r="RO103" s="252"/>
      <c r="RP103" s="252"/>
      <c r="RQ103" s="252"/>
      <c r="RR103" s="252"/>
      <c r="RS103" s="252"/>
      <c r="RT103" s="252"/>
      <c r="RU103" s="252"/>
      <c r="RV103" s="252"/>
      <c r="RW103" s="252"/>
      <c r="RX103" s="252"/>
      <c r="RY103" s="252"/>
      <c r="RZ103" s="252"/>
      <c r="SA103" s="252"/>
      <c r="SB103" s="252"/>
      <c r="SC103" s="252"/>
      <c r="SD103" s="252"/>
      <c r="SE103" s="252"/>
      <c r="SF103" s="252"/>
      <c r="SG103" s="252"/>
      <c r="SH103" s="252"/>
      <c r="SI103" s="252"/>
      <c r="SJ103" s="252"/>
      <c r="SK103" s="252"/>
      <c r="SL103" s="252"/>
      <c r="SM103" s="252"/>
      <c r="SN103" s="252"/>
    </row>
    <row r="104" spans="1:508" s="243" customFormat="1" ht="15.6" customHeight="1" x14ac:dyDescent="0.55000000000000004">
      <c r="A104" s="289"/>
      <c r="B104" s="283"/>
      <c r="C104" s="283"/>
      <c r="D104" s="283"/>
      <c r="E104" s="283"/>
      <c r="F104" s="283"/>
      <c r="G104" s="284"/>
      <c r="H104" s="285"/>
      <c r="I104" s="284"/>
      <c r="J104" s="286"/>
      <c r="K104" s="283"/>
      <c r="L104" s="283"/>
      <c r="M104" s="284"/>
      <c r="N104" s="283"/>
      <c r="O104" s="284"/>
      <c r="P104" s="285"/>
      <c r="Q104" s="283"/>
      <c r="R104" s="283"/>
      <c r="S104" s="283"/>
      <c r="T104" s="283"/>
      <c r="U104" s="284"/>
      <c r="V104" s="287"/>
      <c r="W104" s="286"/>
      <c r="X104" s="283"/>
      <c r="Y104" s="283"/>
      <c r="Z104" s="283"/>
      <c r="AA104" s="283"/>
      <c r="AB104" s="283"/>
      <c r="AC104" s="283"/>
      <c r="AD104" s="288"/>
      <c r="AE104" s="283"/>
      <c r="AF104" s="283"/>
      <c r="AG104" s="283"/>
      <c r="AH104" s="284"/>
      <c r="AI104" s="285"/>
      <c r="AJ104" s="283"/>
      <c r="AK104" s="283"/>
      <c r="AL104" s="283"/>
      <c r="AM104" s="284"/>
      <c r="AN104" s="285"/>
      <c r="AO104" s="283"/>
      <c r="AP104" s="283"/>
      <c r="AQ104" s="283"/>
      <c r="AR104" s="284"/>
      <c r="AS104" s="285"/>
      <c r="AT104" s="283"/>
      <c r="AU104" s="283"/>
      <c r="AV104" s="283"/>
      <c r="AW104" s="283"/>
      <c r="NU104" s="252"/>
      <c r="NV104" s="252"/>
      <c r="NW104" s="252"/>
      <c r="NX104" s="252"/>
      <c r="NY104" s="252"/>
      <c r="NZ104" s="252"/>
      <c r="OA104" s="252"/>
      <c r="OB104" s="252"/>
      <c r="OC104" s="252"/>
      <c r="OD104" s="252"/>
      <c r="OE104" s="252"/>
      <c r="OF104" s="252"/>
      <c r="OG104" s="252"/>
      <c r="OH104" s="252"/>
      <c r="OI104" s="252"/>
      <c r="OJ104" s="252"/>
      <c r="OK104" s="252"/>
      <c r="OL104" s="252"/>
      <c r="OM104" s="252"/>
      <c r="ON104" s="252"/>
      <c r="OO104" s="252"/>
      <c r="OP104" s="252"/>
      <c r="OQ104" s="252"/>
      <c r="OR104" s="252"/>
      <c r="OS104" s="252"/>
      <c r="OT104" s="252"/>
      <c r="OU104" s="252"/>
      <c r="OV104" s="252"/>
      <c r="OW104" s="252"/>
      <c r="OX104" s="252"/>
      <c r="OY104" s="252"/>
      <c r="OZ104" s="252"/>
      <c r="PA104" s="252"/>
      <c r="PB104" s="252"/>
      <c r="PC104" s="252"/>
      <c r="PD104" s="252"/>
      <c r="PE104" s="252"/>
      <c r="PF104" s="252"/>
      <c r="PG104" s="252"/>
      <c r="PH104" s="252"/>
      <c r="PI104" s="252"/>
      <c r="PJ104" s="252"/>
      <c r="PK104" s="252"/>
      <c r="PL104" s="252"/>
      <c r="PM104" s="252"/>
      <c r="PN104" s="252"/>
      <c r="PO104" s="252"/>
      <c r="PP104" s="252"/>
      <c r="PQ104" s="252"/>
      <c r="PR104" s="252"/>
      <c r="PS104" s="252"/>
      <c r="PT104" s="252"/>
      <c r="PU104" s="252"/>
      <c r="PV104" s="252"/>
      <c r="PW104" s="252"/>
      <c r="PX104" s="252"/>
      <c r="PY104" s="252"/>
      <c r="PZ104" s="252"/>
      <c r="QA104" s="252"/>
      <c r="QB104" s="252"/>
      <c r="QC104" s="252"/>
      <c r="QD104" s="252"/>
      <c r="QE104" s="252"/>
      <c r="QF104" s="252"/>
      <c r="QG104" s="252"/>
      <c r="QH104" s="252"/>
      <c r="QI104" s="252"/>
      <c r="QJ104" s="252"/>
      <c r="QK104" s="252"/>
      <c r="QL104" s="252"/>
      <c r="QM104" s="252"/>
      <c r="QN104" s="252"/>
      <c r="QO104" s="252"/>
      <c r="QP104" s="252"/>
      <c r="QQ104" s="252"/>
      <c r="QR104" s="252"/>
      <c r="QS104" s="252"/>
      <c r="QT104" s="252"/>
      <c r="QU104" s="252"/>
      <c r="QV104" s="252"/>
      <c r="QW104" s="252"/>
      <c r="QX104" s="252"/>
      <c r="QY104" s="252"/>
      <c r="QZ104" s="252"/>
      <c r="RA104" s="252"/>
      <c r="RB104" s="252"/>
      <c r="RC104" s="252"/>
      <c r="RD104" s="252"/>
      <c r="RE104" s="252"/>
      <c r="RF104" s="252"/>
      <c r="RG104" s="252"/>
      <c r="RH104" s="252"/>
      <c r="RI104" s="252"/>
      <c r="RJ104" s="252"/>
      <c r="RK104" s="252"/>
      <c r="RL104" s="252"/>
      <c r="RM104" s="252"/>
      <c r="RN104" s="252"/>
      <c r="RO104" s="252"/>
      <c r="RP104" s="252"/>
      <c r="RQ104" s="252"/>
      <c r="RR104" s="252"/>
      <c r="RS104" s="252"/>
      <c r="RT104" s="252"/>
      <c r="RU104" s="252"/>
      <c r="RV104" s="252"/>
      <c r="RW104" s="252"/>
      <c r="RX104" s="252"/>
      <c r="RY104" s="252"/>
      <c r="RZ104" s="252"/>
      <c r="SA104" s="252"/>
      <c r="SB104" s="252"/>
      <c r="SC104" s="252"/>
      <c r="SD104" s="252"/>
      <c r="SE104" s="252"/>
      <c r="SF104" s="252"/>
      <c r="SG104" s="252"/>
      <c r="SH104" s="252"/>
      <c r="SI104" s="252"/>
      <c r="SJ104" s="252"/>
      <c r="SK104" s="252"/>
      <c r="SL104" s="252"/>
      <c r="SM104" s="252"/>
      <c r="SN104" s="252"/>
    </row>
    <row r="105" spans="1:508" s="243" customFormat="1" ht="15.6" customHeight="1" x14ac:dyDescent="0.55000000000000004">
      <c r="A105" s="289"/>
      <c r="B105" s="283"/>
      <c r="C105" s="283"/>
      <c r="D105" s="283"/>
      <c r="E105" s="283"/>
      <c r="F105" s="283"/>
      <c r="G105" s="284"/>
      <c r="H105" s="285"/>
      <c r="I105" s="284"/>
      <c r="J105" s="286"/>
      <c r="K105" s="283"/>
      <c r="L105" s="283"/>
      <c r="M105" s="284"/>
      <c r="N105" s="283"/>
      <c r="O105" s="284"/>
      <c r="P105" s="285"/>
      <c r="Q105" s="283"/>
      <c r="R105" s="283"/>
      <c r="S105" s="283"/>
      <c r="T105" s="283"/>
      <c r="U105" s="284"/>
      <c r="V105" s="287"/>
      <c r="W105" s="286"/>
      <c r="X105" s="283"/>
      <c r="Y105" s="283"/>
      <c r="Z105" s="283"/>
      <c r="AA105" s="283"/>
      <c r="AB105" s="283"/>
      <c r="AC105" s="283"/>
      <c r="AD105" s="288"/>
      <c r="AE105" s="283"/>
      <c r="AF105" s="283"/>
      <c r="AG105" s="283"/>
      <c r="AH105" s="284"/>
      <c r="AI105" s="285"/>
      <c r="AJ105" s="283"/>
      <c r="AK105" s="283"/>
      <c r="AL105" s="283"/>
      <c r="AM105" s="284"/>
      <c r="AN105" s="285"/>
      <c r="AO105" s="283"/>
      <c r="AP105" s="283"/>
      <c r="AQ105" s="283"/>
      <c r="AR105" s="284"/>
      <c r="AS105" s="285"/>
      <c r="AT105" s="283"/>
      <c r="AU105" s="283"/>
      <c r="AV105" s="283"/>
      <c r="AW105" s="283"/>
      <c r="NU105" s="252"/>
      <c r="NV105" s="252"/>
      <c r="NW105" s="252"/>
      <c r="NX105" s="252"/>
      <c r="NY105" s="252"/>
      <c r="NZ105" s="252"/>
      <c r="OA105" s="252"/>
      <c r="OB105" s="252"/>
      <c r="OC105" s="252"/>
      <c r="OD105" s="252"/>
      <c r="OE105" s="252"/>
      <c r="OF105" s="252"/>
      <c r="OG105" s="252"/>
      <c r="OH105" s="252"/>
      <c r="OI105" s="252"/>
      <c r="OJ105" s="252"/>
      <c r="OK105" s="252"/>
      <c r="OL105" s="252"/>
      <c r="OM105" s="252"/>
      <c r="ON105" s="252"/>
      <c r="OO105" s="252"/>
      <c r="OP105" s="252"/>
      <c r="OQ105" s="252"/>
      <c r="OR105" s="252"/>
      <c r="OS105" s="252"/>
      <c r="OT105" s="252"/>
      <c r="OU105" s="252"/>
      <c r="OV105" s="252"/>
      <c r="OW105" s="252"/>
      <c r="OX105" s="252"/>
      <c r="OY105" s="252"/>
      <c r="OZ105" s="252"/>
      <c r="PA105" s="252"/>
      <c r="PB105" s="252"/>
      <c r="PC105" s="252"/>
      <c r="PD105" s="252"/>
      <c r="PE105" s="252"/>
      <c r="PF105" s="252"/>
      <c r="PG105" s="252"/>
      <c r="PH105" s="252"/>
      <c r="PI105" s="252"/>
      <c r="PJ105" s="252"/>
      <c r="PK105" s="252"/>
      <c r="PL105" s="252"/>
      <c r="PM105" s="252"/>
      <c r="PN105" s="252"/>
      <c r="PO105" s="252"/>
      <c r="PP105" s="252"/>
      <c r="PQ105" s="252"/>
      <c r="PR105" s="252"/>
      <c r="PS105" s="252"/>
      <c r="PT105" s="252"/>
      <c r="PU105" s="252"/>
      <c r="PV105" s="252"/>
      <c r="PW105" s="252"/>
      <c r="PX105" s="252"/>
      <c r="PY105" s="252"/>
      <c r="PZ105" s="252"/>
      <c r="QA105" s="252"/>
      <c r="QB105" s="252"/>
      <c r="QC105" s="252"/>
      <c r="QD105" s="252"/>
      <c r="QE105" s="252"/>
      <c r="QF105" s="252"/>
      <c r="QG105" s="252"/>
      <c r="QH105" s="252"/>
      <c r="QI105" s="252"/>
      <c r="QJ105" s="252"/>
      <c r="QK105" s="252"/>
      <c r="QL105" s="252"/>
      <c r="QM105" s="252"/>
      <c r="QN105" s="252"/>
      <c r="QO105" s="252"/>
      <c r="QP105" s="252"/>
      <c r="QQ105" s="252"/>
      <c r="QR105" s="252"/>
      <c r="QS105" s="252"/>
      <c r="QT105" s="252"/>
      <c r="QU105" s="252"/>
      <c r="QV105" s="252"/>
      <c r="QW105" s="252"/>
      <c r="QX105" s="252"/>
      <c r="QY105" s="252"/>
      <c r="QZ105" s="252"/>
      <c r="RA105" s="252"/>
      <c r="RB105" s="252"/>
      <c r="RC105" s="252"/>
      <c r="RD105" s="252"/>
      <c r="RE105" s="252"/>
      <c r="RF105" s="252"/>
      <c r="RG105" s="252"/>
      <c r="RH105" s="252"/>
      <c r="RI105" s="252"/>
      <c r="RJ105" s="252"/>
      <c r="RK105" s="252"/>
      <c r="RL105" s="252"/>
      <c r="RM105" s="252"/>
      <c r="RN105" s="252"/>
      <c r="RO105" s="252"/>
      <c r="RP105" s="252"/>
      <c r="RQ105" s="252"/>
      <c r="RR105" s="252"/>
      <c r="RS105" s="252"/>
      <c r="RT105" s="252"/>
      <c r="RU105" s="252"/>
      <c r="RV105" s="252"/>
      <c r="RW105" s="252"/>
      <c r="RX105" s="252"/>
      <c r="RY105" s="252"/>
      <c r="RZ105" s="252"/>
      <c r="SA105" s="252"/>
      <c r="SB105" s="252"/>
      <c r="SC105" s="252"/>
      <c r="SD105" s="252"/>
      <c r="SE105" s="252"/>
      <c r="SF105" s="252"/>
      <c r="SG105" s="252"/>
      <c r="SH105" s="252"/>
      <c r="SI105" s="252"/>
      <c r="SJ105" s="252"/>
      <c r="SK105" s="252"/>
      <c r="SL105" s="252"/>
      <c r="SM105" s="252"/>
      <c r="SN105" s="252"/>
    </row>
  </sheetData>
  <sheetProtection formatCells="0" formatColumns="0" formatRows="0" autoFilter="0"/>
  <dataConsolidate/>
  <mergeCells count="7">
    <mergeCell ref="A3:B3"/>
    <mergeCell ref="AV4:AW4"/>
    <mergeCell ref="A5:G5"/>
    <mergeCell ref="AD5:AH5"/>
    <mergeCell ref="AI5:AM5"/>
    <mergeCell ref="AN5:AR5"/>
    <mergeCell ref="AS5:AW5"/>
  </mergeCells>
  <dataValidations count="2">
    <dataValidation operator="notEqual" allowBlank="1" showInputMessage="1" showErrorMessage="1" sqref="C4" xr:uid="{1BAF54E5-43BF-4D08-AA04-EF28623C893E}"/>
    <dataValidation type="date" operator="notEqual" allowBlank="1" showInputMessage="1" showErrorMessage="1" sqref="C3" xr:uid="{14B1EA0C-AD47-4339-8A85-059D5BF6BED6}">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63BB24E-A738-4ED3-B753-20730039961E}">
          <x14:formula1>
            <xm:f>List!$E$2:$E$4</xm:f>
          </x14:formula1>
          <xm:sqref>K87:M97 O87:O97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9C65-FF07-4964-8EE6-580FBADD2E10}">
  <sheetPr codeName="Sheet8"/>
  <dimension ref="A1:L8"/>
  <sheetViews>
    <sheetView workbookViewId="0"/>
  </sheetViews>
  <sheetFormatPr defaultRowHeight="15" customHeight="1" x14ac:dyDescent="0.55000000000000004"/>
  <cols>
    <col min="1" max="1" width="12.26171875" customWidth="1"/>
    <col min="2" max="2" width="13.578125" customWidth="1"/>
    <col min="3" max="3" width="44.83984375" bestFit="1" customWidth="1"/>
    <col min="4" max="4" width="16.41796875" bestFit="1" customWidth="1"/>
    <col min="5" max="6" width="12.41796875" bestFit="1" customWidth="1"/>
    <col min="7" max="11" width="44.83984375" customWidth="1"/>
    <col min="12" max="12" width="81.26171875" customWidth="1"/>
  </cols>
  <sheetData>
    <row r="1" spans="1:12" ht="18" thickBot="1" x14ac:dyDescent="0.6">
      <c r="A1" s="67" t="s">
        <v>186</v>
      </c>
      <c r="B1" s="68"/>
      <c r="C1" s="68"/>
      <c r="D1" s="68"/>
      <c r="E1" s="68"/>
      <c r="F1" s="68"/>
      <c r="G1" s="68"/>
      <c r="H1" s="68"/>
      <c r="I1" s="68"/>
      <c r="J1" s="68"/>
      <c r="K1" s="68"/>
      <c r="L1" s="69"/>
    </row>
    <row r="2" spans="1:12" s="61" customFormat="1" ht="14.7" thickBot="1" x14ac:dyDescent="0.6">
      <c r="A2" s="43" t="s">
        <v>198</v>
      </c>
      <c r="B2" s="46" t="s">
        <v>66</v>
      </c>
      <c r="C2" s="44" t="s">
        <v>14</v>
      </c>
      <c r="D2" s="44" t="s">
        <v>199</v>
      </c>
      <c r="E2" s="44" t="s">
        <v>71</v>
      </c>
      <c r="F2" s="44" t="s">
        <v>200</v>
      </c>
      <c r="G2" s="44" t="s">
        <v>72</v>
      </c>
      <c r="H2" s="52" t="s">
        <v>67</v>
      </c>
      <c r="I2" s="52" t="s">
        <v>187</v>
      </c>
      <c r="J2" s="52" t="s">
        <v>188</v>
      </c>
      <c r="K2" s="52" t="s">
        <v>189</v>
      </c>
      <c r="L2" s="45" t="s">
        <v>201</v>
      </c>
    </row>
    <row r="3" spans="1:12" ht="14.4" x14ac:dyDescent="0.55000000000000004">
      <c r="B3" t="s">
        <v>327</v>
      </c>
      <c r="C3" t="s">
        <v>328</v>
      </c>
      <c r="D3" t="s">
        <v>117</v>
      </c>
      <c r="E3" t="s">
        <v>191</v>
      </c>
      <c r="F3">
        <v>2025</v>
      </c>
      <c r="G3" t="s">
        <v>190</v>
      </c>
      <c r="H3" t="s">
        <v>191</v>
      </c>
      <c r="L3" t="s">
        <v>192</v>
      </c>
    </row>
    <row r="4" spans="1:12" ht="14.4" x14ac:dyDescent="0.55000000000000004"/>
    <row r="5" spans="1:12" ht="14.4" x14ac:dyDescent="0.55000000000000004"/>
    <row r="6" spans="1:12" ht="14.4" x14ac:dyDescent="0.55000000000000004"/>
    <row r="7" spans="1:12" ht="14.4" x14ac:dyDescent="0.55000000000000004"/>
    <row r="8" spans="1:12" ht="14.4" x14ac:dyDescent="0.55000000000000004"/>
  </sheetData>
  <phoneticPr fontId="17"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BFB55EA-BCAC-4969-9E21-C0E636E8B37A}">
          <x14:formula1>
            <xm:f>List!$K$2:$K$6</xm:f>
          </x14:formula1>
          <xm:sqref>G3:G7</xm:sqref>
        </x14:dataValidation>
        <x14:dataValidation type="list" allowBlank="1" showInputMessage="1" showErrorMessage="1" xr:uid="{696B2ABC-D290-493D-BB0A-7B19C5043E72}">
          <x14:formula1>
            <xm:f>List!$L$2:$L$9</xm:f>
          </x14:formula1>
          <xm:sqref>E3:E7 H3:H7</xm:sqref>
        </x14:dataValidation>
        <x14:dataValidation type="list" allowBlank="1" showInputMessage="1" showErrorMessage="1" xr:uid="{51C57DDE-3C43-4429-8979-EB6E5AAD47FB}">
          <x14:formula1>
            <xm:f>List!$E$14:$E$17</xm:f>
          </x14:formula1>
          <xm:sqref>D3:D7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1F79-A367-4E56-94C5-B9A73FE05FAD}">
  <sheetPr codeName="Sheet9"/>
  <dimension ref="A1:AE8"/>
  <sheetViews>
    <sheetView workbookViewId="0">
      <selection sqref="A1:C1"/>
    </sheetView>
  </sheetViews>
  <sheetFormatPr defaultRowHeight="14.4" x14ac:dyDescent="0.55000000000000004"/>
  <cols>
    <col min="1" max="1" width="18" bestFit="1" customWidth="1"/>
    <col min="2" max="2" width="37.26171875" customWidth="1"/>
    <col min="3" max="3" width="18" customWidth="1"/>
    <col min="4" max="4" width="27" bestFit="1" customWidth="1"/>
    <col min="5" max="5" width="20.15625" customWidth="1"/>
    <col min="6" max="6" width="23" bestFit="1" customWidth="1"/>
    <col min="7" max="8" width="20.68359375" bestFit="1" customWidth="1"/>
    <col min="9" max="9" width="22.83984375" bestFit="1" customWidth="1"/>
    <col min="10" max="10" width="27" bestFit="1" customWidth="1"/>
    <col min="11" max="11" width="24.68359375" bestFit="1" customWidth="1"/>
    <col min="12" max="12" width="20.15625" bestFit="1" customWidth="1"/>
    <col min="13" max="13" width="63" hidden="1" customWidth="1"/>
    <col min="14" max="14" width="39.83984375" hidden="1" customWidth="1"/>
    <col min="15" max="15" width="43.41796875" hidden="1" customWidth="1"/>
    <col min="16" max="16" width="34.578125" hidden="1" customWidth="1"/>
    <col min="17" max="17" width="31.41796875" hidden="1" customWidth="1"/>
    <col min="18" max="18" width="35.41796875" hidden="1" customWidth="1"/>
    <col min="19" max="19" width="36.578125" hidden="1" customWidth="1"/>
    <col min="20" max="20" width="46.83984375" hidden="1" customWidth="1"/>
    <col min="21" max="21" width="32.68359375" hidden="1" customWidth="1"/>
    <col min="22" max="22" width="35.68359375" hidden="1" customWidth="1"/>
    <col min="23" max="26" width="41.578125" hidden="1" customWidth="1"/>
    <col min="27" max="27" width="23" hidden="1" customWidth="1"/>
    <col min="28" max="28" width="18.41796875" hidden="1" customWidth="1"/>
    <col min="29" max="29" width="30.41796875" bestFit="1" customWidth="1"/>
    <col min="30" max="30" width="28.26171875" bestFit="1" customWidth="1"/>
    <col min="31" max="31" width="24" bestFit="1" customWidth="1"/>
  </cols>
  <sheetData>
    <row r="1" spans="1:31" ht="35.700000000000003" x14ac:dyDescent="1.3">
      <c r="A1" s="345" t="s">
        <v>364</v>
      </c>
      <c r="B1" s="345"/>
      <c r="C1" s="345"/>
    </row>
    <row r="2" spans="1:31" x14ac:dyDescent="0.55000000000000004">
      <c r="A2" s="110" t="s">
        <v>6</v>
      </c>
      <c r="B2">
        <f>COLUMN()</f>
        <v>2</v>
      </c>
      <c r="C2">
        <f>COLUMN()</f>
        <v>3</v>
      </c>
      <c r="D2">
        <f>COLUMN()</f>
        <v>4</v>
      </c>
      <c r="E2">
        <f>COLUMN()</f>
        <v>5</v>
      </c>
      <c r="F2">
        <f>COLUMN()</f>
        <v>6</v>
      </c>
      <c r="G2">
        <f>COLUMN()</f>
        <v>7</v>
      </c>
      <c r="H2">
        <f>COLUMN()</f>
        <v>8</v>
      </c>
      <c r="I2">
        <f>COLUMN()</f>
        <v>9</v>
      </c>
      <c r="J2">
        <f>COLUMN()</f>
        <v>10</v>
      </c>
      <c r="K2">
        <f>COLUMN()</f>
        <v>11</v>
      </c>
      <c r="L2">
        <f>COLUMN()</f>
        <v>12</v>
      </c>
    </row>
    <row r="3" spans="1:31" s="4" customFormat="1" ht="15" customHeight="1" x14ac:dyDescent="0.55000000000000004">
      <c r="A3" s="111" t="str">
        <f>Translation!A97</f>
        <v>Project Info</v>
      </c>
      <c r="B3" s="111"/>
      <c r="C3" s="346" t="str">
        <f>Translation!A110</f>
        <v>Key Milestones</v>
      </c>
      <c r="D3" s="346"/>
      <c r="E3" s="346"/>
      <c r="F3" s="346"/>
      <c r="G3" s="346"/>
      <c r="H3" s="346"/>
      <c r="I3" s="346"/>
      <c r="J3" s="346"/>
      <c r="K3" s="346"/>
      <c r="L3" s="346"/>
    </row>
    <row r="4" spans="1:31" s="106" customFormat="1" ht="23.1" customHeight="1" x14ac:dyDescent="0.55000000000000004">
      <c r="A4" s="106" t="str">
        <f>Translation!A99</f>
        <v>Project ID</v>
      </c>
      <c r="B4" s="106" t="str">
        <f>Translation!A100</f>
        <v xml:space="preserve">Project Name </v>
      </c>
      <c r="C4" s="107" t="str">
        <f>Translation!A111</f>
        <v xml:space="preserve">Site Purchase </v>
      </c>
      <c r="D4" s="107" t="s">
        <v>305</v>
      </c>
      <c r="E4" s="107" t="s">
        <v>306</v>
      </c>
      <c r="F4" s="107" t="s">
        <v>307</v>
      </c>
      <c r="G4" s="107" t="s">
        <v>308</v>
      </c>
      <c r="H4" s="107" t="s">
        <v>309</v>
      </c>
      <c r="I4" s="107" t="s">
        <v>50</v>
      </c>
      <c r="J4" s="107" t="s">
        <v>145</v>
      </c>
      <c r="K4" s="107" t="str">
        <f>Translation!A120</f>
        <v xml:space="preserve">School/Addition Opening </v>
      </c>
      <c r="L4" s="108" t="s">
        <v>310</v>
      </c>
      <c r="M4" s="109" t="str">
        <f>'Monthly Update'!Q7</f>
        <v>Site Purchase Date</v>
      </c>
      <c r="N4" s="109" t="str">
        <f>'Monthly Update'!T7</f>
        <v>Space Template Approval Date</v>
      </c>
      <c r="O4" s="109" t="str">
        <f>'Monthly Update'!U7</f>
        <v xml:space="preserve">Child Care Floorplan Approval Date </v>
      </c>
      <c r="P4" s="109" t="str">
        <f>'Monthly Update'!W7</f>
        <v>Initial Site Plan Submission Date</v>
      </c>
      <c r="Q4" s="109" t="str">
        <f>'Monthly Update'!X7</f>
        <v>Site Plan Approval Date</v>
      </c>
      <c r="R4" s="109" t="str">
        <f>'Monthly Update'!Z7</f>
        <v>Build Permit Obtained Date</v>
      </c>
      <c r="S4" s="109" t="str">
        <f>'Monthly Update'!H7</f>
        <v>Pre-Tender Submission Date</v>
      </c>
      <c r="T4" s="109" t="str">
        <f>'Monthly Update'!AB7</f>
        <v xml:space="preserve">Tender Issued Date </v>
      </c>
      <c r="U4" s="109" t="str">
        <f>'Monthly Update'!AC7</f>
        <v>Tender Closed Date</v>
      </c>
      <c r="V4" s="109" t="str">
        <f>'Monthly Update'!L7</f>
        <v>Post-Tender Submission Date</v>
      </c>
      <c r="W4" s="109" t="str">
        <f>'Monthly Update'!AD7</f>
        <v>Contract Awarded Date</v>
      </c>
      <c r="X4" s="109" t="str">
        <f>'Monthly Update'!AE7</f>
        <v>Construction Start Date</v>
      </c>
      <c r="Y4" s="109" t="str">
        <f>'Monthly Update'!AG7</f>
        <v>Substantial Completion Date</v>
      </c>
      <c r="Z4" s="109" t="str">
        <f>'Monthly Update'!AI7</f>
        <v xml:space="preserve">School Opening Date </v>
      </c>
      <c r="AA4" s="109" t="str">
        <f>'Monthly Update'!AK7</f>
        <v>Child Care Opening Date</v>
      </c>
      <c r="AB4" s="109" t="str">
        <f>'Monthly Update'!AM7</f>
        <v>Financial Close-Out Date</v>
      </c>
      <c r="AC4" s="109"/>
      <c r="AD4" s="109"/>
      <c r="AE4" s="109"/>
    </row>
    <row r="5" spans="1:31" x14ac:dyDescent="0.55000000000000004">
      <c r="A5" t="s">
        <v>304</v>
      </c>
      <c r="B5" t="s">
        <v>288</v>
      </c>
      <c r="C5" s="32" t="s">
        <v>289</v>
      </c>
      <c r="D5" s="32" t="s">
        <v>268</v>
      </c>
      <c r="E5" s="32" t="s">
        <v>311</v>
      </c>
      <c r="F5" s="32" t="s">
        <v>270</v>
      </c>
      <c r="G5" s="32" t="s">
        <v>312</v>
      </c>
      <c r="H5" s="32" t="s">
        <v>313</v>
      </c>
      <c r="I5" s="32" t="s">
        <v>293</v>
      </c>
      <c r="J5" s="32" t="s">
        <v>275</v>
      </c>
      <c r="K5" s="32" t="s">
        <v>276</v>
      </c>
      <c r="L5" s="32" t="s">
        <v>277</v>
      </c>
      <c r="M5" s="74" t="str">
        <f>C5&amp;"_comparison*((formula*((down"</f>
        <v>*((col*((date_site_purchase_comparison*((formula*((down</v>
      </c>
      <c r="N5" s="74" t="str">
        <f t="shared" ref="N5:AB5" si="0">D5&amp;"_comparison*((formula*((down"</f>
        <v>*((col*((date_space_template_comparison*((formula*((down</v>
      </c>
      <c r="O5" s="74" t="str">
        <f t="shared" si="0"/>
        <v>*((col*((date_site_plan_approved_comparison*((formula*((down</v>
      </c>
      <c r="P5" s="74" t="str">
        <f t="shared" si="0"/>
        <v>*((col*((date_pretender_comparison*((formula*((down</v>
      </c>
      <c r="Q5" s="74" t="str">
        <f t="shared" si="0"/>
        <v>*((col*((date_tender_comparison*((formula*((down</v>
      </c>
      <c r="R5" s="74" t="str">
        <f t="shared" si="0"/>
        <v>*((col*((date_posttender_comparison*((formula*((down</v>
      </c>
      <c r="S5" s="74" t="str">
        <f t="shared" si="0"/>
        <v>*((col*((date_construction_comparison*((formula*((down</v>
      </c>
      <c r="T5" s="74" t="str">
        <f t="shared" si="0"/>
        <v>*((col*((date_substantial_completion_comparison*((formula*((down</v>
      </c>
      <c r="U5" s="74" t="str">
        <f t="shared" si="0"/>
        <v>*((col*((date_opening_comparison*((formula*((down</v>
      </c>
      <c r="V5" s="74" t="str">
        <f t="shared" si="0"/>
        <v>*((col*((date_completion_comparison*((formula*((down</v>
      </c>
      <c r="W5" s="74" t="str">
        <f t="shared" si="0"/>
        <v>*((col*((date_site_purchase_comparison*((formula*((down_comparison*((formula*((down</v>
      </c>
      <c r="X5" s="74" t="str">
        <f t="shared" si="0"/>
        <v>*((col*((date_space_template_comparison*((formula*((down_comparison*((formula*((down</v>
      </c>
      <c r="Y5" s="74" t="str">
        <f t="shared" si="0"/>
        <v>*((col*((date_site_plan_approved_comparison*((formula*((down_comparison*((formula*((down</v>
      </c>
      <c r="Z5" s="74" t="str">
        <f t="shared" si="0"/>
        <v>*((col*((date_pretender_comparison*((formula*((down_comparison*((formula*((down</v>
      </c>
      <c r="AA5" s="74" t="str">
        <f t="shared" si="0"/>
        <v>*((col*((date_tender_comparison*((formula*((down_comparison*((formula*((down</v>
      </c>
      <c r="AB5" s="74" t="str">
        <f t="shared" si="0"/>
        <v>*((col*((date_posttender_comparison*((formula*((down_comparison*((formula*((down</v>
      </c>
    </row>
    <row r="6" spans="1:31" x14ac:dyDescent="0.55000000000000004">
      <c r="C6" s="32"/>
      <c r="D6" s="32"/>
      <c r="E6" s="32"/>
      <c r="F6" s="32"/>
      <c r="G6" s="32"/>
      <c r="H6" s="32"/>
      <c r="I6" s="32"/>
      <c r="J6" s="32"/>
      <c r="K6" s="32"/>
      <c r="L6" s="32"/>
      <c r="M6" s="74">
        <f>C6-SUMIF('Monthly Update'!$A:$A,'Project Commitment'!$A6, 'Monthly Update'!Q:Q)</f>
        <v>0</v>
      </c>
      <c r="N6" s="74">
        <f>D6-SUMIF('Monthly Update'!$A:$A,'Project Commitment'!$A6, 'Monthly Update'!T:T)</f>
        <v>0</v>
      </c>
      <c r="O6">
        <f>0</f>
        <v>0</v>
      </c>
      <c r="P6">
        <f>0</f>
        <v>0</v>
      </c>
      <c r="Q6" s="74">
        <f>E6-SUMIF('Monthly Update'!$A:$A,'Project Commitment'!$A6, 'Monthly Update'!X:X)</f>
        <v>0</v>
      </c>
      <c r="R6">
        <f>0</f>
        <v>0</v>
      </c>
      <c r="S6" s="74">
        <f>F6-SUMIF('Monthly Update'!$A:$A,'Project Commitment'!$A6, 'Monthly Update'!H:H)</f>
        <v>0</v>
      </c>
      <c r="T6">
        <f>0</f>
        <v>0</v>
      </c>
      <c r="U6" s="74">
        <f>G6-SUMIF('Monthly Update'!$A:$A,'Project Commitment'!$A6, 'Monthly Update'!AC:AC)</f>
        <v>0</v>
      </c>
      <c r="V6" s="74">
        <f>H6-SUMIF('Monthly Update'!$A:$A,'Project Commitment'!$A6, 'Monthly Update'!L:L)</f>
        <v>0</v>
      </c>
      <c r="W6">
        <f>0</f>
        <v>0</v>
      </c>
      <c r="X6" s="74">
        <f>I6-SUMIF('Monthly Update'!$A:$A,'Project Commitment'!$A6, 'Monthly Update'!AE:AE)</f>
        <v>0</v>
      </c>
      <c r="Y6" s="74">
        <f>J6-SUMIF('Monthly Update'!$A:$A,'Project Commitment'!$A6, 'Monthly Update'!AG:AG)</f>
        <v>0</v>
      </c>
      <c r="Z6" s="74">
        <f>K6-SUMIF('Monthly Update'!$A:$A,'Project Commitment'!$A6, 'Monthly Update'!AI:AI)</f>
        <v>0</v>
      </c>
      <c r="AA6">
        <f>0</f>
        <v>0</v>
      </c>
      <c r="AB6" s="74">
        <f>L6-SUMIF('Monthly Update'!$A:$A,'Project Commitment'!$A6, 'Monthly Update'!AM:AM)</f>
        <v>0</v>
      </c>
    </row>
    <row r="7" spans="1:31" x14ac:dyDescent="0.55000000000000004">
      <c r="C7" s="32"/>
      <c r="D7" s="32"/>
      <c r="E7" s="32"/>
      <c r="F7" s="32"/>
      <c r="G7" s="32"/>
      <c r="H7" s="32"/>
      <c r="I7" s="32"/>
      <c r="J7" s="32"/>
      <c r="K7" s="32"/>
      <c r="L7" s="32"/>
      <c r="N7" s="32"/>
    </row>
    <row r="8" spans="1:31" x14ac:dyDescent="0.55000000000000004">
      <c r="C8" s="32"/>
      <c r="D8" s="32"/>
      <c r="E8" s="32"/>
      <c r="F8" s="32"/>
      <c r="G8" s="32"/>
      <c r="H8" s="32"/>
      <c r="I8" s="32"/>
      <c r="J8" s="32"/>
      <c r="K8" s="32"/>
      <c r="L8" s="32"/>
    </row>
  </sheetData>
  <sheetProtection sheet="1" objects="1" scenarios="1" formatCells="0" formatColumns="0" formatRows="0"/>
  <mergeCells count="2">
    <mergeCell ref="A1:C1"/>
    <mergeCell ref="C3:L3"/>
  </mergeCells>
  <phoneticPr fontId="17" type="noConversion"/>
  <dataValidations count="2">
    <dataValidation type="date" operator="notEqual" allowBlank="1" showInputMessage="1" showErrorMessage="1" errorTitle="Dates Warning " error="Please enter mm/dd/yyyy" promptTitle="Date" prompt="Please enter dates as mm/dd/yyyy" sqref="C6:C7 D6:L6" xr:uid="{A67145E9-13BA-405D-B9F8-39D67F24AFAF}">
      <formula1>1</formula1>
    </dataValidation>
    <dataValidation operator="notEqual" allowBlank="1" showInputMessage="1" showErrorMessage="1" errorTitle="Dates Warning " error="Please enter mm/dd/yyyy" promptTitle="Date" prompt="Please enter dates as mm/dd/yyyy" sqref="A5:XFD5" xr:uid="{85C050F8-6C90-4CAE-89C6-F56BE8D760F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3" id="{AAA8B012-D3C1-4418-9258-961C04503779}">
            <xm:f>'Monthly Update'!#REF!&gt;=EDATE(#REF!,6)</xm:f>
            <x14:dxf>
              <fill>
                <patternFill>
                  <bgColor rgb="FFFF0000"/>
                </patternFill>
              </fill>
            </x14:dxf>
          </x14:cfRule>
          <xm:sqref>AB10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E113-776C-4553-B030-B117F3587D01}">
  <sheetPr codeName="Sheet10"/>
  <dimension ref="A1:B4"/>
  <sheetViews>
    <sheetView workbookViewId="0"/>
  </sheetViews>
  <sheetFormatPr defaultRowHeight="14.4" x14ac:dyDescent="0.55000000000000004"/>
  <cols>
    <col min="1" max="1" width="12.578125" customWidth="1"/>
  </cols>
  <sheetData>
    <row r="1" spans="1:2" x14ac:dyDescent="0.55000000000000004">
      <c r="A1" t="s">
        <v>354</v>
      </c>
    </row>
    <row r="3" spans="1:2" x14ac:dyDescent="0.55000000000000004">
      <c r="A3" t="s">
        <v>355</v>
      </c>
      <c r="B3">
        <f>-365*0.75</f>
        <v>-273.75</v>
      </c>
    </row>
    <row r="4" spans="1:2" x14ac:dyDescent="0.55000000000000004">
      <c r="A4" t="s">
        <v>356</v>
      </c>
      <c r="B4">
        <v>-365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0491-FE61-42BF-B80B-F34D397474E4}">
  <sheetPr codeName="Sheet5"/>
  <dimension ref="A1:M36"/>
  <sheetViews>
    <sheetView topLeftCell="D1" workbookViewId="0">
      <selection activeCell="H10" sqref="H10"/>
    </sheetView>
  </sheetViews>
  <sheetFormatPr defaultRowHeight="14.4" x14ac:dyDescent="0.55000000000000004"/>
  <cols>
    <col min="1" max="1" width="21.15625" bestFit="1" customWidth="1"/>
    <col min="2" max="2" width="22.15625" customWidth="1"/>
    <col min="3" max="3" width="42.26171875" bestFit="1" customWidth="1"/>
    <col min="4" max="4" width="42.26171875" customWidth="1"/>
    <col min="5" max="5" width="16.41796875" bestFit="1" customWidth="1"/>
    <col min="6" max="6" width="27.83984375" bestFit="1" customWidth="1"/>
    <col min="7" max="7" width="18.26171875" bestFit="1" customWidth="1"/>
    <col min="8" max="8" width="34.83984375" bestFit="1" customWidth="1"/>
    <col min="9" max="9" width="34.83984375" customWidth="1"/>
    <col min="10" max="10" width="19" bestFit="1" customWidth="1"/>
    <col min="11" max="11" width="24" bestFit="1" customWidth="1"/>
    <col min="12" max="12" width="12.41796875" bestFit="1" customWidth="1"/>
  </cols>
  <sheetData>
    <row r="1" spans="1:13" x14ac:dyDescent="0.55000000000000004">
      <c r="A1" s="4" t="s">
        <v>205</v>
      </c>
      <c r="B1" s="4" t="s">
        <v>206</v>
      </c>
      <c r="C1" s="4" t="s">
        <v>68</v>
      </c>
      <c r="D1" s="4" t="s">
        <v>64</v>
      </c>
      <c r="E1" s="4" t="s">
        <v>207</v>
      </c>
      <c r="F1" s="4" t="s">
        <v>134</v>
      </c>
      <c r="G1" s="4" t="s">
        <v>204</v>
      </c>
      <c r="H1" s="4" t="s">
        <v>208</v>
      </c>
      <c r="I1" s="4" t="s">
        <v>209</v>
      </c>
      <c r="J1" s="20" t="s">
        <v>210</v>
      </c>
      <c r="K1" s="4" t="s">
        <v>72</v>
      </c>
      <c r="L1" s="4" t="s">
        <v>71</v>
      </c>
      <c r="M1" s="4" t="s">
        <v>386</v>
      </c>
    </row>
    <row r="2" spans="1:13" x14ac:dyDescent="0.55000000000000004">
      <c r="A2" s="5" t="s">
        <v>211</v>
      </c>
      <c r="B2" s="5" t="s">
        <v>6</v>
      </c>
      <c r="C2" s="5" t="s">
        <v>73</v>
      </c>
      <c r="D2" s="5">
        <v>1</v>
      </c>
      <c r="E2" t="s">
        <v>496</v>
      </c>
      <c r="F2" t="s">
        <v>212</v>
      </c>
      <c r="G2" t="s">
        <v>119</v>
      </c>
      <c r="H2" s="182" t="s">
        <v>529</v>
      </c>
      <c r="I2" t="s">
        <v>109</v>
      </c>
      <c r="J2" t="s">
        <v>496</v>
      </c>
      <c r="K2" t="s">
        <v>190</v>
      </c>
      <c r="L2" t="s">
        <v>191</v>
      </c>
      <c r="M2" t="s">
        <v>387</v>
      </c>
    </row>
    <row r="3" spans="1:13" x14ac:dyDescent="0.55000000000000004">
      <c r="A3" t="s">
        <v>213</v>
      </c>
      <c r="B3" t="s">
        <v>7</v>
      </c>
      <c r="C3" s="6" t="s">
        <v>214</v>
      </c>
      <c r="D3" s="5">
        <v>1</v>
      </c>
      <c r="E3" t="s">
        <v>497</v>
      </c>
      <c r="F3" t="s">
        <v>215</v>
      </c>
      <c r="G3" t="s">
        <v>110</v>
      </c>
      <c r="H3" s="182" t="s">
        <v>530</v>
      </c>
      <c r="I3" t="s">
        <v>115</v>
      </c>
      <c r="J3" t="s">
        <v>497</v>
      </c>
      <c r="K3" t="s">
        <v>216</v>
      </c>
      <c r="L3" t="s">
        <v>196</v>
      </c>
      <c r="M3" t="s">
        <v>388</v>
      </c>
    </row>
    <row r="4" spans="1:13" x14ac:dyDescent="0.55000000000000004">
      <c r="C4" s="5" t="s">
        <v>217</v>
      </c>
      <c r="D4" s="5">
        <v>1</v>
      </c>
      <c r="E4" t="s">
        <v>203</v>
      </c>
      <c r="F4" t="s">
        <v>218</v>
      </c>
      <c r="G4" t="s">
        <v>116</v>
      </c>
      <c r="H4" s="182" t="s">
        <v>531</v>
      </c>
      <c r="I4" t="s">
        <v>121</v>
      </c>
      <c r="K4" t="s">
        <v>194</v>
      </c>
      <c r="L4" t="s">
        <v>65</v>
      </c>
      <c r="M4" t="s">
        <v>203</v>
      </c>
    </row>
    <row r="5" spans="1:13" x14ac:dyDescent="0.55000000000000004">
      <c r="C5" s="5" t="s">
        <v>74</v>
      </c>
      <c r="D5" s="5">
        <v>1</v>
      </c>
      <c r="F5" t="s">
        <v>108</v>
      </c>
      <c r="H5" s="182" t="s">
        <v>532</v>
      </c>
      <c r="K5" t="s">
        <v>219</v>
      </c>
      <c r="L5" t="s">
        <v>220</v>
      </c>
      <c r="M5" t="s">
        <v>390</v>
      </c>
    </row>
    <row r="6" spans="1:13" x14ac:dyDescent="0.55000000000000004">
      <c r="C6" s="5" t="s">
        <v>180</v>
      </c>
      <c r="D6" s="5">
        <v>1</v>
      </c>
      <c r="F6" t="s">
        <v>295</v>
      </c>
      <c r="H6" s="182" t="s">
        <v>533</v>
      </c>
      <c r="K6" t="s">
        <v>151</v>
      </c>
      <c r="L6" t="s">
        <v>221</v>
      </c>
    </row>
    <row r="7" spans="1:13" x14ac:dyDescent="0.55000000000000004">
      <c r="C7" s="5" t="s">
        <v>222</v>
      </c>
      <c r="D7" s="5">
        <v>2</v>
      </c>
      <c r="F7" t="s">
        <v>203</v>
      </c>
      <c r="H7" s="182"/>
      <c r="L7" t="s">
        <v>193</v>
      </c>
    </row>
    <row r="8" spans="1:13" x14ac:dyDescent="0.55000000000000004">
      <c r="C8" s="5" t="s">
        <v>75</v>
      </c>
      <c r="D8" s="5">
        <v>2</v>
      </c>
      <c r="H8" s="182"/>
      <c r="L8" t="s">
        <v>195</v>
      </c>
    </row>
    <row r="9" spans="1:13" x14ac:dyDescent="0.55000000000000004">
      <c r="C9" s="5" t="s">
        <v>145</v>
      </c>
      <c r="D9" s="5">
        <v>3</v>
      </c>
      <c r="H9" s="182"/>
      <c r="L9" t="s">
        <v>197</v>
      </c>
    </row>
    <row r="10" spans="1:13" x14ac:dyDescent="0.55000000000000004">
      <c r="C10" s="5" t="s">
        <v>223</v>
      </c>
      <c r="D10" s="5">
        <v>4</v>
      </c>
    </row>
    <row r="11" spans="1:13" x14ac:dyDescent="0.55000000000000004">
      <c r="C11" s="5" t="s">
        <v>224</v>
      </c>
      <c r="D11" s="5"/>
    </row>
    <row r="13" spans="1:13" x14ac:dyDescent="0.55000000000000004">
      <c r="A13" s="21" t="s">
        <v>88</v>
      </c>
      <c r="B13" s="21"/>
      <c r="C13" s="21" t="s">
        <v>225</v>
      </c>
      <c r="D13" s="4" t="s">
        <v>128</v>
      </c>
      <c r="E13" t="s">
        <v>199</v>
      </c>
      <c r="F13" s="21" t="s">
        <v>226</v>
      </c>
      <c r="G13" s="21" t="s">
        <v>227</v>
      </c>
      <c r="H13" t="s">
        <v>182</v>
      </c>
      <c r="I13" t="s">
        <v>228</v>
      </c>
      <c r="J13" t="s">
        <v>249</v>
      </c>
    </row>
    <row r="14" spans="1:13" x14ac:dyDescent="0.55000000000000004">
      <c r="A14">
        <v>10</v>
      </c>
      <c r="C14">
        <v>0</v>
      </c>
      <c r="D14" t="s">
        <v>120</v>
      </c>
      <c r="E14" t="s">
        <v>149</v>
      </c>
      <c r="F14" t="s">
        <v>188</v>
      </c>
      <c r="G14" t="s">
        <v>229</v>
      </c>
      <c r="H14" t="s">
        <v>111</v>
      </c>
      <c r="I14" t="s">
        <v>230</v>
      </c>
      <c r="J14" t="s">
        <v>496</v>
      </c>
    </row>
    <row r="15" spans="1:13" x14ac:dyDescent="0.55000000000000004">
      <c r="A15">
        <v>20</v>
      </c>
      <c r="C15">
        <v>1</v>
      </c>
      <c r="D15" t="s">
        <v>114</v>
      </c>
      <c r="E15" t="s">
        <v>117</v>
      </c>
      <c r="F15" t="s">
        <v>112</v>
      </c>
      <c r="G15" t="s">
        <v>231</v>
      </c>
      <c r="H15" t="s">
        <v>202</v>
      </c>
      <c r="I15" t="s">
        <v>113</v>
      </c>
      <c r="J15" t="s">
        <v>497</v>
      </c>
    </row>
    <row r="16" spans="1:13" x14ac:dyDescent="0.55000000000000004">
      <c r="A16">
        <v>30</v>
      </c>
      <c r="C16">
        <v>2</v>
      </c>
      <c r="D16" t="s">
        <v>118</v>
      </c>
      <c r="F16" t="s">
        <v>232</v>
      </c>
      <c r="G16" t="s">
        <v>233</v>
      </c>
      <c r="H16" t="s">
        <v>148</v>
      </c>
      <c r="I16" t="s">
        <v>234</v>
      </c>
      <c r="J16" t="s">
        <v>498</v>
      </c>
    </row>
    <row r="17" spans="1:9" x14ac:dyDescent="0.55000000000000004">
      <c r="A17">
        <v>40</v>
      </c>
      <c r="C17">
        <v>3</v>
      </c>
      <c r="I17" t="s">
        <v>235</v>
      </c>
    </row>
    <row r="18" spans="1:9" x14ac:dyDescent="0.55000000000000004">
      <c r="A18">
        <v>50</v>
      </c>
      <c r="C18">
        <v>4</v>
      </c>
      <c r="F18" t="s">
        <v>236</v>
      </c>
    </row>
    <row r="19" spans="1:9" x14ac:dyDescent="0.55000000000000004">
      <c r="A19">
        <v>60</v>
      </c>
      <c r="F19" t="s">
        <v>237</v>
      </c>
    </row>
    <row r="20" spans="1:9" x14ac:dyDescent="0.55000000000000004">
      <c r="A20">
        <v>70</v>
      </c>
      <c r="F20" t="s">
        <v>238</v>
      </c>
    </row>
    <row r="21" spans="1:9" x14ac:dyDescent="0.55000000000000004">
      <c r="A21">
        <v>80</v>
      </c>
      <c r="F21" t="s">
        <v>239</v>
      </c>
    </row>
    <row r="22" spans="1:9" x14ac:dyDescent="0.55000000000000004">
      <c r="A22">
        <v>90</v>
      </c>
      <c r="F22" t="s">
        <v>240</v>
      </c>
    </row>
    <row r="23" spans="1:9" x14ac:dyDescent="0.55000000000000004">
      <c r="A23">
        <v>100</v>
      </c>
      <c r="F23" t="s">
        <v>241</v>
      </c>
    </row>
    <row r="24" spans="1:9" x14ac:dyDescent="0.55000000000000004">
      <c r="F24" t="s">
        <v>242</v>
      </c>
    </row>
    <row r="25" spans="1:9" x14ac:dyDescent="0.55000000000000004">
      <c r="A25" t="s">
        <v>243</v>
      </c>
      <c r="F25" t="s">
        <v>244</v>
      </c>
    </row>
    <row r="26" spans="1:9" x14ac:dyDescent="0.55000000000000004">
      <c r="A26" t="s">
        <v>109</v>
      </c>
      <c r="F26" t="s">
        <v>245</v>
      </c>
    </row>
    <row r="27" spans="1:9" x14ac:dyDescent="0.55000000000000004">
      <c r="A27" t="s">
        <v>246</v>
      </c>
    </row>
    <row r="28" spans="1:9" x14ac:dyDescent="0.55000000000000004">
      <c r="A28" t="s">
        <v>247</v>
      </c>
    </row>
    <row r="32" spans="1:9" x14ac:dyDescent="0.55000000000000004">
      <c r="B32" t="s">
        <v>318</v>
      </c>
    </row>
    <row r="33" spans="2:2" x14ac:dyDescent="0.55000000000000004">
      <c r="B33" t="s">
        <v>317</v>
      </c>
    </row>
    <row r="34" spans="2:2" x14ac:dyDescent="0.55000000000000004">
      <c r="B34" t="s">
        <v>320</v>
      </c>
    </row>
    <row r="35" spans="2:2" x14ac:dyDescent="0.55000000000000004">
      <c r="B35" t="s">
        <v>321</v>
      </c>
    </row>
    <row r="36" spans="2:2" x14ac:dyDescent="0.55000000000000004">
      <c r="B36" t="s">
        <v>322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A7AC-E7D6-422A-8560-A4880B4B0BA2}">
  <sheetPr codeName="Sheet6"/>
  <dimension ref="A1:AZ160"/>
  <sheetViews>
    <sheetView workbookViewId="0"/>
  </sheetViews>
  <sheetFormatPr defaultColWidth="10.41796875" defaultRowHeight="14.25" customHeight="1" outlineLevelCol="1" x14ac:dyDescent="0.55000000000000004"/>
  <cols>
    <col min="1" max="2" width="32.15625" style="2" bestFit="1" customWidth="1"/>
    <col min="3" max="3" width="13" style="2" bestFit="1" customWidth="1"/>
    <col min="4" max="9" width="10.41796875" style="2"/>
    <col min="10" max="13" width="10.41796875" style="18" outlineLevel="1"/>
    <col min="14" max="21" width="10.41796875" style="2"/>
    <col min="22" max="22" width="10.41796875" style="2" collapsed="1"/>
    <col min="23" max="26" width="10.41796875" style="2"/>
    <col min="27" max="27" width="10.41796875" style="2" collapsed="1"/>
    <col min="28" max="29" width="10.41796875" style="2"/>
    <col min="30" max="30" width="10.41796875" style="2" collapsed="1"/>
    <col min="31" max="31" width="10.41796875" style="2"/>
    <col min="32" max="32" width="10.41796875" style="2" outlineLevel="1"/>
    <col min="33" max="35" width="10.41796875" style="19" outlineLevel="1"/>
    <col min="36" max="36" width="10.41796875" style="19"/>
    <col min="37" max="48" width="10.41796875" style="18"/>
    <col min="49" max="51" width="10.41796875" style="2"/>
    <col min="52" max="52" width="10.41796875" style="25"/>
    <col min="53" max="16384" width="10.41796875" style="2"/>
  </cols>
  <sheetData>
    <row r="1" spans="1:39" ht="14.25" customHeight="1" x14ac:dyDescent="0.55000000000000004">
      <c r="A1" t="str">
        <f>'Project Commitment'!A2</f>
        <v>English</v>
      </c>
      <c r="B1"/>
      <c r="C1"/>
      <c r="D1"/>
      <c r="E1"/>
      <c r="F1"/>
      <c r="G1"/>
      <c r="H1"/>
      <c r="I1"/>
      <c r="J1"/>
      <c r="K1"/>
      <c r="L1"/>
      <c r="M1"/>
      <c r="N1"/>
      <c r="O1"/>
      <c r="P1"/>
      <c r="Q1"/>
      <c r="R1"/>
      <c r="S1"/>
      <c r="T1"/>
      <c r="U1"/>
      <c r="V1"/>
      <c r="W1"/>
      <c r="X1"/>
      <c r="Y1"/>
      <c r="Z1"/>
      <c r="AA1"/>
      <c r="AB1"/>
      <c r="AC1"/>
      <c r="AD1"/>
      <c r="AE1"/>
      <c r="AF1"/>
      <c r="AG1"/>
      <c r="AH1"/>
      <c r="AI1"/>
      <c r="AJ1"/>
      <c r="AK1"/>
      <c r="AL1"/>
      <c r="AM1"/>
    </row>
    <row r="2" spans="1:39" ht="22.5" x14ac:dyDescent="0.75">
      <c r="A2" s="48" t="s">
        <v>5</v>
      </c>
      <c r="B2" s="48" t="s">
        <v>6</v>
      </c>
      <c r="C2" s="48" t="s">
        <v>7</v>
      </c>
      <c r="D2"/>
      <c r="E2"/>
      <c r="F2"/>
      <c r="G2"/>
      <c r="H2"/>
      <c r="I2"/>
      <c r="J2"/>
      <c r="K2"/>
      <c r="L2"/>
      <c r="M2"/>
      <c r="N2"/>
      <c r="O2"/>
      <c r="P2"/>
      <c r="Q2"/>
      <c r="R2"/>
      <c r="S2"/>
      <c r="T2"/>
      <c r="U2"/>
      <c r="V2"/>
      <c r="W2"/>
      <c r="X2"/>
      <c r="Y2"/>
      <c r="Z2"/>
      <c r="AA2"/>
      <c r="AB2"/>
      <c r="AC2"/>
      <c r="AD2"/>
      <c r="AE2"/>
      <c r="AF2"/>
      <c r="AG2"/>
      <c r="AH2"/>
      <c r="AI2"/>
      <c r="AJ2"/>
      <c r="AK2"/>
      <c r="AL2"/>
      <c r="AM2"/>
    </row>
    <row r="3" spans="1:39" ht="14.25" customHeight="1" x14ac:dyDescent="0.55000000000000004">
      <c r="A3" s="347" t="s">
        <v>122</v>
      </c>
      <c r="B3" s="347"/>
      <c r="C3" s="347"/>
      <c r="D3"/>
      <c r="E3"/>
      <c r="F3"/>
      <c r="G3"/>
      <c r="H3"/>
      <c r="I3"/>
      <c r="J3"/>
      <c r="K3"/>
      <c r="L3"/>
      <c r="M3"/>
      <c r="N3"/>
      <c r="O3"/>
      <c r="P3"/>
      <c r="Q3"/>
      <c r="R3"/>
      <c r="S3"/>
      <c r="T3"/>
      <c r="U3"/>
      <c r="V3"/>
      <c r="W3"/>
      <c r="X3"/>
      <c r="Y3"/>
      <c r="Z3"/>
      <c r="AA3"/>
      <c r="AB3"/>
      <c r="AC3"/>
      <c r="AD3"/>
      <c r="AE3"/>
      <c r="AF3"/>
      <c r="AG3"/>
      <c r="AH3"/>
      <c r="AI3"/>
      <c r="AJ3"/>
      <c r="AK3"/>
      <c r="AL3"/>
      <c r="AM3"/>
    </row>
    <row r="4" spans="1:39" ht="14.25" customHeight="1" x14ac:dyDescent="0.55000000000000004">
      <c r="A4" t="str">
        <f t="shared" ref="A4:A70" si="0">IF($A$1="English",B4,C4)</f>
        <v>Meeting Date</v>
      </c>
      <c r="B4" t="s">
        <v>123</v>
      </c>
      <c r="C4"/>
      <c r="D4"/>
      <c r="E4"/>
      <c r="F4"/>
      <c r="G4"/>
      <c r="H4"/>
      <c r="I4"/>
      <c r="J4"/>
      <c r="K4"/>
      <c r="L4"/>
      <c r="M4"/>
      <c r="N4"/>
      <c r="O4"/>
      <c r="P4"/>
      <c r="Q4"/>
      <c r="R4"/>
      <c r="S4"/>
      <c r="T4"/>
      <c r="U4"/>
      <c r="V4"/>
      <c r="W4"/>
      <c r="X4"/>
      <c r="Y4"/>
      <c r="Z4"/>
      <c r="AA4"/>
      <c r="AB4"/>
      <c r="AC4"/>
      <c r="AD4"/>
      <c r="AE4"/>
      <c r="AF4"/>
      <c r="AG4"/>
      <c r="AH4"/>
      <c r="AI4"/>
      <c r="AJ4"/>
      <c r="AK4"/>
      <c r="AL4"/>
      <c r="AM4"/>
    </row>
    <row r="5" spans="1:39" ht="14.25" customHeight="1" x14ac:dyDescent="0.55000000000000004">
      <c r="A5" t="str">
        <f t="shared" si="0"/>
        <v>Section 1: Project Details</v>
      </c>
      <c r="B5" t="s">
        <v>124</v>
      </c>
      <c r="C5" t="s">
        <v>125</v>
      </c>
      <c r="D5"/>
      <c r="E5"/>
      <c r="F5"/>
      <c r="G5"/>
      <c r="H5"/>
      <c r="I5"/>
      <c r="J5"/>
      <c r="K5"/>
      <c r="L5"/>
      <c r="M5"/>
      <c r="N5"/>
      <c r="O5"/>
      <c r="P5"/>
      <c r="Q5"/>
      <c r="R5"/>
      <c r="S5"/>
      <c r="T5"/>
      <c r="U5"/>
      <c r="V5"/>
      <c r="W5"/>
      <c r="X5"/>
      <c r="Y5"/>
      <c r="Z5"/>
      <c r="AA5"/>
      <c r="AB5"/>
      <c r="AC5"/>
      <c r="AD5"/>
      <c r="AE5"/>
      <c r="AF5"/>
      <c r="AG5"/>
      <c r="AH5"/>
      <c r="AI5"/>
      <c r="AJ5"/>
      <c r="AK5"/>
      <c r="AL5"/>
      <c r="AM5"/>
    </row>
    <row r="6" spans="1:39" ht="14.25" customHeight="1" x14ac:dyDescent="0.55000000000000004">
      <c r="A6" t="str">
        <f t="shared" si="0"/>
        <v>Project ID</v>
      </c>
      <c r="B6" t="s">
        <v>1</v>
      </c>
      <c r="C6"/>
      <c r="D6"/>
      <c r="E6"/>
      <c r="F6"/>
      <c r="G6"/>
      <c r="H6"/>
      <c r="I6"/>
      <c r="J6"/>
      <c r="K6"/>
      <c r="L6"/>
      <c r="M6"/>
      <c r="N6"/>
      <c r="O6"/>
      <c r="P6"/>
      <c r="Q6"/>
      <c r="R6"/>
      <c r="S6"/>
      <c r="T6"/>
      <c r="U6"/>
      <c r="V6"/>
      <c r="W6"/>
      <c r="X6"/>
      <c r="Y6"/>
      <c r="Z6"/>
      <c r="AA6"/>
      <c r="AB6"/>
      <c r="AC6"/>
      <c r="AD6"/>
      <c r="AE6"/>
      <c r="AF6"/>
      <c r="AG6"/>
      <c r="AH6"/>
      <c r="AI6"/>
      <c r="AJ6"/>
      <c r="AK6"/>
      <c r="AL6"/>
      <c r="AM6"/>
    </row>
    <row r="7" spans="1:39" ht="14.25" customHeight="1" x14ac:dyDescent="0.55000000000000004">
      <c r="A7" t="str">
        <f t="shared" si="0"/>
        <v>Project Name</v>
      </c>
      <c r="B7" t="s">
        <v>2</v>
      </c>
      <c r="C7"/>
      <c r="D7"/>
      <c r="E7"/>
      <c r="F7"/>
      <c r="G7"/>
      <c r="H7"/>
      <c r="I7"/>
      <c r="J7"/>
      <c r="K7"/>
      <c r="L7"/>
      <c r="M7"/>
      <c r="N7"/>
      <c r="O7"/>
      <c r="P7"/>
      <c r="Q7"/>
      <c r="R7"/>
      <c r="S7"/>
      <c r="T7"/>
      <c r="U7"/>
      <c r="V7"/>
      <c r="W7"/>
      <c r="X7"/>
      <c r="Y7"/>
      <c r="Z7"/>
      <c r="AA7"/>
      <c r="AB7"/>
      <c r="AC7"/>
      <c r="AD7"/>
      <c r="AE7"/>
      <c r="AF7"/>
      <c r="AG7"/>
      <c r="AH7"/>
      <c r="AI7"/>
      <c r="AJ7"/>
      <c r="AK7"/>
      <c r="AL7"/>
      <c r="AM7"/>
    </row>
    <row r="8" spans="1:39" ht="14.25" customHeight="1" x14ac:dyDescent="0.55000000000000004">
      <c r="A8" t="str">
        <f t="shared" si="0"/>
        <v>Address</v>
      </c>
      <c r="B8" t="s">
        <v>69</v>
      </c>
      <c r="C8"/>
      <c r="D8"/>
      <c r="E8"/>
      <c r="F8"/>
      <c r="G8"/>
      <c r="H8"/>
      <c r="I8"/>
      <c r="J8"/>
      <c r="K8"/>
      <c r="L8"/>
      <c r="M8"/>
      <c r="N8"/>
      <c r="O8"/>
      <c r="P8"/>
      <c r="Q8"/>
      <c r="R8"/>
      <c r="S8"/>
      <c r="T8"/>
      <c r="U8"/>
      <c r="V8"/>
      <c r="W8"/>
      <c r="X8"/>
      <c r="Y8"/>
      <c r="Z8"/>
      <c r="AA8"/>
      <c r="AB8"/>
      <c r="AC8"/>
      <c r="AD8"/>
      <c r="AE8"/>
      <c r="AF8"/>
      <c r="AG8"/>
      <c r="AH8"/>
      <c r="AI8"/>
      <c r="AJ8"/>
      <c r="AK8"/>
      <c r="AL8"/>
      <c r="AM8"/>
    </row>
    <row r="9" spans="1:39" ht="14.25" customHeight="1" x14ac:dyDescent="0.55000000000000004">
      <c r="A9" t="str">
        <f t="shared" si="0"/>
        <v xml:space="preserve">City </v>
      </c>
      <c r="B9" t="s">
        <v>70</v>
      </c>
      <c r="C9"/>
      <c r="D9"/>
      <c r="E9"/>
      <c r="F9"/>
      <c r="G9"/>
      <c r="H9"/>
      <c r="I9"/>
      <c r="J9"/>
      <c r="K9"/>
      <c r="L9"/>
      <c r="M9"/>
      <c r="N9"/>
      <c r="O9"/>
      <c r="P9"/>
      <c r="Q9"/>
      <c r="R9"/>
      <c r="S9"/>
      <c r="T9"/>
      <c r="U9"/>
      <c r="V9"/>
      <c r="W9"/>
      <c r="X9"/>
      <c r="Y9"/>
      <c r="Z9"/>
      <c r="AA9"/>
      <c r="AB9"/>
      <c r="AC9"/>
      <c r="AD9"/>
      <c r="AE9"/>
      <c r="AF9"/>
      <c r="AG9"/>
      <c r="AH9"/>
      <c r="AI9"/>
      <c r="AJ9"/>
      <c r="AK9"/>
      <c r="AL9"/>
      <c r="AM9"/>
    </row>
    <row r="10" spans="1:39" ht="14.25" customHeight="1" x14ac:dyDescent="0.55000000000000004">
      <c r="A10" t="str">
        <f t="shared" si="0"/>
        <v>Postal Code</v>
      </c>
      <c r="B10" t="s">
        <v>126</v>
      </c>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spans="1:39" ht="14.25" customHeight="1" x14ac:dyDescent="0.55000000000000004">
      <c r="A11" t="str">
        <f t="shared" si="0"/>
        <v>Project Type</v>
      </c>
      <c r="B11" t="s">
        <v>67</v>
      </c>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spans="1:39" ht="14.25" customHeight="1" x14ac:dyDescent="0.55000000000000004">
      <c r="A12" t="str">
        <f t="shared" si="0"/>
        <v>Approval Period</v>
      </c>
      <c r="B12" t="s">
        <v>127</v>
      </c>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spans="1:39" ht="14.25" customHeight="1" x14ac:dyDescent="0.55000000000000004">
      <c r="A13" t="str">
        <f t="shared" si="0"/>
        <v xml:space="preserve">Project Category </v>
      </c>
      <c r="B13" t="s">
        <v>72</v>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spans="1:39" ht="14.25" customHeight="1" x14ac:dyDescent="0.55000000000000004">
      <c r="A14" t="str">
        <f t="shared" si="0"/>
        <v>Project Status</v>
      </c>
      <c r="B14" t="s">
        <v>128</v>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spans="1:39" ht="14.25" customHeight="1" x14ac:dyDescent="0.55000000000000004">
      <c r="A15" t="str">
        <f t="shared" si="0"/>
        <v>Construction Status</v>
      </c>
      <c r="B15" t="s">
        <v>129</v>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spans="1:39" ht="14.25" customHeight="1" x14ac:dyDescent="0.55000000000000004">
      <c r="A16" t="str">
        <f t="shared" si="0"/>
        <v>Section 2: Square Footage Specification</v>
      </c>
      <c r="B16" t="s">
        <v>76</v>
      </c>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spans="1:39" ht="14.25" customHeight="1" x14ac:dyDescent="0.55000000000000004">
      <c r="A17" t="str">
        <f t="shared" si="0"/>
        <v>Anticipate Design Change?</v>
      </c>
      <c r="B17" t="s">
        <v>77</v>
      </c>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spans="1:39" ht="14.25" customHeight="1" x14ac:dyDescent="0.55000000000000004">
      <c r="A18" t="str">
        <f t="shared" si="0"/>
        <v>Square Footage of New Construction</v>
      </c>
      <c r="B18" t="s">
        <v>78</v>
      </c>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spans="1:39" ht="14.25" customHeight="1" x14ac:dyDescent="0.55000000000000004">
      <c r="A19" t="str">
        <f t="shared" si="0"/>
        <v>Square Footage of Renovaton/Retrofit</v>
      </c>
      <c r="B19" t="s">
        <v>130</v>
      </c>
      <c r="C19"/>
      <c r="D19"/>
      <c r="E19"/>
      <c r="F19"/>
      <c r="G19"/>
      <c r="H19"/>
      <c r="I19"/>
      <c r="J19"/>
      <c r="K19"/>
      <c r="L19"/>
      <c r="M19"/>
      <c r="N19"/>
      <c r="O19"/>
      <c r="P19"/>
      <c r="Q19"/>
      <c r="R19"/>
      <c r="S19"/>
      <c r="T19"/>
      <c r="U19"/>
      <c r="V19"/>
      <c r="W19"/>
      <c r="X19"/>
      <c r="Y19"/>
      <c r="Z19"/>
      <c r="AA19"/>
      <c r="AB19"/>
      <c r="AC19"/>
      <c r="AD19"/>
      <c r="AE19"/>
      <c r="AF19"/>
      <c r="AG19"/>
      <c r="AH19"/>
      <c r="AI19"/>
      <c r="AJ19"/>
      <c r="AK19"/>
      <c r="AL19"/>
      <c r="AM19"/>
    </row>
    <row r="20" spans="1:39" ht="14.25" customHeight="1" x14ac:dyDescent="0.55000000000000004">
      <c r="A20" t="str">
        <f t="shared" si="0"/>
        <v>Square Footage of Demolition</v>
      </c>
      <c r="B20" t="s">
        <v>79</v>
      </c>
      <c r="C20"/>
      <c r="D20"/>
      <c r="E20"/>
      <c r="F20"/>
      <c r="G20"/>
      <c r="H20"/>
      <c r="I20"/>
      <c r="J20"/>
      <c r="K20"/>
      <c r="L20"/>
      <c r="M20"/>
      <c r="N20"/>
      <c r="O20"/>
      <c r="P20"/>
      <c r="Q20"/>
      <c r="R20"/>
      <c r="S20"/>
      <c r="T20"/>
      <c r="U20"/>
      <c r="V20"/>
      <c r="W20"/>
      <c r="X20"/>
      <c r="Y20"/>
      <c r="Z20"/>
      <c r="AA20"/>
      <c r="AB20"/>
      <c r="AC20"/>
      <c r="AD20"/>
      <c r="AE20"/>
      <c r="AF20"/>
      <c r="AG20"/>
      <c r="AH20"/>
      <c r="AI20"/>
      <c r="AJ20"/>
      <c r="AK20"/>
      <c r="AL20"/>
      <c r="AM20"/>
    </row>
    <row r="21" spans="1:39" ht="14.25" customHeight="1" x14ac:dyDescent="0.55000000000000004">
      <c r="A21" t="str">
        <f t="shared" si="0"/>
        <v>Square Footage of New Child Care</v>
      </c>
      <c r="B21" t="s">
        <v>131</v>
      </c>
      <c r="C21"/>
      <c r="D21"/>
      <c r="E21"/>
      <c r="F21"/>
      <c r="G21"/>
      <c r="H21"/>
      <c r="I21"/>
      <c r="J21"/>
      <c r="K21"/>
      <c r="L21"/>
      <c r="M21"/>
      <c r="N21"/>
      <c r="O21"/>
      <c r="P21"/>
      <c r="Q21"/>
      <c r="R21"/>
      <c r="S21"/>
      <c r="T21"/>
      <c r="U21"/>
      <c r="V21"/>
      <c r="W21"/>
      <c r="X21"/>
      <c r="Y21"/>
      <c r="Z21"/>
      <c r="AA21"/>
      <c r="AB21"/>
      <c r="AC21"/>
      <c r="AD21"/>
      <c r="AE21"/>
      <c r="AF21"/>
      <c r="AG21"/>
      <c r="AH21"/>
      <c r="AI21"/>
      <c r="AJ21"/>
      <c r="AK21"/>
      <c r="AL21"/>
      <c r="AM21"/>
    </row>
    <row r="22" spans="1:39" ht="14.25" customHeight="1" x14ac:dyDescent="0.55000000000000004">
      <c r="A22" t="str">
        <f t="shared" si="0"/>
        <v xml:space="preserve">Square Footage of Community Space </v>
      </c>
      <c r="B22" t="s">
        <v>132</v>
      </c>
      <c r="C22"/>
      <c r="D22"/>
      <c r="E22"/>
      <c r="F22"/>
      <c r="G22"/>
      <c r="H22"/>
      <c r="I22"/>
      <c r="J22"/>
      <c r="K22"/>
      <c r="L22"/>
      <c r="M22"/>
      <c r="N22"/>
      <c r="O22"/>
      <c r="P22"/>
      <c r="Q22"/>
      <c r="R22"/>
      <c r="S22"/>
      <c r="T22"/>
      <c r="U22"/>
      <c r="V22"/>
      <c r="W22"/>
      <c r="X22"/>
      <c r="Y22"/>
      <c r="Z22"/>
      <c r="AA22"/>
      <c r="AB22"/>
      <c r="AC22"/>
      <c r="AD22"/>
      <c r="AE22"/>
      <c r="AF22"/>
      <c r="AG22"/>
      <c r="AH22"/>
      <c r="AI22"/>
      <c r="AJ22"/>
      <c r="AK22"/>
      <c r="AL22"/>
      <c r="AM22"/>
    </row>
    <row r="23" spans="1:39" ht="14.25" customHeight="1" x14ac:dyDescent="0.55000000000000004">
      <c r="A23" t="str">
        <f t="shared" si="0"/>
        <v>Square Footage of EarlyOn</v>
      </c>
      <c r="B23" t="s">
        <v>80</v>
      </c>
      <c r="C23"/>
      <c r="D23"/>
      <c r="E23"/>
      <c r="F23"/>
      <c r="G23"/>
      <c r="H23"/>
      <c r="I23"/>
      <c r="J23"/>
      <c r="K23"/>
      <c r="L23"/>
      <c r="M23"/>
      <c r="N23"/>
      <c r="O23"/>
      <c r="P23"/>
      <c r="Q23"/>
      <c r="R23"/>
      <c r="S23"/>
      <c r="T23"/>
      <c r="U23"/>
      <c r="V23"/>
      <c r="W23"/>
      <c r="X23"/>
      <c r="Y23"/>
      <c r="Z23"/>
      <c r="AA23"/>
      <c r="AB23"/>
      <c r="AC23"/>
      <c r="AD23"/>
      <c r="AE23"/>
      <c r="AF23"/>
      <c r="AG23"/>
      <c r="AH23"/>
      <c r="AI23"/>
      <c r="AJ23"/>
      <c r="AK23"/>
      <c r="AL23"/>
      <c r="AM23"/>
    </row>
    <row r="24" spans="1:39" ht="14.25" customHeight="1" x14ac:dyDescent="0.55000000000000004">
      <c r="A24" t="str">
        <f t="shared" si="0"/>
        <v xml:space="preserve">Section 3: Phase 1 - Pre-Tender </v>
      </c>
      <c r="B24" t="s">
        <v>133</v>
      </c>
      <c r="C24"/>
      <c r="D24"/>
      <c r="E24"/>
      <c r="F24"/>
      <c r="G24"/>
      <c r="H24"/>
      <c r="I24"/>
      <c r="J24"/>
      <c r="K24"/>
      <c r="L24"/>
      <c r="M24"/>
      <c r="N24"/>
      <c r="O24"/>
      <c r="P24"/>
      <c r="Q24"/>
      <c r="R24"/>
      <c r="S24"/>
      <c r="T24"/>
      <c r="U24"/>
      <c r="V24"/>
      <c r="W24"/>
      <c r="X24"/>
      <c r="Y24"/>
      <c r="Z24"/>
      <c r="AA24"/>
      <c r="AB24"/>
      <c r="AC24"/>
      <c r="AD24"/>
      <c r="AE24"/>
      <c r="AF24"/>
      <c r="AG24"/>
      <c r="AH24"/>
      <c r="AI24"/>
      <c r="AJ24"/>
      <c r="AK24"/>
      <c r="AL24"/>
      <c r="AM24"/>
    </row>
    <row r="25" spans="1:39" ht="14.25" customHeight="1" x14ac:dyDescent="0.55000000000000004">
      <c r="A25" t="str">
        <f t="shared" si="0"/>
        <v>Site Ownership Status</v>
      </c>
      <c r="B25" t="s">
        <v>134</v>
      </c>
      <c r="C25"/>
      <c r="D25"/>
      <c r="E25"/>
      <c r="F25"/>
      <c r="G25"/>
      <c r="H25"/>
      <c r="I25"/>
      <c r="J25"/>
      <c r="K25"/>
      <c r="L25"/>
      <c r="M25"/>
      <c r="N25"/>
      <c r="O25"/>
      <c r="P25"/>
      <c r="Q25"/>
      <c r="R25"/>
      <c r="S25"/>
      <c r="T25"/>
      <c r="U25"/>
      <c r="V25"/>
      <c r="W25"/>
      <c r="X25"/>
      <c r="Y25"/>
      <c r="Z25"/>
      <c r="AA25"/>
      <c r="AB25"/>
      <c r="AC25"/>
      <c r="AD25"/>
      <c r="AE25"/>
      <c r="AF25"/>
      <c r="AG25"/>
      <c r="AH25"/>
      <c r="AI25"/>
      <c r="AJ25"/>
      <c r="AK25"/>
      <c r="AL25"/>
      <c r="AM25"/>
    </row>
    <row r="26" spans="1:39" ht="14.25" customHeight="1" x14ac:dyDescent="0.55000000000000004">
      <c r="A26" t="str">
        <f t="shared" si="0"/>
        <v>Site Purchase Date</v>
      </c>
      <c r="B26" t="s">
        <v>135</v>
      </c>
      <c r="C26"/>
      <c r="D26"/>
      <c r="E26"/>
      <c r="F26"/>
      <c r="G26"/>
      <c r="H26"/>
      <c r="I26"/>
      <c r="J26"/>
      <c r="K26"/>
      <c r="L26"/>
      <c r="M26"/>
      <c r="N26"/>
      <c r="O26"/>
      <c r="P26"/>
      <c r="Q26"/>
      <c r="R26"/>
      <c r="S26"/>
      <c r="T26"/>
      <c r="U26"/>
      <c r="V26"/>
      <c r="W26"/>
      <c r="X26"/>
      <c r="Y26"/>
      <c r="Z26"/>
      <c r="AA26"/>
      <c r="AB26"/>
      <c r="AC26"/>
      <c r="AD26"/>
      <c r="AE26"/>
      <c r="AF26"/>
      <c r="AG26"/>
      <c r="AH26"/>
      <c r="AI26"/>
      <c r="AJ26"/>
      <c r="AK26"/>
      <c r="AL26"/>
      <c r="AM26"/>
    </row>
    <row r="27" spans="1:39" ht="14.25" customHeight="1" x14ac:dyDescent="0.55000000000000004">
      <c r="A27" t="str">
        <f t="shared" si="0"/>
        <v xml:space="preserve">Space Template Approval Date </v>
      </c>
      <c r="B27" t="s">
        <v>136</v>
      </c>
      <c r="C27"/>
      <c r="D27"/>
      <c r="E27"/>
      <c r="F27"/>
      <c r="G27"/>
      <c r="H27"/>
      <c r="I27"/>
      <c r="J27"/>
      <c r="K27"/>
      <c r="L27"/>
      <c r="M27"/>
      <c r="N27"/>
      <c r="O27"/>
      <c r="P27"/>
      <c r="Q27"/>
      <c r="R27"/>
      <c r="S27"/>
      <c r="T27"/>
      <c r="U27"/>
      <c r="V27"/>
      <c r="W27"/>
      <c r="X27"/>
      <c r="Y27"/>
      <c r="Z27"/>
      <c r="AA27"/>
      <c r="AB27"/>
      <c r="AC27"/>
      <c r="AD27"/>
      <c r="AE27"/>
      <c r="AF27"/>
      <c r="AG27"/>
      <c r="AH27"/>
      <c r="AI27"/>
      <c r="AJ27"/>
      <c r="AK27"/>
      <c r="AL27"/>
      <c r="AM27"/>
    </row>
    <row r="28" spans="1:39" ht="14.25" customHeight="1" x14ac:dyDescent="0.55000000000000004">
      <c r="A28" t="str">
        <f t="shared" si="0"/>
        <v xml:space="preserve">Type of Design Used </v>
      </c>
      <c r="B28" t="s">
        <v>137</v>
      </c>
      <c r="C28"/>
      <c r="D28"/>
      <c r="E28"/>
      <c r="F28"/>
      <c r="G28"/>
      <c r="H28"/>
      <c r="I28"/>
      <c r="J28"/>
      <c r="K28"/>
      <c r="L28"/>
      <c r="M28"/>
      <c r="N28"/>
      <c r="O28"/>
      <c r="P28"/>
      <c r="Q28"/>
      <c r="R28"/>
      <c r="S28"/>
      <c r="T28"/>
      <c r="U28"/>
      <c r="V28"/>
      <c r="W28"/>
      <c r="X28"/>
      <c r="Y28"/>
      <c r="Z28"/>
      <c r="AA28"/>
      <c r="AB28"/>
      <c r="AC28"/>
      <c r="AD28"/>
      <c r="AE28"/>
      <c r="AF28"/>
      <c r="AG28"/>
      <c r="AH28"/>
      <c r="AI28"/>
      <c r="AJ28"/>
      <c r="AK28"/>
      <c r="AL28"/>
      <c r="AM28"/>
    </row>
    <row r="29" spans="1:39" ht="14.25" customHeight="1" x14ac:dyDescent="0.55000000000000004">
      <c r="A29" t="str">
        <f t="shared" si="0"/>
        <v xml:space="preserve">Design Status </v>
      </c>
      <c r="B29" t="s">
        <v>82</v>
      </c>
      <c r="C29"/>
      <c r="D29"/>
      <c r="E29"/>
      <c r="F29"/>
      <c r="G29"/>
      <c r="H29"/>
      <c r="I29"/>
      <c r="J29"/>
      <c r="K29"/>
      <c r="L29"/>
      <c r="M29"/>
      <c r="N29"/>
      <c r="O29"/>
      <c r="P29"/>
      <c r="Q29"/>
      <c r="R29"/>
      <c r="S29"/>
      <c r="T29"/>
      <c r="U29"/>
      <c r="V29"/>
      <c r="W29"/>
      <c r="X29"/>
      <c r="Y29"/>
      <c r="Z29"/>
      <c r="AA29"/>
      <c r="AB29"/>
      <c r="AC29"/>
      <c r="AD29"/>
      <c r="AE29"/>
      <c r="AF29"/>
      <c r="AG29"/>
      <c r="AH29"/>
      <c r="AI29"/>
      <c r="AJ29"/>
      <c r="AK29"/>
      <c r="AL29"/>
      <c r="AM29"/>
    </row>
    <row r="30" spans="1:39" ht="14.25" customHeight="1" x14ac:dyDescent="0.55000000000000004">
      <c r="A30" t="str">
        <f t="shared" si="0"/>
        <v xml:space="preserve">Class A/B Cost Estimate -Date </v>
      </c>
      <c r="B30" t="s">
        <v>138</v>
      </c>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spans="1:39" ht="14.25" customHeight="1" x14ac:dyDescent="0.55000000000000004">
      <c r="A31" t="str">
        <f t="shared" si="0"/>
        <v xml:space="preserve">Child Care Floorplan Approval - Date </v>
      </c>
      <c r="B31" t="s">
        <v>83</v>
      </c>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spans="1:39" ht="14.25" customHeight="1" x14ac:dyDescent="0.55000000000000004">
      <c r="A32" t="str">
        <f t="shared" si="0"/>
        <v xml:space="preserve">Site, Design and Child Care Related Comments: Include details of scope change if applicable </v>
      </c>
      <c r="B32" t="s">
        <v>139</v>
      </c>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spans="1:39" ht="14.25" customHeight="1" x14ac:dyDescent="0.55000000000000004">
      <c r="A33" t="str">
        <f t="shared" si="0"/>
        <v>Section 4: Phase 2 - Tender</v>
      </c>
      <c r="B33" t="s">
        <v>84</v>
      </c>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spans="1:39" ht="14.25" customHeight="1" x14ac:dyDescent="0.55000000000000004">
      <c r="A34" t="str">
        <f t="shared" si="0"/>
        <v xml:space="preserve">Tender Issued Date </v>
      </c>
      <c r="B34" t="s">
        <v>86</v>
      </c>
      <c r="C34"/>
      <c r="D34"/>
      <c r="E34"/>
      <c r="F34"/>
      <c r="G34"/>
      <c r="H34"/>
      <c r="I34"/>
      <c r="J34"/>
      <c r="K34"/>
      <c r="L34"/>
      <c r="M34"/>
      <c r="N34"/>
      <c r="O34"/>
      <c r="P34"/>
      <c r="Q34"/>
      <c r="R34"/>
      <c r="S34"/>
      <c r="T34"/>
      <c r="U34"/>
      <c r="V34"/>
      <c r="W34"/>
      <c r="X34"/>
      <c r="Y34"/>
      <c r="Z34"/>
      <c r="AA34"/>
      <c r="AB34"/>
      <c r="AC34"/>
      <c r="AD34"/>
      <c r="AE34"/>
      <c r="AF34"/>
      <c r="AG34"/>
      <c r="AH34"/>
      <c r="AI34"/>
      <c r="AJ34"/>
      <c r="AK34"/>
      <c r="AL34"/>
      <c r="AM34"/>
    </row>
    <row r="35" spans="1:39" ht="14.25" customHeight="1" x14ac:dyDescent="0.55000000000000004">
      <c r="A35" t="str">
        <f t="shared" si="0"/>
        <v>Tender Closed</v>
      </c>
      <c r="B35" t="s">
        <v>140</v>
      </c>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spans="1:39" ht="14.25" customHeight="1" x14ac:dyDescent="0.55000000000000004">
      <c r="A36" t="str">
        <f t="shared" si="0"/>
        <v>Site Plan Submission Date</v>
      </c>
      <c r="B36" t="s">
        <v>141</v>
      </c>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spans="1:39" ht="14.25" customHeight="1" x14ac:dyDescent="0.55000000000000004">
      <c r="A37" t="str">
        <f t="shared" si="0"/>
        <v>Site Plan Approval Date</v>
      </c>
      <c r="B37" t="s">
        <v>142</v>
      </c>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spans="1:39" ht="14.25" customHeight="1" x14ac:dyDescent="0.55000000000000004">
      <c r="A38" t="str">
        <f t="shared" si="0"/>
        <v>Section 5: Phase 3 - Construction</v>
      </c>
      <c r="B38" t="s">
        <v>143</v>
      </c>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spans="1:39" ht="14.25" customHeight="1" x14ac:dyDescent="0.55000000000000004">
      <c r="A39" t="str">
        <f t="shared" si="0"/>
        <v>Construction Start - Date</v>
      </c>
      <c r="B39" t="s">
        <v>144</v>
      </c>
      <c r="C39"/>
      <c r="D39"/>
      <c r="E39"/>
      <c r="F39"/>
      <c r="G39"/>
      <c r="H39"/>
      <c r="I39"/>
      <c r="J39"/>
      <c r="K39"/>
      <c r="L39"/>
      <c r="M39"/>
      <c r="N39"/>
      <c r="O39"/>
      <c r="P39"/>
      <c r="Q39"/>
      <c r="R39"/>
      <c r="S39"/>
      <c r="T39"/>
      <c r="U39"/>
      <c r="V39"/>
      <c r="W39"/>
      <c r="X39"/>
      <c r="Y39"/>
      <c r="Z39"/>
      <c r="AA39"/>
      <c r="AB39"/>
      <c r="AC39"/>
      <c r="AD39"/>
      <c r="AE39"/>
      <c r="AF39"/>
      <c r="AG39"/>
      <c r="AH39"/>
      <c r="AI39"/>
      <c r="AJ39"/>
      <c r="AK39"/>
      <c r="AL39"/>
      <c r="AM39"/>
    </row>
    <row r="40" spans="1:39" ht="14.25" customHeight="1" x14ac:dyDescent="0.55000000000000004">
      <c r="A40" t="str">
        <f t="shared" si="0"/>
        <v>% Construction Progress</v>
      </c>
      <c r="B40" t="s">
        <v>88</v>
      </c>
      <c r="C40"/>
      <c r="D40"/>
      <c r="E40"/>
      <c r="F40"/>
      <c r="G40"/>
      <c r="H40"/>
      <c r="I40"/>
      <c r="J40"/>
      <c r="K40"/>
      <c r="L40"/>
      <c r="M40"/>
      <c r="N40"/>
      <c r="O40"/>
      <c r="P40"/>
      <c r="Q40"/>
      <c r="R40"/>
      <c r="S40"/>
      <c r="T40"/>
      <c r="U40"/>
      <c r="V40"/>
      <c r="W40"/>
      <c r="X40"/>
      <c r="Y40"/>
      <c r="Z40"/>
      <c r="AA40"/>
      <c r="AB40"/>
      <c r="AC40"/>
      <c r="AD40"/>
      <c r="AE40"/>
      <c r="AF40"/>
      <c r="AG40"/>
      <c r="AH40"/>
      <c r="AI40"/>
      <c r="AJ40"/>
      <c r="AK40"/>
      <c r="AL40"/>
      <c r="AM40"/>
    </row>
    <row r="41" spans="1:39" ht="14.25" customHeight="1" x14ac:dyDescent="0.55000000000000004">
      <c r="A41" t="str">
        <f t="shared" si="0"/>
        <v>Substantial Completion</v>
      </c>
      <c r="B41" t="s">
        <v>145</v>
      </c>
      <c r="C41"/>
      <c r="D41"/>
      <c r="E41"/>
      <c r="F41"/>
      <c r="G41"/>
      <c r="H41"/>
      <c r="I41"/>
      <c r="J41"/>
      <c r="K41"/>
      <c r="L41"/>
      <c r="M41"/>
      <c r="N41"/>
      <c r="O41"/>
      <c r="P41"/>
      <c r="Q41"/>
      <c r="R41"/>
      <c r="S41"/>
      <c r="T41"/>
      <c r="U41"/>
      <c r="V41"/>
      <c r="W41"/>
      <c r="X41"/>
      <c r="Y41"/>
      <c r="Z41"/>
      <c r="AA41"/>
      <c r="AB41"/>
      <c r="AC41"/>
      <c r="AD41"/>
      <c r="AE41"/>
      <c r="AF41"/>
      <c r="AG41"/>
      <c r="AH41"/>
      <c r="AI41"/>
      <c r="AJ41"/>
      <c r="AK41"/>
      <c r="AL41"/>
      <c r="AM41"/>
    </row>
    <row r="42" spans="1:39" ht="14.25" customHeight="1" x14ac:dyDescent="0.55000000000000004">
      <c r="A42" t="str">
        <f t="shared" si="0"/>
        <v>Section 6: Phase 4 - Project Completion</v>
      </c>
      <c r="B42" t="s">
        <v>90</v>
      </c>
      <c r="C42"/>
      <c r="D42"/>
      <c r="E42"/>
      <c r="F42"/>
      <c r="G42"/>
      <c r="H42"/>
      <c r="I42"/>
      <c r="J42"/>
      <c r="K42"/>
      <c r="L42"/>
      <c r="M42"/>
      <c r="N42"/>
      <c r="O42"/>
      <c r="P42"/>
      <c r="Q42"/>
      <c r="R42"/>
      <c r="S42"/>
      <c r="T42"/>
      <c r="U42"/>
      <c r="V42"/>
      <c r="W42"/>
      <c r="X42"/>
      <c r="Y42"/>
      <c r="Z42"/>
      <c r="AA42"/>
      <c r="AB42"/>
      <c r="AC42"/>
      <c r="AD42"/>
      <c r="AE42"/>
      <c r="AF42"/>
      <c r="AG42"/>
      <c r="AH42"/>
      <c r="AI42"/>
      <c r="AJ42"/>
      <c r="AK42"/>
      <c r="AL42"/>
      <c r="AM42"/>
    </row>
    <row r="43" spans="1:39" ht="14.25" customHeight="1" x14ac:dyDescent="0.55000000000000004">
      <c r="A43" t="str">
        <f t="shared" si="0"/>
        <v xml:space="preserve">School Opening Date </v>
      </c>
      <c r="B43" t="s">
        <v>91</v>
      </c>
      <c r="C43"/>
      <c r="D43"/>
      <c r="E43"/>
      <c r="F43"/>
      <c r="G43"/>
      <c r="H43"/>
      <c r="I43"/>
      <c r="J43"/>
      <c r="K43"/>
      <c r="L43"/>
      <c r="M43"/>
      <c r="N43"/>
      <c r="O43"/>
      <c r="P43"/>
      <c r="Q43"/>
      <c r="R43"/>
      <c r="S43"/>
      <c r="T43"/>
      <c r="U43"/>
      <c r="V43"/>
      <c r="W43"/>
      <c r="X43"/>
      <c r="Y43"/>
      <c r="Z43"/>
      <c r="AA43"/>
      <c r="AB43"/>
      <c r="AC43"/>
      <c r="AD43"/>
      <c r="AE43"/>
      <c r="AF43"/>
      <c r="AG43"/>
      <c r="AH43"/>
      <c r="AI43"/>
      <c r="AJ43"/>
      <c r="AK43"/>
      <c r="AL43"/>
      <c r="AM43"/>
    </row>
    <row r="44" spans="1:39" ht="14.25" customHeight="1" x14ac:dyDescent="0.55000000000000004">
      <c r="A44" t="str">
        <f t="shared" si="0"/>
        <v>Child Care Opening Date</v>
      </c>
      <c r="B44" t="s">
        <v>146</v>
      </c>
      <c r="C44"/>
      <c r="D44"/>
      <c r="E44"/>
      <c r="F44"/>
      <c r="G44"/>
      <c r="H44"/>
      <c r="I44"/>
      <c r="J44"/>
      <c r="K44"/>
      <c r="L44"/>
      <c r="M44"/>
      <c r="N44"/>
      <c r="O44"/>
      <c r="P44"/>
      <c r="Q44"/>
      <c r="R44"/>
      <c r="S44"/>
      <c r="T44"/>
      <c r="U44"/>
      <c r="V44"/>
      <c r="W44"/>
      <c r="X44"/>
      <c r="Y44"/>
      <c r="Z44"/>
      <c r="AA44"/>
      <c r="AB44"/>
      <c r="AC44"/>
      <c r="AD44"/>
      <c r="AE44"/>
      <c r="AF44"/>
      <c r="AG44"/>
      <c r="AH44"/>
      <c r="AI44"/>
      <c r="AJ44"/>
      <c r="AK44"/>
      <c r="AL44"/>
      <c r="AM44"/>
    </row>
    <row r="45" spans="1:39" ht="14.25" customHeight="1" x14ac:dyDescent="0.55000000000000004">
      <c r="A45" t="str">
        <f t="shared" si="0"/>
        <v>Project Reconciliation</v>
      </c>
      <c r="B45" t="s">
        <v>54</v>
      </c>
      <c r="C45"/>
      <c r="D45"/>
      <c r="E45"/>
      <c r="F45"/>
      <c r="G45"/>
      <c r="H45"/>
      <c r="I45"/>
      <c r="J45"/>
      <c r="K45"/>
      <c r="L45"/>
      <c r="M45"/>
      <c r="N45"/>
      <c r="O45"/>
      <c r="P45"/>
      <c r="Q45"/>
      <c r="R45"/>
      <c r="S45"/>
      <c r="T45"/>
      <c r="U45"/>
      <c r="V45"/>
      <c r="W45"/>
      <c r="X45"/>
      <c r="Y45"/>
      <c r="Z45"/>
      <c r="AA45"/>
      <c r="AB45"/>
      <c r="AC45"/>
      <c r="AD45"/>
      <c r="AE45"/>
      <c r="AF45"/>
      <c r="AG45"/>
      <c r="AH45"/>
      <c r="AI45"/>
      <c r="AJ45"/>
      <c r="AK45"/>
      <c r="AL45"/>
      <c r="AM45"/>
    </row>
    <row r="46" spans="1:39" ht="14.25" customHeight="1" x14ac:dyDescent="0.55000000000000004">
      <c r="A46" t="str">
        <f t="shared" si="0"/>
        <v xml:space="preserve">Section 7: Approved Project Funding </v>
      </c>
      <c r="B46" t="s">
        <v>92</v>
      </c>
      <c r="C46" t="s">
        <v>147</v>
      </c>
      <c r="D46"/>
      <c r="E46"/>
      <c r="F46"/>
      <c r="G46"/>
      <c r="H46"/>
      <c r="I46"/>
      <c r="J46"/>
      <c r="K46"/>
      <c r="L46"/>
      <c r="M46"/>
      <c r="N46"/>
      <c r="O46"/>
      <c r="P46"/>
      <c r="Q46"/>
      <c r="R46"/>
      <c r="S46"/>
      <c r="T46"/>
      <c r="U46"/>
      <c r="V46"/>
      <c r="W46"/>
      <c r="X46"/>
      <c r="Y46"/>
      <c r="Z46"/>
      <c r="AA46"/>
      <c r="AB46"/>
      <c r="AC46"/>
      <c r="AD46"/>
      <c r="AE46"/>
      <c r="AF46"/>
      <c r="AG46"/>
      <c r="AH46"/>
      <c r="AI46"/>
      <c r="AJ46"/>
      <c r="AK46"/>
      <c r="AL46"/>
      <c r="AM46"/>
    </row>
    <row r="47" spans="1:39" ht="14.25" customHeight="1" x14ac:dyDescent="0.55000000000000004">
      <c r="A47" t="str">
        <f t="shared" si="0"/>
        <v>LP/EDC</v>
      </c>
      <c r="B47" t="s">
        <v>148</v>
      </c>
      <c r="C47"/>
      <c r="D47"/>
      <c r="E47"/>
      <c r="F47"/>
      <c r="G47"/>
      <c r="H47"/>
      <c r="I47"/>
      <c r="J47"/>
      <c r="K47"/>
      <c r="L47"/>
      <c r="M47"/>
      <c r="N47"/>
      <c r="O47"/>
      <c r="P47"/>
      <c r="Q47"/>
      <c r="R47"/>
      <c r="S47"/>
      <c r="T47"/>
      <c r="U47"/>
      <c r="V47"/>
      <c r="W47"/>
      <c r="X47"/>
      <c r="Y47"/>
      <c r="Z47"/>
      <c r="AA47"/>
      <c r="AB47"/>
      <c r="AC47"/>
      <c r="AD47"/>
      <c r="AE47"/>
      <c r="AF47"/>
      <c r="AG47"/>
      <c r="AH47"/>
      <c r="AI47"/>
      <c r="AJ47"/>
      <c r="AK47"/>
      <c r="AL47"/>
      <c r="AM47"/>
    </row>
    <row r="48" spans="1:39" ht="14.25" customHeight="1" x14ac:dyDescent="0.55000000000000004">
      <c r="A48" t="str">
        <f t="shared" si="0"/>
        <v>CP</v>
      </c>
      <c r="B48" t="s">
        <v>149</v>
      </c>
      <c r="C48"/>
      <c r="D48"/>
      <c r="E48"/>
      <c r="F48"/>
      <c r="G48"/>
      <c r="H48"/>
      <c r="I48"/>
      <c r="J48"/>
      <c r="K48"/>
      <c r="L48"/>
      <c r="M48"/>
      <c r="N48"/>
      <c r="O48"/>
      <c r="P48"/>
      <c r="Q48"/>
      <c r="R48"/>
      <c r="S48"/>
      <c r="T48"/>
      <c r="U48"/>
      <c r="V48"/>
      <c r="W48"/>
      <c r="X48"/>
      <c r="Y48"/>
      <c r="Z48"/>
      <c r="AA48"/>
      <c r="AB48"/>
      <c r="AC48"/>
      <c r="AD48"/>
      <c r="AE48"/>
      <c r="AF48"/>
      <c r="AG48"/>
      <c r="AH48"/>
      <c r="AI48"/>
      <c r="AJ48"/>
      <c r="AK48"/>
      <c r="AL48"/>
      <c r="AM48"/>
    </row>
    <row r="49" spans="1:39" ht="14.25" customHeight="1" x14ac:dyDescent="0.55000000000000004">
      <c r="A49" t="str">
        <f t="shared" si="0"/>
        <v>CC</v>
      </c>
      <c r="B49" t="s">
        <v>150</v>
      </c>
      <c r="C49"/>
      <c r="D49"/>
      <c r="E49"/>
      <c r="F49"/>
      <c r="G49"/>
      <c r="H49"/>
      <c r="I49"/>
      <c r="J49"/>
      <c r="K49"/>
      <c r="L49"/>
      <c r="M49"/>
      <c r="N49"/>
      <c r="O49"/>
      <c r="P49"/>
      <c r="Q49"/>
      <c r="R49"/>
      <c r="S49"/>
      <c r="T49"/>
      <c r="U49"/>
      <c r="V49"/>
      <c r="W49"/>
      <c r="X49"/>
      <c r="Y49"/>
      <c r="Z49"/>
      <c r="AA49"/>
      <c r="AB49"/>
      <c r="AC49"/>
      <c r="AD49"/>
      <c r="AE49"/>
      <c r="AF49"/>
      <c r="AG49"/>
      <c r="AH49"/>
      <c r="AI49"/>
      <c r="AJ49"/>
      <c r="AK49"/>
      <c r="AL49"/>
      <c r="AM49"/>
    </row>
    <row r="50" spans="1:39" ht="14.25" customHeight="1" x14ac:dyDescent="0.55000000000000004">
      <c r="A50" t="str">
        <f t="shared" si="0"/>
        <v xml:space="preserve">Other </v>
      </c>
      <c r="B50" t="s">
        <v>151</v>
      </c>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spans="1:39" ht="14.25" customHeight="1" x14ac:dyDescent="0.55000000000000004">
      <c r="A51" t="str">
        <f t="shared" si="0"/>
        <v xml:space="preserve">Total Approved Funding </v>
      </c>
      <c r="B51" t="s">
        <v>152</v>
      </c>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spans="1:39" ht="14.25" customHeight="1" x14ac:dyDescent="0.55000000000000004">
      <c r="A52" t="str">
        <f t="shared" si="0"/>
        <v xml:space="preserve">Section 8: Projected Construction Cost </v>
      </c>
      <c r="B52" t="s">
        <v>93</v>
      </c>
      <c r="C52" t="s">
        <v>153</v>
      </c>
      <c r="D52"/>
      <c r="E52"/>
      <c r="F52"/>
      <c r="G52"/>
      <c r="H52"/>
      <c r="I52"/>
      <c r="J52"/>
      <c r="K52"/>
      <c r="L52"/>
      <c r="M52"/>
      <c r="N52"/>
      <c r="O52"/>
      <c r="P52"/>
      <c r="Q52"/>
      <c r="R52"/>
      <c r="S52"/>
      <c r="T52"/>
      <c r="U52"/>
      <c r="V52"/>
      <c r="W52"/>
      <c r="X52"/>
      <c r="Y52"/>
      <c r="Z52"/>
      <c r="AA52"/>
      <c r="AB52"/>
      <c r="AC52"/>
      <c r="AD52"/>
      <c r="AE52"/>
      <c r="AF52"/>
      <c r="AG52"/>
      <c r="AH52"/>
      <c r="AI52"/>
      <c r="AJ52"/>
      <c r="AK52"/>
      <c r="AL52"/>
      <c r="AM52"/>
    </row>
    <row r="53" spans="1:39" ht="14.25" customHeight="1" x14ac:dyDescent="0.55000000000000004">
      <c r="A53" t="str">
        <f t="shared" si="0"/>
        <v xml:space="preserve">Basis of Cost Estimate </v>
      </c>
      <c r="B53" t="s">
        <v>94</v>
      </c>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spans="1:39" ht="14.25" customHeight="1" x14ac:dyDescent="0.55000000000000004">
      <c r="A54" t="str">
        <f t="shared" si="0"/>
        <v>Land Cost</v>
      </c>
      <c r="B54" t="s">
        <v>154</v>
      </c>
      <c r="C54"/>
      <c r="D54"/>
      <c r="E54"/>
      <c r="F54"/>
      <c r="G54"/>
      <c r="H54"/>
      <c r="I54"/>
      <c r="J54"/>
      <c r="K54"/>
      <c r="L54"/>
      <c r="M54"/>
      <c r="N54"/>
      <c r="O54"/>
      <c r="P54"/>
      <c r="Q54"/>
      <c r="R54"/>
      <c r="S54"/>
      <c r="T54"/>
      <c r="U54"/>
      <c r="V54"/>
      <c r="W54"/>
      <c r="X54"/>
      <c r="Y54"/>
      <c r="Z54"/>
      <c r="AA54"/>
      <c r="AB54"/>
      <c r="AC54"/>
      <c r="AD54"/>
      <c r="AE54"/>
      <c r="AF54"/>
      <c r="AG54"/>
      <c r="AH54"/>
      <c r="AI54"/>
      <c r="AJ54"/>
      <c r="AK54"/>
      <c r="AL54"/>
      <c r="AM54"/>
    </row>
    <row r="55" spans="1:39" ht="14.25" customHeight="1" x14ac:dyDescent="0.55000000000000004">
      <c r="A55" t="str">
        <f t="shared" si="0"/>
        <v>Building Cost - School</v>
      </c>
      <c r="B55" t="s">
        <v>155</v>
      </c>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spans="1:39" ht="14.25" customHeight="1" x14ac:dyDescent="0.55000000000000004">
      <c r="A56" t="str">
        <f t="shared" si="0"/>
        <v>Soft Costs - School</v>
      </c>
      <c r="B56" t="s">
        <v>156</v>
      </c>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spans="1:39" ht="14.25" customHeight="1" x14ac:dyDescent="0.55000000000000004">
      <c r="A57" t="str">
        <f t="shared" si="0"/>
        <v xml:space="preserve">Building Cost - Child Care </v>
      </c>
      <c r="B57" t="s">
        <v>157</v>
      </c>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spans="1:39" ht="14.25" customHeight="1" x14ac:dyDescent="0.55000000000000004">
      <c r="A58" t="str">
        <f t="shared" si="0"/>
        <v xml:space="preserve">Soft Costs -Child Care </v>
      </c>
      <c r="B58" t="s">
        <v>158</v>
      </c>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spans="1:39" ht="14.25" customHeight="1" x14ac:dyDescent="0.55000000000000004">
      <c r="A59" t="str">
        <f t="shared" si="0"/>
        <v>Unique Site Costs - School</v>
      </c>
      <c r="B59" t="s">
        <v>159</v>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spans="1:39" ht="14.25" customHeight="1" x14ac:dyDescent="0.55000000000000004">
      <c r="A60" t="str">
        <f t="shared" si="0"/>
        <v xml:space="preserve">Unique Site Costs - Child Care </v>
      </c>
      <c r="B60" t="s">
        <v>160</v>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spans="1:39" ht="14.25" customHeight="1" x14ac:dyDescent="0.55000000000000004">
      <c r="A61" t="str">
        <f t="shared" si="0"/>
        <v xml:space="preserve">Unique Site Costs - Other </v>
      </c>
      <c r="B61" t="s">
        <v>161</v>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spans="1:39" ht="14.25" customHeight="1" x14ac:dyDescent="0.55000000000000004">
      <c r="A62" t="str">
        <f t="shared" si="0"/>
        <v>Municipal/Extraordinary Cost - School</v>
      </c>
      <c r="B62" t="s">
        <v>162</v>
      </c>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spans="1:39" ht="14.25" customHeight="1" x14ac:dyDescent="0.55000000000000004">
      <c r="A63" t="str">
        <f t="shared" si="0"/>
        <v>Municipal/Extraordinary Cost - Child Care</v>
      </c>
      <c r="B63" t="s">
        <v>163</v>
      </c>
      <c r="C63"/>
      <c r="D63"/>
      <c r="E63"/>
      <c r="F63"/>
      <c r="G63"/>
      <c r="H63"/>
      <c r="I63"/>
      <c r="J63"/>
      <c r="K63"/>
      <c r="L63"/>
      <c r="M63"/>
      <c r="N63"/>
      <c r="O63"/>
      <c r="P63"/>
      <c r="Q63"/>
      <c r="R63"/>
      <c r="S63"/>
      <c r="T63"/>
      <c r="U63"/>
      <c r="V63"/>
      <c r="W63"/>
      <c r="X63"/>
      <c r="Y63"/>
      <c r="Z63"/>
      <c r="AA63"/>
      <c r="AB63"/>
      <c r="AC63"/>
      <c r="AD63"/>
      <c r="AE63"/>
      <c r="AF63"/>
      <c r="AG63"/>
      <c r="AH63"/>
      <c r="AI63"/>
      <c r="AJ63"/>
      <c r="AK63"/>
      <c r="AL63"/>
      <c r="AM63"/>
    </row>
    <row r="64" spans="1:39" ht="14.25" customHeight="1" x14ac:dyDescent="0.55000000000000004">
      <c r="A64" t="str">
        <f t="shared" si="0"/>
        <v>Municipal/Extraordinary Cost - Other</v>
      </c>
      <c r="B64" t="s">
        <v>164</v>
      </c>
      <c r="C64"/>
      <c r="D64"/>
      <c r="E64"/>
      <c r="F64"/>
      <c r="G64"/>
      <c r="H64"/>
      <c r="I64"/>
      <c r="J64"/>
      <c r="K64"/>
      <c r="L64"/>
      <c r="M64"/>
      <c r="N64"/>
      <c r="O64"/>
      <c r="P64"/>
      <c r="Q64"/>
      <c r="R64"/>
      <c r="S64"/>
      <c r="T64"/>
      <c r="U64"/>
      <c r="V64"/>
      <c r="W64"/>
      <c r="X64"/>
      <c r="Y64"/>
      <c r="Z64"/>
      <c r="AA64"/>
      <c r="AB64"/>
      <c r="AC64"/>
      <c r="AD64"/>
      <c r="AE64"/>
      <c r="AF64"/>
      <c r="AG64"/>
      <c r="AH64"/>
      <c r="AI64"/>
      <c r="AJ64"/>
      <c r="AK64"/>
      <c r="AL64"/>
      <c r="AM64"/>
    </row>
    <row r="65" spans="1:39" ht="14.25" customHeight="1" x14ac:dyDescent="0.55000000000000004">
      <c r="A65" t="str">
        <f t="shared" si="0"/>
        <v xml:space="preserve">Total </v>
      </c>
      <c r="B65" t="s">
        <v>165</v>
      </c>
      <c r="C65"/>
      <c r="D65"/>
      <c r="E65"/>
      <c r="F65"/>
      <c r="G65"/>
      <c r="H65"/>
      <c r="I65"/>
      <c r="J65"/>
      <c r="K65"/>
      <c r="L65"/>
      <c r="M65"/>
      <c r="N65"/>
      <c r="O65"/>
      <c r="P65"/>
      <c r="Q65"/>
      <c r="R65"/>
      <c r="S65"/>
      <c r="T65"/>
      <c r="U65"/>
      <c r="V65"/>
      <c r="W65"/>
      <c r="X65"/>
      <c r="Y65"/>
      <c r="Z65"/>
      <c r="AA65"/>
      <c r="AB65"/>
      <c r="AC65"/>
      <c r="AD65"/>
      <c r="AE65"/>
      <c r="AF65"/>
      <c r="AG65"/>
      <c r="AH65"/>
      <c r="AI65"/>
      <c r="AJ65"/>
      <c r="AK65"/>
      <c r="AL65"/>
      <c r="AM65"/>
    </row>
    <row r="66" spans="1:39" ht="14.25" customHeight="1" x14ac:dyDescent="0.55000000000000004">
      <c r="A66" t="str">
        <f t="shared" si="0"/>
        <v>Variance</v>
      </c>
      <c r="B66" t="s">
        <v>166</v>
      </c>
      <c r="C66"/>
      <c r="D66"/>
      <c r="E66"/>
      <c r="F66"/>
      <c r="G66"/>
      <c r="H66"/>
      <c r="I66"/>
      <c r="J66"/>
      <c r="K66"/>
      <c r="L66"/>
      <c r="M66"/>
      <c r="N66"/>
      <c r="O66"/>
      <c r="P66"/>
      <c r="Q66"/>
      <c r="R66"/>
      <c r="S66"/>
      <c r="T66"/>
      <c r="U66"/>
      <c r="V66"/>
      <c r="W66"/>
      <c r="X66"/>
      <c r="Y66"/>
      <c r="Z66"/>
      <c r="AA66"/>
      <c r="AB66"/>
      <c r="AC66"/>
      <c r="AD66"/>
      <c r="AE66"/>
      <c r="AF66"/>
      <c r="AG66"/>
      <c r="AH66"/>
      <c r="AI66"/>
      <c r="AJ66"/>
      <c r="AK66"/>
      <c r="AL66"/>
      <c r="AM66"/>
    </row>
    <row r="67" spans="1:39" ht="14.25" customHeight="1" x14ac:dyDescent="0.55000000000000004">
      <c r="A67" t="str">
        <f t="shared" si="0"/>
        <v>Revised Funding Request</v>
      </c>
      <c r="B67" t="s">
        <v>167</v>
      </c>
      <c r="C67"/>
      <c r="D67"/>
      <c r="E67"/>
      <c r="F67"/>
      <c r="G67"/>
      <c r="H67"/>
      <c r="I67"/>
      <c r="J67"/>
      <c r="K67"/>
      <c r="L67"/>
      <c r="M67"/>
      <c r="N67"/>
      <c r="O67"/>
      <c r="P67"/>
      <c r="Q67"/>
      <c r="R67"/>
      <c r="S67"/>
      <c r="T67"/>
      <c r="U67"/>
      <c r="V67"/>
      <c r="W67"/>
      <c r="X67"/>
      <c r="Y67"/>
      <c r="Z67"/>
      <c r="AA67"/>
      <c r="AB67"/>
      <c r="AC67"/>
      <c r="AD67"/>
      <c r="AE67"/>
      <c r="AF67"/>
      <c r="AG67"/>
      <c r="AH67"/>
      <c r="AI67"/>
      <c r="AJ67"/>
      <c r="AK67"/>
      <c r="AL67"/>
      <c r="AM67"/>
    </row>
    <row r="68" spans="1:39" ht="14.25" customHeight="1" x14ac:dyDescent="0.55000000000000004">
      <c r="A68" t="str">
        <f t="shared" si="0"/>
        <v>Section 9: Communications Protocol</v>
      </c>
      <c r="B68" t="s">
        <v>168</v>
      </c>
      <c r="C68"/>
      <c r="D68"/>
      <c r="E68"/>
      <c r="F68"/>
      <c r="G68"/>
      <c r="H68"/>
      <c r="I68"/>
      <c r="J68"/>
      <c r="K68"/>
      <c r="L68"/>
      <c r="M68"/>
      <c r="N68"/>
      <c r="O68"/>
      <c r="P68"/>
      <c r="Q68"/>
      <c r="R68"/>
      <c r="S68"/>
      <c r="T68"/>
      <c r="U68"/>
      <c r="V68"/>
      <c r="W68"/>
      <c r="X68"/>
      <c r="Y68"/>
      <c r="Z68"/>
      <c r="AA68"/>
      <c r="AB68"/>
      <c r="AC68"/>
      <c r="AD68"/>
      <c r="AE68"/>
      <c r="AF68"/>
      <c r="AG68"/>
      <c r="AH68"/>
      <c r="AI68"/>
      <c r="AJ68"/>
      <c r="AK68"/>
      <c r="AL68"/>
      <c r="AM68"/>
    </row>
    <row r="69" spans="1:39" ht="14.25" customHeight="1" x14ac:dyDescent="0.55000000000000004">
      <c r="A69" t="str">
        <f t="shared" si="0"/>
        <v xml:space="preserve">Signage </v>
      </c>
      <c r="B69" t="s">
        <v>95</v>
      </c>
      <c r="C69"/>
      <c r="D69"/>
      <c r="E69"/>
      <c r="F69"/>
      <c r="G69"/>
      <c r="H69"/>
      <c r="I69"/>
      <c r="J69"/>
      <c r="K69"/>
      <c r="L69"/>
      <c r="M69"/>
      <c r="N69"/>
      <c r="O69"/>
      <c r="P69"/>
      <c r="Q69"/>
      <c r="R69"/>
      <c r="S69"/>
      <c r="T69"/>
      <c r="U69"/>
      <c r="V69"/>
      <c r="W69"/>
      <c r="X69"/>
      <c r="Y69"/>
      <c r="Z69"/>
      <c r="AA69"/>
      <c r="AB69"/>
      <c r="AC69"/>
      <c r="AD69"/>
      <c r="AE69"/>
      <c r="AF69"/>
      <c r="AG69"/>
      <c r="AH69"/>
      <c r="AI69"/>
      <c r="AJ69"/>
      <c r="AK69"/>
      <c r="AL69"/>
      <c r="AM69"/>
    </row>
    <row r="70" spans="1:39" ht="14.25" customHeight="1" x14ac:dyDescent="0.55000000000000004">
      <c r="A70" t="str">
        <f t="shared" si="0"/>
        <v>Opening Ceremony - Date</v>
      </c>
      <c r="B70" t="s">
        <v>169</v>
      </c>
      <c r="C70"/>
      <c r="D70"/>
      <c r="E70"/>
      <c r="F70"/>
      <c r="G70"/>
      <c r="H70"/>
      <c r="I70"/>
      <c r="J70"/>
      <c r="K70"/>
      <c r="L70"/>
      <c r="M70"/>
      <c r="N70"/>
      <c r="O70"/>
      <c r="P70"/>
      <c r="Q70"/>
      <c r="R70"/>
      <c r="S70"/>
      <c r="T70"/>
      <c r="U70"/>
      <c r="V70"/>
      <c r="W70"/>
      <c r="X70"/>
      <c r="Y70"/>
      <c r="Z70"/>
      <c r="AA70"/>
      <c r="AB70"/>
      <c r="AC70"/>
      <c r="AD70"/>
      <c r="AE70"/>
      <c r="AF70"/>
      <c r="AG70"/>
      <c r="AH70"/>
      <c r="AI70"/>
      <c r="AJ70"/>
      <c r="AK70"/>
      <c r="AL70"/>
      <c r="AM70"/>
    </row>
    <row r="71" spans="1:39" ht="14.25" customHeight="1" x14ac:dyDescent="0.55000000000000004">
      <c r="A71" t="str">
        <f t="shared" ref="A71:A89" si="1">IF($A$1="English",B71,C71)</f>
        <v xml:space="preserve">Section 10: General Comments </v>
      </c>
      <c r="B71" t="s">
        <v>170</v>
      </c>
      <c r="C71" t="s">
        <v>171</v>
      </c>
      <c r="D71"/>
      <c r="E71"/>
      <c r="F71"/>
      <c r="G71"/>
      <c r="H71"/>
      <c r="I71"/>
      <c r="J71"/>
      <c r="K71"/>
      <c r="L71"/>
      <c r="M71"/>
      <c r="N71"/>
      <c r="O71"/>
      <c r="P71"/>
      <c r="Q71"/>
      <c r="R71"/>
      <c r="S71"/>
      <c r="T71"/>
      <c r="U71"/>
      <c r="V71"/>
      <c r="W71"/>
      <c r="X71"/>
      <c r="Y71"/>
      <c r="Z71"/>
      <c r="AA71"/>
      <c r="AB71"/>
      <c r="AC71"/>
      <c r="AD71"/>
      <c r="AE71"/>
      <c r="AF71"/>
      <c r="AG71"/>
      <c r="AH71"/>
      <c r="AI71"/>
      <c r="AJ71"/>
      <c r="AK71"/>
      <c r="AL71"/>
      <c r="AM71"/>
    </row>
    <row r="72" spans="1:39" ht="14.25" customHeight="1" x14ac:dyDescent="0.55000000000000004">
      <c r="A72" t="str">
        <f t="shared" si="1"/>
        <v xml:space="preserve">Section 10: Project Risks and Mitigation Stategies </v>
      </c>
      <c r="B72" t="s">
        <v>172</v>
      </c>
      <c r="C72"/>
      <c r="D72"/>
      <c r="E72"/>
      <c r="F72"/>
      <c r="G72"/>
      <c r="H72"/>
      <c r="I72"/>
      <c r="J72"/>
      <c r="K72"/>
      <c r="L72"/>
      <c r="M72"/>
      <c r="N72"/>
      <c r="O72"/>
      <c r="P72"/>
      <c r="Q72"/>
      <c r="R72"/>
      <c r="S72"/>
      <c r="T72"/>
      <c r="U72"/>
      <c r="V72"/>
      <c r="W72"/>
      <c r="X72"/>
      <c r="Y72"/>
      <c r="Z72"/>
      <c r="AA72"/>
      <c r="AB72"/>
      <c r="AC72"/>
      <c r="AD72"/>
      <c r="AE72"/>
      <c r="AF72"/>
      <c r="AG72"/>
      <c r="AH72"/>
      <c r="AI72"/>
      <c r="AJ72"/>
      <c r="AK72"/>
      <c r="AL72"/>
      <c r="AM72"/>
    </row>
    <row r="73" spans="1:39" ht="14.25" customHeight="1" x14ac:dyDescent="0.55000000000000004">
      <c r="A73" t="str">
        <f t="shared" si="1"/>
        <v>Risk Type</v>
      </c>
      <c r="B73" t="s">
        <v>173</v>
      </c>
      <c r="C73"/>
      <c r="D73"/>
      <c r="E73"/>
      <c r="F73"/>
      <c r="G73"/>
      <c r="H73"/>
      <c r="I73"/>
      <c r="J73"/>
      <c r="K73"/>
      <c r="L73"/>
      <c r="M73"/>
      <c r="N73"/>
      <c r="O73"/>
      <c r="P73"/>
      <c r="Q73"/>
      <c r="R73"/>
      <c r="S73"/>
      <c r="T73"/>
      <c r="U73"/>
      <c r="V73"/>
      <c r="W73"/>
      <c r="X73"/>
      <c r="Y73"/>
      <c r="Z73"/>
      <c r="AA73"/>
      <c r="AB73"/>
      <c r="AC73"/>
      <c r="AD73"/>
      <c r="AE73"/>
      <c r="AF73"/>
      <c r="AG73"/>
      <c r="AH73"/>
      <c r="AI73"/>
      <c r="AJ73"/>
      <c r="AK73"/>
      <c r="AL73"/>
      <c r="AM73"/>
    </row>
    <row r="74" spans="1:39" ht="14.1" customHeight="1" x14ac:dyDescent="0.55000000000000004">
      <c r="A74" t="str">
        <f t="shared" si="1"/>
        <v>Risk Rating</v>
      </c>
      <c r="B74" t="s">
        <v>174</v>
      </c>
      <c r="C74"/>
      <c r="D74"/>
      <c r="E74"/>
      <c r="F74"/>
      <c r="G74"/>
      <c r="H74"/>
      <c r="I74"/>
      <c r="J74"/>
      <c r="K74"/>
      <c r="L74"/>
      <c r="M74"/>
      <c r="N74"/>
      <c r="O74"/>
      <c r="P74"/>
      <c r="Q74"/>
      <c r="R74"/>
      <c r="S74"/>
      <c r="T74"/>
      <c r="U74"/>
      <c r="V74"/>
      <c r="W74"/>
      <c r="X74"/>
      <c r="Y74"/>
      <c r="Z74"/>
      <c r="AA74"/>
      <c r="AB74"/>
      <c r="AC74"/>
      <c r="AD74"/>
      <c r="AE74"/>
      <c r="AF74"/>
      <c r="AG74"/>
      <c r="AH74"/>
      <c r="AI74"/>
      <c r="AJ74"/>
      <c r="AK74"/>
      <c r="AL74"/>
      <c r="AM74"/>
    </row>
    <row r="75" spans="1:39" ht="14.1" customHeight="1" x14ac:dyDescent="0.55000000000000004">
      <c r="A75" t="str">
        <f t="shared" si="1"/>
        <v>Risk Exposure Start Date</v>
      </c>
      <c r="B75" t="s">
        <v>175</v>
      </c>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spans="1:39" ht="14.1" customHeight="1" x14ac:dyDescent="0.55000000000000004">
      <c r="A76" t="str">
        <f t="shared" si="1"/>
        <v>Min-Max Cost of Risk ($M)</v>
      </c>
      <c r="B76" t="s">
        <v>176</v>
      </c>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spans="1:39" ht="14.1" customHeight="1" x14ac:dyDescent="0.55000000000000004">
      <c r="A77" t="str">
        <f t="shared" si="1"/>
        <v>Min-Max Delay of Risk (Months)</v>
      </c>
      <c r="B77" t="s">
        <v>177</v>
      </c>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spans="1:39" ht="14.1" customHeight="1" x14ac:dyDescent="0.55000000000000004">
      <c r="A78" t="str">
        <f t="shared" si="1"/>
        <v>Mitigation Stategies/Comments</v>
      </c>
      <c r="B78" t="s">
        <v>178</v>
      </c>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spans="1:39" ht="14.25" customHeight="1" x14ac:dyDescent="0.55000000000000004">
      <c r="A79" t="str">
        <f t="shared" si="1"/>
        <v>CA Comments</v>
      </c>
      <c r="B79" t="s">
        <v>179</v>
      </c>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spans="1:39" ht="14.25" customHeight="1" x14ac:dyDescent="0.55000000000000004">
      <c r="A80" t="str">
        <f t="shared" si="1"/>
        <v>Contract Awarded</v>
      </c>
      <c r="B80" t="s">
        <v>180</v>
      </c>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spans="1:39" ht="14.25" customHeight="1" x14ac:dyDescent="0.55000000000000004">
      <c r="A81" t="str">
        <f t="shared" si="1"/>
        <v>Build Permit Obtained</v>
      </c>
      <c r="B81" t="s">
        <v>46</v>
      </c>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spans="1:39" ht="14.25" customHeight="1" x14ac:dyDescent="0.55000000000000004">
      <c r="A82" t="str">
        <f t="shared" si="1"/>
        <v xml:space="preserve">Site Preparation Cost </v>
      </c>
      <c r="B82" t="s">
        <v>181</v>
      </c>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spans="1:39" ht="14.25" customHeight="1" x14ac:dyDescent="0.55000000000000004">
      <c r="A83" t="str">
        <f t="shared" si="1"/>
        <v xml:space="preserve">Site Funding Source </v>
      </c>
      <c r="B83" t="s">
        <v>182</v>
      </c>
      <c r="C83"/>
      <c r="D83"/>
      <c r="E83"/>
      <c r="F83"/>
      <c r="G83"/>
      <c r="H83"/>
      <c r="I83"/>
      <c r="J83"/>
      <c r="K83"/>
      <c r="L83"/>
      <c r="M83"/>
      <c r="N83"/>
      <c r="O83"/>
      <c r="P83"/>
      <c r="Q83"/>
      <c r="R83"/>
      <c r="S83"/>
      <c r="T83"/>
      <c r="U83"/>
      <c r="V83"/>
      <c r="W83"/>
      <c r="X83"/>
      <c r="Y83"/>
      <c r="Z83"/>
      <c r="AA83"/>
      <c r="AB83"/>
      <c r="AC83"/>
      <c r="AD83"/>
      <c r="AE83"/>
      <c r="AF83"/>
      <c r="AG83"/>
      <c r="AH83"/>
      <c r="AI83"/>
      <c r="AJ83"/>
      <c r="AK83"/>
      <c r="AL83"/>
      <c r="AM83"/>
    </row>
    <row r="84" spans="1:39" ht="14.25" customHeight="1" x14ac:dyDescent="0.55000000000000004">
      <c r="A84" t="str">
        <f t="shared" si="1"/>
        <v>Site Prep/Mobilization</v>
      </c>
      <c r="B84" t="s">
        <v>183</v>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spans="1:39" ht="14.25" customHeight="1" x14ac:dyDescent="0.55000000000000004">
      <c r="A85" t="str">
        <f t="shared" si="1"/>
        <v xml:space="preserve">Building Cost - Other </v>
      </c>
      <c r="B85" t="s">
        <v>184</v>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spans="1:39" ht="14.25" customHeight="1" x14ac:dyDescent="0.75">
      <c r="A86" t="str">
        <f t="shared" si="1"/>
        <v xml:space="preserve">ALL ESTIMATED DATES = UNBOLDED  
ALL ACTUAL DATES = BOLDED </v>
      </c>
      <c r="B86" s="49" t="s">
        <v>185</v>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spans="1:39" ht="14.25" customHeight="1" x14ac:dyDescent="0.55000000000000004">
      <c r="A87">
        <f t="shared" si="1"/>
        <v>0</v>
      </c>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spans="1:39" ht="14.25" customHeight="1" x14ac:dyDescent="0.55000000000000004">
      <c r="A88">
        <f t="shared" si="1"/>
        <v>0</v>
      </c>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row>
    <row r="89" spans="1:39" ht="14.25" customHeight="1" x14ac:dyDescent="0.55000000000000004">
      <c r="A89">
        <f t="shared" si="1"/>
        <v>0</v>
      </c>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row>
    <row r="90" spans="1:39" ht="14.25" customHeight="1" x14ac:dyDescent="0.55000000000000004">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row>
    <row r="91" spans="1:39" ht="14.25" customHeight="1" x14ac:dyDescent="0.55000000000000004">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row>
    <row r="92" spans="1:39" ht="14.25" customHeight="1" x14ac:dyDescent="0.55000000000000004">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row>
    <row r="93" spans="1:39" ht="14.25" customHeight="1" x14ac:dyDescent="0.5500000000000000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row>
    <row r="94" spans="1:39" ht="14.25" customHeight="1" x14ac:dyDescent="0.75">
      <c r="A94" s="48" t="s">
        <v>5</v>
      </c>
      <c r="B94" s="48" t="s">
        <v>6</v>
      </c>
      <c r="C94" s="48" t="s">
        <v>7</v>
      </c>
      <c r="D94"/>
      <c r="E94"/>
      <c r="F94"/>
      <c r="G94"/>
      <c r="H94"/>
      <c r="I94"/>
      <c r="J94"/>
      <c r="K94"/>
      <c r="L94"/>
      <c r="M94"/>
      <c r="N94"/>
      <c r="O94"/>
      <c r="P94"/>
      <c r="Q94"/>
      <c r="R94"/>
      <c r="S94"/>
      <c r="T94"/>
      <c r="U94"/>
      <c r="V94"/>
      <c r="W94"/>
      <c r="X94"/>
      <c r="Y94"/>
      <c r="Z94"/>
      <c r="AA94"/>
      <c r="AB94"/>
      <c r="AC94"/>
      <c r="AD94"/>
      <c r="AE94"/>
      <c r="AF94"/>
      <c r="AG94"/>
      <c r="AH94"/>
      <c r="AI94"/>
      <c r="AJ94"/>
      <c r="AK94"/>
      <c r="AL94"/>
      <c r="AM94"/>
    </row>
    <row r="95" spans="1:39" ht="14.25" customHeight="1" x14ac:dyDescent="0.55000000000000004">
      <c r="A95" s="348" t="s">
        <v>0</v>
      </c>
      <c r="B95" s="348"/>
      <c r="C95" s="348"/>
      <c r="D95"/>
      <c r="E95"/>
      <c r="F95"/>
      <c r="G95"/>
      <c r="H95"/>
      <c r="I95"/>
      <c r="J95"/>
      <c r="K95"/>
      <c r="L95"/>
      <c r="M95"/>
      <c r="N95"/>
      <c r="O95"/>
      <c r="P95"/>
      <c r="Q95"/>
      <c r="R95"/>
      <c r="S95"/>
      <c r="T95"/>
      <c r="U95"/>
      <c r="V95"/>
      <c r="W95"/>
      <c r="X95"/>
      <c r="Y95"/>
      <c r="Z95"/>
      <c r="AA95"/>
      <c r="AB95"/>
      <c r="AC95"/>
      <c r="AD95"/>
      <c r="AE95"/>
      <c r="AF95"/>
      <c r="AG95"/>
      <c r="AH95"/>
      <c r="AI95"/>
      <c r="AJ95"/>
      <c r="AK95"/>
      <c r="AL95"/>
      <c r="AM95"/>
    </row>
    <row r="96" spans="1:39" ht="14.25" customHeight="1" x14ac:dyDescent="0.55000000000000004">
      <c r="A96" s="33" t="s">
        <v>8</v>
      </c>
      <c r="B96" s="33" t="s">
        <v>9</v>
      </c>
      <c r="C96" s="33" t="s">
        <v>10</v>
      </c>
      <c r="D96"/>
      <c r="E96"/>
      <c r="F96"/>
      <c r="G96"/>
      <c r="H96"/>
      <c r="I96"/>
      <c r="J96"/>
      <c r="K96"/>
      <c r="L96"/>
      <c r="M96"/>
      <c r="N96"/>
      <c r="O96"/>
      <c r="P96"/>
      <c r="Q96"/>
      <c r="R96"/>
      <c r="S96"/>
      <c r="T96"/>
      <c r="U96"/>
      <c r="V96"/>
      <c r="W96"/>
      <c r="X96"/>
      <c r="Y96"/>
      <c r="Z96"/>
      <c r="AA96"/>
      <c r="AB96"/>
      <c r="AC96"/>
      <c r="AD96"/>
      <c r="AE96"/>
      <c r="AF96"/>
      <c r="AG96"/>
      <c r="AH96"/>
      <c r="AI96"/>
      <c r="AJ96"/>
      <c r="AK96"/>
      <c r="AL96"/>
      <c r="AM96"/>
    </row>
    <row r="97" spans="1:39" ht="14.25" customHeight="1" x14ac:dyDescent="0.55000000000000004">
      <c r="A97" t="str">
        <f t="shared" ref="A97:A126" si="2">IF($A$1="English",B97,C97)</f>
        <v>Project Info</v>
      </c>
      <c r="B97" t="s">
        <v>11</v>
      </c>
      <c r="C97" s="33"/>
      <c r="D97"/>
      <c r="E97"/>
      <c r="F97"/>
      <c r="G97"/>
      <c r="H97"/>
      <c r="I97"/>
      <c r="J97"/>
      <c r="K97"/>
      <c r="L97"/>
      <c r="M97"/>
      <c r="N97"/>
      <c r="O97"/>
      <c r="P97"/>
      <c r="Q97"/>
      <c r="R97"/>
      <c r="S97"/>
      <c r="T97"/>
      <c r="U97"/>
      <c r="V97"/>
      <c r="W97"/>
      <c r="X97"/>
      <c r="Y97"/>
      <c r="Z97"/>
      <c r="AA97"/>
      <c r="AB97"/>
      <c r="AC97"/>
      <c r="AD97"/>
      <c r="AE97"/>
      <c r="AF97"/>
      <c r="AG97"/>
      <c r="AH97"/>
      <c r="AI97"/>
      <c r="AJ97"/>
      <c r="AK97"/>
      <c r="AL97"/>
      <c r="AM97"/>
    </row>
    <row r="98" spans="1:39" ht="14.25" customHeight="1" x14ac:dyDescent="0.55000000000000004">
      <c r="A98" t="str">
        <f t="shared" si="2"/>
        <v xml:space="preserve">Key </v>
      </c>
      <c r="B98" t="s">
        <v>12</v>
      </c>
      <c r="C98"/>
      <c r="D98"/>
      <c r="E98"/>
      <c r="F98"/>
      <c r="G98"/>
      <c r="H98"/>
      <c r="I98"/>
      <c r="J98"/>
      <c r="K98"/>
      <c r="L98"/>
      <c r="M98"/>
      <c r="N98"/>
      <c r="O98"/>
      <c r="P98"/>
      <c r="Q98"/>
      <c r="R98"/>
      <c r="S98"/>
      <c r="T98"/>
      <c r="U98"/>
      <c r="V98"/>
      <c r="W98"/>
      <c r="X98"/>
      <c r="Y98"/>
      <c r="Z98"/>
      <c r="AA98"/>
      <c r="AB98"/>
      <c r="AC98"/>
      <c r="AD98"/>
      <c r="AE98"/>
      <c r="AF98"/>
      <c r="AG98"/>
      <c r="AH98"/>
      <c r="AI98"/>
      <c r="AJ98"/>
      <c r="AK98"/>
      <c r="AL98"/>
      <c r="AM98"/>
    </row>
    <row r="99" spans="1:39" ht="14.25" customHeight="1" x14ac:dyDescent="0.55000000000000004">
      <c r="A99" t="str">
        <f t="shared" si="2"/>
        <v>Project ID</v>
      </c>
      <c r="B99" t="s">
        <v>1</v>
      </c>
      <c r="C99" s="50" t="s">
        <v>13</v>
      </c>
      <c r="D99"/>
      <c r="E99"/>
      <c r="F99"/>
      <c r="G99"/>
      <c r="H99"/>
      <c r="I99"/>
      <c r="J99"/>
      <c r="K99"/>
      <c r="L99"/>
      <c r="M99"/>
      <c r="N99"/>
      <c r="O99"/>
      <c r="P99"/>
      <c r="Q99"/>
      <c r="R99"/>
      <c r="S99"/>
      <c r="T99"/>
      <c r="U99"/>
      <c r="V99"/>
      <c r="W99"/>
      <c r="X99"/>
      <c r="Y99"/>
      <c r="Z99"/>
      <c r="AA99"/>
      <c r="AB99"/>
      <c r="AC99"/>
      <c r="AD99"/>
      <c r="AE99"/>
      <c r="AF99"/>
      <c r="AG99"/>
      <c r="AH99"/>
      <c r="AI99"/>
      <c r="AJ99"/>
      <c r="AK99"/>
      <c r="AL99"/>
      <c r="AM99"/>
    </row>
    <row r="100" spans="1:39" ht="14.25" customHeight="1" x14ac:dyDescent="0.55000000000000004">
      <c r="A100" t="str">
        <f t="shared" si="2"/>
        <v xml:space="preserve">Project Name </v>
      </c>
      <c r="B100" t="s">
        <v>14</v>
      </c>
      <c r="C100" t="s">
        <v>4</v>
      </c>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spans="1:39" ht="14.25" customHeight="1" x14ac:dyDescent="0.55000000000000004">
      <c r="A101" t="str">
        <f t="shared" si="2"/>
        <v>Phase 1 - Start</v>
      </c>
      <c r="B101" t="s">
        <v>15</v>
      </c>
      <c r="C101" t="s">
        <v>16</v>
      </c>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spans="1:39" ht="14.25" customHeight="1" x14ac:dyDescent="0.55000000000000004">
      <c r="A102" t="str">
        <f t="shared" si="2"/>
        <v xml:space="preserve">Phase 1 - End </v>
      </c>
      <c r="B102" t="s">
        <v>17</v>
      </c>
      <c r="C102" t="s">
        <v>18</v>
      </c>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spans="1:39" ht="14.25" customHeight="1" x14ac:dyDescent="0.55000000000000004">
      <c r="A103" t="str">
        <f t="shared" si="2"/>
        <v>Phase 2 - Start</v>
      </c>
      <c r="B103" t="s">
        <v>19</v>
      </c>
      <c r="C103" t="s">
        <v>20</v>
      </c>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row>
    <row r="104" spans="1:39" ht="14.25" customHeight="1" x14ac:dyDescent="0.55000000000000004">
      <c r="A104" t="str">
        <f t="shared" si="2"/>
        <v>Phase 2 - End</v>
      </c>
      <c r="B104" t="s">
        <v>21</v>
      </c>
      <c r="C104" t="s">
        <v>22</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spans="1:39" ht="14.25" customHeight="1" x14ac:dyDescent="0.55000000000000004">
      <c r="A105" t="str">
        <f t="shared" si="2"/>
        <v>Phase 3 - Start</v>
      </c>
      <c r="B105" t="s">
        <v>23</v>
      </c>
      <c r="C105" t="s">
        <v>24</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spans="1:39" ht="14.25" customHeight="1" x14ac:dyDescent="0.55000000000000004">
      <c r="A106" t="str">
        <f t="shared" si="2"/>
        <v xml:space="preserve">Phase 3 - End </v>
      </c>
      <c r="B106" t="s">
        <v>25</v>
      </c>
      <c r="C106" t="s">
        <v>26</v>
      </c>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spans="1:39" ht="14.25" customHeight="1" x14ac:dyDescent="0.55000000000000004">
      <c r="A107" t="str">
        <f t="shared" si="2"/>
        <v>Phase 4 - Start</v>
      </c>
      <c r="B107" t="s">
        <v>27</v>
      </c>
      <c r="C107" t="s">
        <v>28</v>
      </c>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spans="1:39" ht="14.25" customHeight="1" x14ac:dyDescent="0.55000000000000004">
      <c r="A108" t="str">
        <f t="shared" si="2"/>
        <v>Phase 4 - End</v>
      </c>
      <c r="B108" t="s">
        <v>29</v>
      </c>
      <c r="C108" t="s">
        <v>30</v>
      </c>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row>
    <row r="109" spans="1:39" ht="14.25" customHeight="1" x14ac:dyDescent="0.55000000000000004">
      <c r="A109" t="str">
        <f t="shared" si="2"/>
        <v>Phase Dates</v>
      </c>
      <c r="B109" t="s">
        <v>31</v>
      </c>
      <c r="C109" t="s">
        <v>32</v>
      </c>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row>
    <row r="110" spans="1:39" ht="14.25" customHeight="1" x14ac:dyDescent="0.55000000000000004">
      <c r="A110" t="str">
        <f t="shared" si="2"/>
        <v>Key Milestones</v>
      </c>
      <c r="B110" t="s">
        <v>33</v>
      </c>
      <c r="C110" t="s">
        <v>34</v>
      </c>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row>
    <row r="111" spans="1:39" ht="14.25" customHeight="1" x14ac:dyDescent="0.55000000000000004">
      <c r="A111" t="str">
        <f t="shared" si="2"/>
        <v xml:space="preserve">Site Purchase </v>
      </c>
      <c r="B111" t="s">
        <v>35</v>
      </c>
      <c r="C111" t="s">
        <v>36</v>
      </c>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row>
    <row r="112" spans="1:39" ht="14.25" customHeight="1" x14ac:dyDescent="0.55000000000000004">
      <c r="A112" t="str">
        <f t="shared" si="2"/>
        <v xml:space="preserve">Space Template Finalized </v>
      </c>
      <c r="B112" t="s">
        <v>37</v>
      </c>
      <c r="C112" t="s">
        <v>38</v>
      </c>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row>
    <row r="113" spans="1:39" ht="14.25" customHeight="1" x14ac:dyDescent="0.55000000000000004">
      <c r="A113" t="str">
        <f t="shared" si="2"/>
        <v xml:space="preserve">Signed Joint Use Agreement </v>
      </c>
      <c r="B113" s="47" t="s">
        <v>39</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row>
    <row r="114" spans="1:39" ht="14.25" customHeight="1" x14ac:dyDescent="0.55000000000000004">
      <c r="A114" t="str">
        <f t="shared" si="2"/>
        <v>80% Design</v>
      </c>
      <c r="B114" t="s">
        <v>40</v>
      </c>
      <c r="C114" t="s">
        <v>41</v>
      </c>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row>
    <row r="115" spans="1:39" ht="14.25" customHeight="1" x14ac:dyDescent="0.55000000000000004">
      <c r="A115" t="str">
        <f t="shared" si="2"/>
        <v xml:space="preserve">Class A Cost Estimate </v>
      </c>
      <c r="B115" t="s">
        <v>42</v>
      </c>
      <c r="C115" t="s">
        <v>43</v>
      </c>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row>
    <row r="116" spans="1:39" ht="14.25" customHeight="1" x14ac:dyDescent="0.55000000000000004">
      <c r="A116" t="str">
        <f t="shared" si="2"/>
        <v>Site Plan Approval</v>
      </c>
      <c r="B116" s="47" t="s">
        <v>44</v>
      </c>
      <c r="C116" t="s">
        <v>45</v>
      </c>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row>
    <row r="117" spans="1:39" ht="14.25" customHeight="1" x14ac:dyDescent="0.55000000000000004">
      <c r="A117" t="str">
        <f t="shared" si="2"/>
        <v>Build Permit Obtained</v>
      </c>
      <c r="B117" s="47" t="s">
        <v>46</v>
      </c>
      <c r="C117" t="s">
        <v>47</v>
      </c>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row>
    <row r="118" spans="1:39" ht="14.25" customHeight="1" x14ac:dyDescent="0.55000000000000004">
      <c r="A118" t="str">
        <f t="shared" si="2"/>
        <v xml:space="preserve">Tender Issued </v>
      </c>
      <c r="B118" s="47" t="s">
        <v>48</v>
      </c>
      <c r="C118" t="s">
        <v>49</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row>
    <row r="119" spans="1:39" ht="14.25" customHeight="1" x14ac:dyDescent="0.55000000000000004">
      <c r="A119" t="str">
        <f t="shared" si="2"/>
        <v>Construction Start</v>
      </c>
      <c r="B119" t="s">
        <v>50</v>
      </c>
      <c r="C119" t="s">
        <v>51</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spans="1:39" ht="14.25" customHeight="1" x14ac:dyDescent="0.55000000000000004">
      <c r="A120" t="str">
        <f t="shared" si="2"/>
        <v xml:space="preserve">School/Addition Opening </v>
      </c>
      <c r="B120" t="s">
        <v>52</v>
      </c>
      <c r="C120" t="s">
        <v>53</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spans="1:39" ht="14.25" customHeight="1" x14ac:dyDescent="0.55000000000000004">
      <c r="A121" t="str">
        <f t="shared" si="2"/>
        <v>Project Reconciliation</v>
      </c>
      <c r="B121" t="s">
        <v>54</v>
      </c>
      <c r="C121" t="s">
        <v>55</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spans="1:39" ht="14.25" customHeight="1" x14ac:dyDescent="0.55000000000000004">
      <c r="A122" t="str">
        <f t="shared" si="2"/>
        <v>Funding Requested</v>
      </c>
      <c r="B122" t="s">
        <v>56</v>
      </c>
      <c r="C122" t="s">
        <v>57</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spans="1:39" ht="14.25" customHeight="1" x14ac:dyDescent="0.55000000000000004">
      <c r="A123" t="str">
        <f t="shared" si="2"/>
        <v>Cost of Project (Excluding Site)</v>
      </c>
      <c r="B123" t="s">
        <v>58</v>
      </c>
      <c r="C123" t="s">
        <v>59</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row>
    <row r="124" spans="1:39" ht="14.25" customHeight="1" x14ac:dyDescent="0.55000000000000004">
      <c r="A124" t="str">
        <f t="shared" si="2"/>
        <v>Total Cost of Project (Including Site)</v>
      </c>
      <c r="B124" t="s">
        <v>60</v>
      </c>
      <c r="C124" t="s">
        <v>61</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spans="1:39" ht="14.25" customHeight="1" x14ac:dyDescent="0.55000000000000004">
      <c r="A125" t="str">
        <f t="shared" si="2"/>
        <v xml:space="preserve">Total CP Request </v>
      </c>
      <c r="B125" s="47" t="s">
        <v>62</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spans="1:39" ht="14.25" customHeight="1" x14ac:dyDescent="0.55000000000000004">
      <c r="A126" t="str">
        <f t="shared" si="2"/>
        <v xml:space="preserve">Total Child Care Request </v>
      </c>
      <c r="B126" s="47" t="s">
        <v>63</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spans="1:39" ht="14.25" customHeight="1" x14ac:dyDescent="0.55000000000000004">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spans="1:39" ht="14.25" customHeight="1" x14ac:dyDescent="0.5500000000000000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row>
    <row r="129" spans="1:39" ht="14.25" customHeight="1" x14ac:dyDescent="0.550000000000000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spans="1:39" ht="14.25" customHeight="1" x14ac:dyDescent="0.550000000000000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spans="1:39" ht="14.25" customHeight="1" x14ac:dyDescent="0.550000000000000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spans="1:39" ht="14.25" customHeight="1" x14ac:dyDescent="0.550000000000000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spans="1:39" ht="14.25" customHeight="1" x14ac:dyDescent="0.550000000000000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spans="1:39" ht="14.25" customHeight="1" x14ac:dyDescent="0.550000000000000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spans="1:39" ht="14.25" customHeight="1" x14ac:dyDescent="0.550000000000000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spans="1:39" ht="14.25" customHeight="1" x14ac:dyDescent="0.55000000000000004">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spans="1:39" ht="14.25" customHeight="1" x14ac:dyDescent="0.55000000000000004">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row>
    <row r="138" spans="1:39" ht="14.25" customHeight="1" x14ac:dyDescent="0.55000000000000004">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row>
    <row r="139" spans="1:39" ht="14.25" customHeight="1" x14ac:dyDescent="0.55000000000000004">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spans="1:39" ht="14.25" customHeight="1" x14ac:dyDescent="0.5500000000000000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spans="1:39" ht="14.25" customHeight="1" x14ac:dyDescent="0.55000000000000004">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spans="1:39" ht="14.25" customHeight="1" x14ac:dyDescent="0.55000000000000004">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spans="1:39" ht="14.25" customHeight="1" x14ac:dyDescent="0.55000000000000004">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row>
    <row r="144" spans="1:39" ht="14.25" customHeight="1" x14ac:dyDescent="0.55000000000000004">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spans="1:39" ht="14.25" customHeight="1" x14ac:dyDescent="0.5500000000000000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spans="1:39" ht="14.25" customHeight="1" x14ac:dyDescent="0.55000000000000004">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spans="1:39" ht="14.25" customHeight="1" x14ac:dyDescent="0.55000000000000004">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spans="1:39" ht="14.25" customHeight="1" x14ac:dyDescent="0.55000000000000004">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spans="1:39" ht="14.25" customHeight="1" x14ac:dyDescent="0.55000000000000004">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spans="1:39" ht="14.25" customHeight="1" x14ac:dyDescent="0.55000000000000004">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spans="1:39" ht="14.25" customHeight="1" x14ac:dyDescent="0.55000000000000004">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spans="1:39" ht="14.25" customHeight="1" x14ac:dyDescent="0.5500000000000000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row>
    <row r="153" spans="1:39" ht="14.25" customHeight="1" x14ac:dyDescent="0.55000000000000004">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spans="1:39" ht="14.25" customHeight="1" x14ac:dyDescent="0.55000000000000004">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spans="1:39" ht="14.25" customHeight="1" x14ac:dyDescent="0.55000000000000004">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spans="1:39" ht="14.25" customHeight="1" x14ac:dyDescent="0.5500000000000000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spans="1:39" ht="14.25" customHeight="1" x14ac:dyDescent="0.55000000000000004">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row>
    <row r="158" spans="1:39" ht="14.25" customHeight="1" x14ac:dyDescent="0.55000000000000004">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row>
    <row r="159" spans="1:39" ht="14.25" customHeight="1" x14ac:dyDescent="0.55000000000000004">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row>
    <row r="160" spans="1:39" ht="14.25" customHeight="1" x14ac:dyDescent="0.55000000000000004">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row>
  </sheetData>
  <mergeCells count="2">
    <mergeCell ref="A3:C3"/>
    <mergeCell ref="A95:C9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4086bb-133c-45d3-b01c-16ca9052c0a7">
      <Terms xmlns="http://schemas.microsoft.com/office/infopath/2007/PartnerControls"/>
    </lcf76f155ced4ddcb4097134ff3c332f>
    <TaxCatchAll xmlns="34ea4838-a4b9-4e80-901d-75f025a8c6c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DB668B227E234DA11F86B367F53E9A" ma:contentTypeVersion="12" ma:contentTypeDescription="Create a new document." ma:contentTypeScope="" ma:versionID="561bc83aff46baadcf624f3ab3f5661d">
  <xsd:schema xmlns:xsd="http://www.w3.org/2001/XMLSchema" xmlns:xs="http://www.w3.org/2001/XMLSchema" xmlns:p="http://schemas.microsoft.com/office/2006/metadata/properties" xmlns:ns2="c84086bb-133c-45d3-b01c-16ca9052c0a7" xmlns:ns3="34ea4838-a4b9-4e80-901d-75f025a8c6c9" targetNamespace="http://schemas.microsoft.com/office/2006/metadata/properties" ma:root="true" ma:fieldsID="ca3ccdd586776fa4d1594d5fb6336d5f" ns2:_="" ns3:_="">
    <xsd:import namespace="c84086bb-133c-45d3-b01c-16ca9052c0a7"/>
    <xsd:import namespace="34ea4838-a4b9-4e80-901d-75f025a8c6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4086bb-133c-45d3-b01c-16ca9052c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ea4838-a4b9-4e80-901d-75f025a8c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bc90e22-0fba-4024-8ccc-52d0d223867a}" ma:internalName="TaxCatchAll" ma:showField="CatchAllData" ma:web="34ea4838-a4b9-4e80-901d-75f025a8c6c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1DB81B-CBED-4112-A7D4-C74EE64BDF4E}">
  <ds:schemaRefs>
    <ds:schemaRef ds:uri="http://schemas.microsoft.com/office/2006/metadata/properties"/>
    <ds:schemaRef ds:uri="http://schemas.microsoft.com/office/infopath/2007/PartnerControls"/>
    <ds:schemaRef ds:uri="c84086bb-133c-45d3-b01c-16ca9052c0a7"/>
    <ds:schemaRef ds:uri="34ea4838-a4b9-4e80-901d-75f025a8c6c9"/>
  </ds:schemaRefs>
</ds:datastoreItem>
</file>

<file path=customXml/itemProps2.xml><?xml version="1.0" encoding="utf-8"?>
<ds:datastoreItem xmlns:ds="http://schemas.openxmlformats.org/officeDocument/2006/customXml" ds:itemID="{A0BFDBB5-79ED-4E9C-AC49-82AAAA5EE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4086bb-133c-45d3-b01c-16ca9052c0a7"/>
    <ds:schemaRef ds:uri="34ea4838-a4b9-4e80-901d-75f025a8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98DD0B-DA64-49C3-9973-D80203D7D1B8}">
  <ds:schemaRefs>
    <ds:schemaRef ds:uri="http://schemas.microsoft.com/sharepoint/v3/contenttype/forms"/>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form</vt:lpstr>
      <vt:lpstr>Instructions and Glossary</vt:lpstr>
      <vt:lpstr>Board Contacts</vt:lpstr>
      <vt:lpstr>Basic Project Info</vt:lpstr>
      <vt:lpstr>Monthly Update</vt:lpstr>
      <vt:lpstr>Errors</vt:lpstr>
      <vt:lpstr>Ad-Hoc or Potential Projects</vt:lpstr>
      <vt:lpstr>Project Commitment</vt:lpstr>
      <vt:lpstr>Constants</vt:lpstr>
      <vt:lpstr>List</vt:lpstr>
      <vt:lpstr>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McRuer, Geordie (EDU)</dc:creator>
  <cp:keywords/>
  <dc:description/>
  <cp:lastModifiedBy>McRuer, Geordie (EDU)</cp:lastModifiedBy>
  <cp:revision/>
  <dcterms:created xsi:type="dcterms:W3CDTF">2022-09-02T17:27:12Z</dcterms:created>
  <dcterms:modified xsi:type="dcterms:W3CDTF">2026-03-27T12:33:26Z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2022-09-02T17:27:13Z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8a0667a0-aef9-421c-8e05-db76a19e62e1</vt:lpwstr>
  </property>
  <property fmtid="{D5CDD505-2E9C-101B-9397-08002B2CF9AE}" pid="8" name="MSIP_Label_034a106e-6316-442c-ad35-738afd673d2b_ContentBits">
    <vt:lpwstr>0</vt:lpwstr>
  </property>
  <property fmtid="{D5CDD505-2E9C-101B-9397-08002B2CF9AE}" pid="9" name="ContentTypeId">
    <vt:lpwstr>0x010100CCDB668B227E234DA11F86B367F53E9A</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ies>
</file>