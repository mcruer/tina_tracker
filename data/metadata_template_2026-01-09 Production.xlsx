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McRuersG\OneDrive - Government of Ontario\Documents\R Projects\Analysis\Monthly Tracker 2.0\data\"/>
    </mc:Choice>
  </mc:AlternateContent>
  <xr:revisionPtr revIDLastSave="0" documentId="13_ncr:1_{6E4B0F39-C5C7-4B41-8506-F35706DDDC66}" xr6:coauthVersionLast="47" xr6:coauthVersionMax="47" xr10:uidLastSave="{00000000-0000-0000-0000-000000000000}"/>
  <bookViews>
    <workbookView xWindow="-38510" yWindow="-9670" windowWidth="38620" windowHeight="21100" tabRatio="564" firstSheet="1" activeTab="1" xr2:uid="{90454EDD-A9ED-4C62-BC67-EDE77C4C0816}"/>
  </bookViews>
  <sheets>
    <sheet name="form" sheetId="34" state="hidden" r:id="rId1"/>
    <sheet name="Instructions and Glossary" sheetId="29" r:id="rId2"/>
    <sheet name="Board Contacts" sheetId="30" r:id="rId3"/>
    <sheet name="Basic Project Info" sheetId="33" r:id="rId4"/>
    <sheet name="Monthly Update" sheetId="2" r:id="rId5"/>
    <sheet name="Ad-Hoc or Potential Projects" sheetId="13" r:id="rId6"/>
    <sheet name="Project Commitment" sheetId="12" r:id="rId7"/>
    <sheet name="Constants" sheetId="35" state="hidden" r:id="rId8"/>
    <sheet name="List" sheetId="5" state="hidden" r:id="rId9"/>
    <sheet name="Translation" sheetId="23" state="hidden" r:id="rId10"/>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3" i="29" l="1"/>
  <c r="C81" i="29"/>
  <c r="C68" i="29"/>
  <c r="C70" i="29"/>
  <c r="C76" i="29"/>
  <c r="C78" i="29"/>
  <c r="A28" i="29"/>
  <c r="A39" i="29" l="1"/>
  <c r="A38" i="29"/>
  <c r="C31" i="29"/>
  <c r="C30" i="29"/>
  <c r="C27" i="29"/>
  <c r="A33" i="29"/>
  <c r="A34" i="29"/>
  <c r="A32" i="29"/>
  <c r="A29" i="29"/>
  <c r="A30" i="29"/>
  <c r="A31" i="29"/>
  <c r="A35" i="29"/>
  <c r="A36" i="29"/>
  <c r="A91" i="29"/>
  <c r="A85" i="29"/>
  <c r="A79" i="29"/>
  <c r="A73" i="29"/>
  <c r="A60" i="29"/>
  <c r="A51" i="29"/>
  <c r="A43" i="29"/>
  <c r="CY4" i="2" l="1"/>
  <c r="DK10" i="2"/>
  <c r="EN4" i="2"/>
  <c r="EN3" i="2" s="1"/>
  <c r="EM4" i="2"/>
  <c r="EM3" i="2" s="1"/>
  <c r="EL4" i="2"/>
  <c r="EL3" i="2" s="1"/>
  <c r="EK4" i="2"/>
  <c r="EK3" i="2" s="1"/>
  <c r="EJ4" i="2"/>
  <c r="EJ3" i="2" s="1"/>
  <c r="EH4" i="2"/>
  <c r="EH3" i="2" s="1"/>
  <c r="EF4" i="2"/>
  <c r="EF3" i="2" s="1"/>
  <c r="ED4" i="2"/>
  <c r="ED3" i="2" s="1"/>
  <c r="EB4" i="2"/>
  <c r="EB3" i="2" s="1"/>
  <c r="DW4" i="2"/>
  <c r="DW3" i="2" s="1"/>
  <c r="DU4" i="2"/>
  <c r="DU3" i="2" s="1"/>
  <c r="DL4" i="2"/>
  <c r="DL3" i="2" s="1"/>
  <c r="DK4" i="2"/>
  <c r="DH4" i="2"/>
  <c r="DH3" i="2" s="1"/>
  <c r="DE4" i="2"/>
  <c r="DE3" i="2" s="1"/>
  <c r="DD4" i="2"/>
  <c r="DD3" i="2" s="1"/>
  <c r="DC4" i="2"/>
  <c r="DC3" i="2" s="1"/>
  <c r="DB4" i="2"/>
  <c r="DB3" i="2" s="1"/>
  <c r="CZ4" i="2"/>
  <c r="CZ3" i="2" s="1"/>
  <c r="CY3" i="2"/>
  <c r="DG10" i="2" l="1"/>
  <c r="DG4" i="2" s="1"/>
  <c r="ES7" i="2" l="1"/>
  <c r="ER7" i="2"/>
  <c r="EQ7" i="2"/>
  <c r="EP7" i="2"/>
  <c r="EO7" i="2"/>
  <c r="EN7" i="2"/>
  <c r="EM7" i="2"/>
  <c r="EL7" i="2"/>
  <c r="EK7" i="2"/>
  <c r="EJ7" i="2"/>
  <c r="EI7" i="2"/>
  <c r="EG7" i="2"/>
  <c r="EE7" i="2"/>
  <c r="EC7" i="2"/>
  <c r="EA7" i="2"/>
  <c r="DZ7" i="2"/>
  <c r="DK7" i="2"/>
  <c r="DK11" i="2" s="1" a="1"/>
  <c r="DK11" i="2" s="1"/>
  <c r="DK3" i="2" s="1"/>
  <c r="DJ7" i="2"/>
  <c r="DJ11" i="2" s="1" a="1"/>
  <c r="DJ11" i="2" s="1"/>
  <c r="DY7" i="2"/>
  <c r="DX7" i="2"/>
  <c r="DG7" i="2"/>
  <c r="DF7" i="2"/>
  <c r="DV7" i="2"/>
  <c r="DU7" i="2"/>
  <c r="ES10" i="2"/>
  <c r="ES4" i="2" s="1"/>
  <c r="ER10" i="2"/>
  <c r="ER4" i="2" s="1"/>
  <c r="EQ10" i="2"/>
  <c r="EQ4" i="2" s="1"/>
  <c r="EP10" i="2"/>
  <c r="EP4" i="2" s="1"/>
  <c r="EO10" i="2"/>
  <c r="EO4" i="2" s="1"/>
  <c r="EI10" i="2"/>
  <c r="EI4" i="2" s="1"/>
  <c r="EE10" i="2"/>
  <c r="EE4" i="2" s="1"/>
  <c r="EG10" i="2"/>
  <c r="EG4" i="2" s="1"/>
  <c r="CA4" i="2"/>
  <c r="BZ4" i="2"/>
  <c r="BY4" i="2"/>
  <c r="BX4" i="2"/>
  <c r="BW4" i="2"/>
  <c r="BV4" i="2"/>
  <c r="BU4" i="2"/>
  <c r="BT4" i="2"/>
  <c r="BS4" i="2"/>
  <c r="BR4" i="2"/>
  <c r="BQ4" i="2"/>
  <c r="BP4" i="2"/>
  <c r="BO4" i="2"/>
  <c r="BN4" i="2"/>
  <c r="BM4" i="2"/>
  <c r="BL4" i="2"/>
  <c r="BK4" i="2"/>
  <c r="BJ4" i="2"/>
  <c r="BI4" i="2"/>
  <c r="BH4" i="2"/>
  <c r="BG4" i="2"/>
  <c r="BF4" i="2"/>
  <c r="BE4" i="2"/>
  <c r="AH6" i="2"/>
  <c r="EF6" i="2" s="1"/>
  <c r="AF6" i="2"/>
  <c r="ED6" i="2" s="1"/>
  <c r="AD6" i="2"/>
  <c r="EB6" i="2" s="1"/>
  <c r="AD7" i="2"/>
  <c r="EB7" i="2" s="1"/>
  <c r="AF7" i="2"/>
  <c r="ED7" i="2" s="1"/>
  <c r="Y6" i="2"/>
  <c r="DW6" i="2" s="1"/>
  <c r="W6" i="2"/>
  <c r="DU6" i="2" s="1"/>
  <c r="FL11" i="2" a="1"/>
  <c r="FL11" i="2" s="1"/>
  <c r="EY11" i="2"/>
  <c r="FC11" i="2"/>
  <c r="M6" i="2"/>
  <c r="DK6" i="2" s="1"/>
  <c r="EO11" i="2" a="1"/>
  <c r="EO11" i="2" s="1"/>
  <c r="I6" i="2"/>
  <c r="DG6" i="2" s="1"/>
  <c r="DG11" i="2" l="1" a="1"/>
  <c r="DG11" i="2" s="1"/>
  <c r="DF11" i="2" a="1"/>
  <c r="DF11" i="2" s="1"/>
  <c r="EO3" i="2"/>
  <c r="AJ6" i="2"/>
  <c r="EH6" i="2" s="1"/>
  <c r="AJ10" i="2"/>
  <c r="AJ7" i="2"/>
  <c r="EH7" i="2" s="1"/>
  <c r="AH7" i="2"/>
  <c r="EF7" i="2" s="1"/>
  <c r="Y7" i="2"/>
  <c r="DW7" i="2" s="1"/>
  <c r="AH10" i="2"/>
  <c r="DG3" i="2" l="1"/>
  <c r="AD10" i="2"/>
  <c r="AF10" i="2"/>
  <c r="EC10" i="2"/>
  <c r="EC4" i="2" s="1"/>
  <c r="Y10" i="2"/>
  <c r="W10" i="2"/>
  <c r="FL10" i="2" l="1"/>
  <c r="FK10" i="2"/>
  <c r="FJ10" i="2"/>
  <c r="FI10" i="2"/>
  <c r="FH10" i="2"/>
  <c r="FG10" i="2"/>
  <c r="FF10" i="2"/>
  <c r="FE10" i="2"/>
  <c r="FD10" i="2"/>
  <c r="FC10" i="2"/>
  <c r="FB10" i="2"/>
  <c r="FA10" i="2"/>
  <c r="EZ10" i="2"/>
  <c r="EY10" i="2"/>
  <c r="EX10" i="2"/>
  <c r="EW10" i="2"/>
  <c r="EA10" i="2"/>
  <c r="EA4" i="2" s="1"/>
  <c r="DZ10" i="2"/>
  <c r="DZ4" i="2" s="1"/>
  <c r="DJ10" i="2"/>
  <c r="DJ4" i="2" s="1"/>
  <c r="DJ3" i="2" s="1"/>
  <c r="DY10" i="2"/>
  <c r="DY4" i="2" s="1"/>
  <c r="DX10" i="2"/>
  <c r="DX4" i="2" s="1"/>
  <c r="DF10" i="2"/>
  <c r="DF4" i="2" s="1"/>
  <c r="DF3" i="2" s="1"/>
  <c r="DV10" i="2"/>
  <c r="DV4" i="2" s="1"/>
  <c r="DT10" i="2"/>
  <c r="DT4" i="2" s="1"/>
  <c r="DS10" i="2"/>
  <c r="DS4" i="2" s="1"/>
  <c r="DR10" i="2"/>
  <c r="DR4" i="2" s="1"/>
  <c r="DQ10" i="2"/>
  <c r="DQ4" i="2" s="1"/>
  <c r="DO10" i="2"/>
  <c r="DO4" i="2" s="1"/>
  <c r="DP10" i="2"/>
  <c r="DP4" i="2" s="1"/>
  <c r="DN10" i="2"/>
  <c r="DN4" i="2" s="1"/>
  <c r="DM10" i="2"/>
  <c r="DM4" i="2" s="1"/>
  <c r="DI10" i="2"/>
  <c r="DI4" i="2" s="1"/>
  <c r="DA10" i="2"/>
  <c r="DA4" i="2" s="1"/>
  <c r="DA11" i="2"/>
  <c r="EX11" i="2"/>
  <c r="EZ11" i="2"/>
  <c r="FB11" i="2"/>
  <c r="FD11" i="2"/>
  <c r="FF11" i="2"/>
  <c r="FG11" i="2" a="1"/>
  <c r="FG11" i="2" s="1"/>
  <c r="FH11" i="2"/>
  <c r="FJ11" i="2"/>
  <c r="DT7" i="2"/>
  <c r="DS7" i="2"/>
  <c r="DR7" i="2"/>
  <c r="DQ7" i="2"/>
  <c r="DO7" i="2"/>
  <c r="DP7" i="2"/>
  <c r="DP11" i="2" s="1"/>
  <c r="DP3" i="2" s="1"/>
  <c r="DN7" i="2"/>
  <c r="DM7" i="2"/>
  <c r="DL7" i="2"/>
  <c r="DI7" i="2"/>
  <c r="DH7" i="2"/>
  <c r="DE7" i="2"/>
  <c r="DD7" i="2"/>
  <c r="DC7" i="2"/>
  <c r="DB7" i="2"/>
  <c r="DA7" i="2"/>
  <c r="CZ7" i="2"/>
  <c r="CY7" i="2"/>
  <c r="DA3" i="2" l="1"/>
  <c r="DR11" i="2" a="1"/>
  <c r="DR11" i="2" s="1"/>
  <c r="DR3" i="2" s="1"/>
  <c r="DQ11" i="2" a="1"/>
  <c r="DQ11" i="2" s="1"/>
  <c r="DQ3" i="2" s="1"/>
  <c r="ES11" i="2" a="1"/>
  <c r="ES11" i="2" s="1"/>
  <c r="ES3" i="2" s="1"/>
  <c r="EP11" i="2" a="1"/>
  <c r="EP11" i="2" s="1"/>
  <c r="EP3" i="2" s="1"/>
  <c r="EI11" i="2" a="1"/>
  <c r="EI11" i="2" s="1"/>
  <c r="EI3" i="2" s="1"/>
  <c r="EQ11" i="2" a="1"/>
  <c r="EQ11" i="2" s="1"/>
  <c r="EQ3" i="2" s="1"/>
  <c r="ER11" i="2" a="1"/>
  <c r="ER11" i="2" s="1"/>
  <c r="ER3" i="2" s="1"/>
  <c r="EG11" i="2" a="1"/>
  <c r="EG11" i="2" s="1"/>
  <c r="EG3" i="2" s="1"/>
  <c r="EE11" i="2" a="1"/>
  <c r="EE11" i="2" s="1"/>
  <c r="EE3" i="2" s="1"/>
  <c r="EA11" i="2" a="1"/>
  <c r="EA11" i="2" s="1"/>
  <c r="EA3" i="2" s="1"/>
  <c r="EC11" i="2" a="1"/>
  <c r="EC11" i="2" s="1"/>
  <c r="EC3" i="2" s="1"/>
  <c r="FE11" i="2" a="1"/>
  <c r="FE11" i="2" s="1"/>
  <c r="DN11" i="2" s="1"/>
  <c r="DT11" i="2" a="1"/>
  <c r="DT11" i="2" s="1"/>
  <c r="DT3" i="2" s="1"/>
  <c r="DV11" i="2" a="1"/>
  <c r="DV11" i="2" s="1"/>
  <c r="DV3" i="2" s="1"/>
  <c r="FA11" i="2" a="1"/>
  <c r="FA11" i="2" s="1"/>
  <c r="DM11" i="2" s="1"/>
  <c r="DM3" i="2" s="1"/>
  <c r="DS11" i="2" a="1"/>
  <c r="DS11" i="2" s="1"/>
  <c r="DS3" i="2" s="1"/>
  <c r="EW11" i="2" a="1"/>
  <c r="EW11" i="2" s="1"/>
  <c r="DY11" i="2" a="1"/>
  <c r="DY11" i="2" s="1"/>
  <c r="DY3" i="2" s="1"/>
  <c r="DX11" i="2" a="1"/>
  <c r="DX11" i="2" s="1"/>
  <c r="DX3" i="2" s="1"/>
  <c r="DZ11" i="2" a="1"/>
  <c r="DZ11" i="2" s="1"/>
  <c r="DZ3" i="2" s="1"/>
  <c r="J6" i="2"/>
  <c r="DH6" i="2" s="1"/>
  <c r="K6" i="2"/>
  <c r="N6" i="2"/>
  <c r="DL6" i="2" s="1"/>
  <c r="O6" i="2"/>
  <c r="CD11" i="2"/>
  <c r="CU10" i="2"/>
  <c r="CT10" i="2"/>
  <c r="CS10" i="2"/>
  <c r="CR10" i="2"/>
  <c r="CQ10" i="2"/>
  <c r="CP10" i="2"/>
  <c r="CO10" i="2"/>
  <c r="CN10" i="2"/>
  <c r="CM10" i="2"/>
  <c r="CL10" i="2"/>
  <c r="CK10" i="2"/>
  <c r="CJ10" i="2"/>
  <c r="CI10" i="2"/>
  <c r="CH10" i="2"/>
  <c r="CG10" i="2"/>
  <c r="CF10" i="2"/>
  <c r="DI6" i="2" l="1"/>
  <c r="EW6" i="2"/>
  <c r="EX6" i="2" s="1"/>
  <c r="EY6" i="2" s="1"/>
  <c r="EZ6" i="2" s="1"/>
  <c r="DM6" i="2"/>
  <c r="FA6" i="2"/>
  <c r="FB6" i="2" s="1"/>
  <c r="FC6" i="2" s="1"/>
  <c r="FD6" i="2" s="1"/>
  <c r="DN3" i="2"/>
  <c r="DI11" i="2"/>
  <c r="DI3" i="2" s="1"/>
  <c r="FK11" i="2"/>
  <c r="FI11" i="2" s="1" a="1"/>
  <c r="FI11" i="2" s="1"/>
  <c r="DO11" i="2" s="1"/>
  <c r="DO3" i="2" s="1"/>
  <c r="M5" i="12"/>
  <c r="W5" i="12" s="1"/>
  <c r="AA6" i="12"/>
  <c r="W6" i="12"/>
  <c r="T6" i="12"/>
  <c r="R6" i="12"/>
  <c r="P6" i="12"/>
  <c r="O6" i="12"/>
  <c r="B3" i="35"/>
  <c r="V5" i="12"/>
  <c r="U5" i="12"/>
  <c r="T5" i="12"/>
  <c r="S5" i="12"/>
  <c r="R5" i="12"/>
  <c r="AB5" i="12" s="1"/>
  <c r="Q5" i="12"/>
  <c r="AA5" i="12" s="1"/>
  <c r="P5" i="12"/>
  <c r="Z5" i="12" s="1"/>
  <c r="O5" i="12"/>
  <c r="Y5" i="12" s="1"/>
  <c r="N5" i="12"/>
  <c r="X5" i="12" s="1"/>
  <c r="AB4" i="12"/>
  <c r="CU7" i="2" s="1"/>
  <c r="AA4" i="12"/>
  <c r="CT7" i="2" s="1"/>
  <c r="Z4" i="12"/>
  <c r="CS7" i="2" s="1"/>
  <c r="Y4" i="12"/>
  <c r="CR7" i="2" s="1"/>
  <c r="X4" i="12"/>
  <c r="CQ7" i="2" s="1"/>
  <c r="W4" i="12"/>
  <c r="CP7" i="2" s="1"/>
  <c r="V4" i="12"/>
  <c r="CO7" i="2" s="1"/>
  <c r="U4" i="12"/>
  <c r="CN7" i="2" s="1"/>
  <c r="T4" i="12"/>
  <c r="CM7" i="2" s="1"/>
  <c r="S4" i="12"/>
  <c r="CL7" i="2" s="1"/>
  <c r="R4" i="12"/>
  <c r="CK7" i="2" s="1"/>
  <c r="Q4" i="12"/>
  <c r="CJ7" i="2" s="1"/>
  <c r="P4" i="12"/>
  <c r="CI7" i="2" s="1"/>
  <c r="O4" i="12"/>
  <c r="CH7" i="2" s="1"/>
  <c r="N4" i="12"/>
  <c r="CG7" i="2" s="1"/>
  <c r="M4" i="12"/>
  <c r="CF7" i="2" s="1"/>
  <c r="L6" i="2"/>
  <c r="DJ6" i="2" s="1"/>
  <c r="CX4" i="2" l="1"/>
  <c r="F2" i="2"/>
  <c r="CA7" i="2"/>
  <c r="BZ7" i="2"/>
  <c r="BY7" i="2"/>
  <c r="BX7" i="2"/>
  <c r="BW7" i="2"/>
  <c r="BV7" i="2"/>
  <c r="BU7" i="2"/>
  <c r="BT7" i="2"/>
  <c r="BS7" i="2"/>
  <c r="BR7" i="2"/>
  <c r="BQ7" i="2"/>
  <c r="BP7" i="2"/>
  <c r="BO7" i="2"/>
  <c r="BN7" i="2"/>
  <c r="BM7" i="2"/>
  <c r="BL7" i="2"/>
  <c r="BK7" i="2"/>
  <c r="BJ7" i="2"/>
  <c r="BI7" i="2"/>
  <c r="BH7" i="2"/>
  <c r="BG7" i="2"/>
  <c r="BF7" i="2"/>
  <c r="BE7" i="2"/>
  <c r="BD7" i="2"/>
  <c r="AL11" i="2"/>
  <c r="AM6" i="2"/>
  <c r="EK6" i="2" s="1"/>
  <c r="CA6" i="2"/>
  <c r="BZ6" i="2"/>
  <c r="BY6" i="2"/>
  <c r="BX6" i="2"/>
  <c r="BW6" i="2"/>
  <c r="BV6" i="2"/>
  <c r="BU6" i="2"/>
  <c r="BT6" i="2"/>
  <c r="BS6" i="2"/>
  <c r="BR6" i="2"/>
  <c r="BQ6" i="2"/>
  <c r="BP6" i="2"/>
  <c r="BO6" i="2"/>
  <c r="BN6" i="2"/>
  <c r="BM6" i="2"/>
  <c r="BL6" i="2"/>
  <c r="BK6" i="2"/>
  <c r="BJ6" i="2"/>
  <c r="BI6" i="2"/>
  <c r="BH6" i="2"/>
  <c r="BG6" i="2"/>
  <c r="BF6" i="2"/>
  <c r="BE6" i="2"/>
  <c r="BD6" i="2"/>
  <c r="G11" i="2" l="1" a="1"/>
  <c r="G11" i="2" s="1"/>
  <c r="C3" i="33"/>
  <c r="L3" i="33"/>
  <c r="K3" i="33"/>
  <c r="E3" i="33"/>
  <c r="D3" i="33"/>
  <c r="J3" i="33"/>
  <c r="I3" i="33"/>
  <c r="H3" i="33"/>
  <c r="G3" i="33"/>
  <c r="F3" i="33"/>
  <c r="B3" i="33"/>
  <c r="A3" i="33"/>
  <c r="X6" i="2"/>
  <c r="DV6" i="2" s="1"/>
  <c r="Z6" i="2"/>
  <c r="DX6" i="2" s="1"/>
  <c r="B35" i="29" l="1"/>
  <c r="B36" i="29"/>
  <c r="AR6" i="2"/>
  <c r="EP6" i="2" s="1"/>
  <c r="AS6" i="2"/>
  <c r="EQ6" i="2" s="1"/>
  <c r="AT6" i="2"/>
  <c r="ER6" i="2" s="1"/>
  <c r="AU6" i="2"/>
  <c r="ES6" i="2" s="1"/>
  <c r="AC6" i="2" l="1"/>
  <c r="EA6" i="2" s="1"/>
  <c r="AB6" i="2"/>
  <c r="DZ6" i="2" s="1"/>
  <c r="BC6" i="2" l="1"/>
  <c r="A1" i="23" l="1"/>
  <c r="A123" i="23" l="1"/>
  <c r="A122" i="23"/>
  <c r="A114" i="23"/>
  <c r="A106" i="23"/>
  <c r="A98" i="23"/>
  <c r="A121" i="23"/>
  <c r="A113" i="23"/>
  <c r="A105" i="23"/>
  <c r="A124" i="23"/>
  <c r="A100" i="23"/>
  <c r="B4" i="12" s="1"/>
  <c r="A99" i="23"/>
  <c r="A4" i="12" s="1"/>
  <c r="A97" i="23"/>
  <c r="A3" i="12" s="1"/>
  <c r="A120" i="23"/>
  <c r="K4" i="12" s="1"/>
  <c r="A112" i="23"/>
  <c r="A104" i="23"/>
  <c r="A119" i="23"/>
  <c r="A111" i="23"/>
  <c r="C4" i="12" s="1"/>
  <c r="A103" i="23"/>
  <c r="A108" i="23"/>
  <c r="A107" i="23"/>
  <c r="A126" i="23"/>
  <c r="A118" i="23"/>
  <c r="A110" i="23"/>
  <c r="C3" i="12" s="1"/>
  <c r="A102" i="23"/>
  <c r="A125" i="23"/>
  <c r="A117" i="23"/>
  <c r="A109" i="23"/>
  <c r="A101" i="23"/>
  <c r="A116" i="23"/>
  <c r="A115" i="23"/>
  <c r="A77" i="23"/>
  <c r="A76" i="23"/>
  <c r="A75" i="23"/>
  <c r="A74" i="23"/>
  <c r="A67" i="23"/>
  <c r="A66" i="23"/>
  <c r="A88" i="23"/>
  <c r="A83" i="23"/>
  <c r="A86" i="23"/>
  <c r="A84" i="23"/>
  <c r="A82" i="23"/>
  <c r="A85" i="23"/>
  <c r="A89" i="23"/>
  <c r="A87" i="23"/>
  <c r="A81" i="23"/>
  <c r="A58" i="23"/>
  <c r="A16" i="23"/>
  <c r="A80" i="23"/>
  <c r="A78" i="23"/>
  <c r="A79" i="23"/>
  <c r="A73" i="23"/>
  <c r="A71" i="23"/>
  <c r="A56" i="23"/>
  <c r="A70" i="23"/>
  <c r="L4" i="33" s="1"/>
  <c r="A64" i="23"/>
  <c r="A60" i="23"/>
  <c r="A55" i="23"/>
  <c r="A65" i="23"/>
  <c r="A69" i="23"/>
  <c r="A63" i="23"/>
  <c r="A59" i="23"/>
  <c r="A54" i="23"/>
  <c r="A5" i="23"/>
  <c r="A61" i="23"/>
  <c r="A72" i="23"/>
  <c r="A68" i="23"/>
  <c r="A37" i="29" s="1"/>
  <c r="A62" i="23"/>
  <c r="A57" i="23"/>
  <c r="A53" i="23"/>
  <c r="A17" i="23"/>
  <c r="A25" i="23"/>
  <c r="A37" i="23"/>
  <c r="A49" i="23"/>
  <c r="A22" i="23"/>
  <c r="A30" i="23"/>
  <c r="A34" i="23"/>
  <c r="A38" i="23"/>
  <c r="A42" i="23"/>
  <c r="A46" i="23"/>
  <c r="A48" i="23"/>
  <c r="A21" i="23"/>
  <c r="A29" i="23"/>
  <c r="A33" i="23"/>
  <c r="A41" i="23"/>
  <c r="A45" i="23"/>
  <c r="A18" i="23"/>
  <c r="A26" i="23"/>
  <c r="A19" i="23"/>
  <c r="A23" i="23"/>
  <c r="A27" i="23"/>
  <c r="A31" i="23"/>
  <c r="A35" i="23"/>
  <c r="A39" i="23"/>
  <c r="A43" i="23"/>
  <c r="A51" i="23"/>
  <c r="A47" i="23"/>
  <c r="A20" i="23"/>
  <c r="A24" i="23"/>
  <c r="A28" i="23"/>
  <c r="A32" i="23"/>
  <c r="A36" i="23"/>
  <c r="A40" i="23"/>
  <c r="A44" i="23"/>
  <c r="A50" i="23"/>
  <c r="A52" i="23"/>
  <c r="A6" i="23"/>
  <c r="A10" i="23"/>
  <c r="H4" i="33" s="1"/>
  <c r="B34" i="29" s="1"/>
  <c r="A13" i="23"/>
  <c r="A7" i="23"/>
  <c r="A11" i="23"/>
  <c r="A14" i="23"/>
  <c r="A8" i="23"/>
  <c r="F4" i="33" s="1"/>
  <c r="B32" i="29" s="1"/>
  <c r="A12" i="23"/>
  <c r="A15" i="23"/>
  <c r="A9" i="23"/>
  <c r="G4" i="33" s="1"/>
  <c r="B33" i="29" s="1"/>
  <c r="A4" i="23"/>
  <c r="AV6" i="2"/>
  <c r="B39" i="29" l="1"/>
  <c r="B38" i="29"/>
  <c r="CH11" i="2"/>
  <c r="CI11" i="2"/>
  <c r="CK11" i="2"/>
  <c r="CM11" i="2"/>
  <c r="CP11" i="2"/>
  <c r="CT11" i="2"/>
  <c r="D4" i="33"/>
  <c r="B4" i="33"/>
  <c r="E4" i="33"/>
  <c r="B31" i="29" s="1"/>
  <c r="A4" i="33"/>
  <c r="B27" i="29" s="1"/>
  <c r="A2" i="33"/>
  <c r="A26" i="29" s="1"/>
  <c r="B2" i="12"/>
  <c r="C2" i="12"/>
  <c r="D2" i="12"/>
  <c r="E2" i="12"/>
  <c r="F2" i="12"/>
  <c r="G2" i="12"/>
  <c r="H2" i="12"/>
  <c r="I2" i="12"/>
  <c r="J2" i="12"/>
  <c r="K2" i="12"/>
  <c r="L2" i="12"/>
  <c r="B30" i="29" l="1"/>
  <c r="B29" i="29"/>
  <c r="B28" i="29"/>
  <c r="H6" i="2"/>
  <c r="DF6" i="2" s="1"/>
  <c r="T6" i="2"/>
  <c r="DR6" i="2" s="1"/>
  <c r="B6" i="2" l="1"/>
  <c r="CZ6" i="2" s="1"/>
  <c r="D6" i="2"/>
  <c r="DB6" i="2" s="1"/>
  <c r="E6" i="2"/>
  <c r="DC6" i="2" s="1"/>
  <c r="F6" i="2"/>
  <c r="DD6" i="2" s="1"/>
  <c r="G6" i="2"/>
  <c r="DE6" i="2" s="1"/>
  <c r="P6" i="2"/>
  <c r="Q6" i="2"/>
  <c r="DO6" i="2" s="1"/>
  <c r="S6" i="2"/>
  <c r="DQ6" i="2" s="1"/>
  <c r="R6" i="2"/>
  <c r="DP6" i="2" s="1"/>
  <c r="AA6" i="2"/>
  <c r="DY6" i="2" s="1"/>
  <c r="U6" i="2"/>
  <c r="DS6" i="2" s="1"/>
  <c r="V6" i="2"/>
  <c r="DT6" i="2" s="1"/>
  <c r="AE6" i="2"/>
  <c r="EC6" i="2" s="1"/>
  <c r="AG6" i="2"/>
  <c r="EE6" i="2" s="1"/>
  <c r="AK6" i="2"/>
  <c r="EI6" i="2" s="1"/>
  <c r="AI6" i="2"/>
  <c r="EG6" i="2" s="1"/>
  <c r="AL6" i="2"/>
  <c r="EJ6" i="2" s="1"/>
  <c r="AN6" i="2"/>
  <c r="EL6" i="2" s="1"/>
  <c r="AO6" i="2"/>
  <c r="EM6" i="2" s="1"/>
  <c r="AP6" i="2"/>
  <c r="EN6" i="2" s="1"/>
  <c r="AQ6" i="2"/>
  <c r="EO6" i="2" s="1"/>
  <c r="C6" i="2"/>
  <c r="DA6" i="2" s="1"/>
  <c r="DN6" i="2" l="1"/>
  <c r="FE6" i="2"/>
  <c r="FF6" i="2" s="1"/>
  <c r="FG6" i="2" s="1"/>
  <c r="FH6" i="2" s="1"/>
  <c r="FI6" i="2"/>
  <c r="FJ6" i="2" s="1"/>
  <c r="FK6" i="2" s="1"/>
  <c r="FL6" i="2" s="1"/>
  <c r="A6" i="2"/>
  <c r="B66" i="29" l="1"/>
  <c r="B84" i="29"/>
  <c r="B86" i="29"/>
  <c r="B52" i="29"/>
  <c r="B61" i="29"/>
  <c r="B69" i="29"/>
  <c r="B78" i="29"/>
  <c r="B87" i="29"/>
  <c r="B96" i="29"/>
  <c r="B46" i="29"/>
  <c r="B72" i="29"/>
  <c r="B56" i="29"/>
  <c r="B65" i="29"/>
  <c r="B92" i="29"/>
  <c r="B57" i="29"/>
  <c r="B93" i="29"/>
  <c r="B49" i="29"/>
  <c r="B67" i="29"/>
  <c r="B94" i="29"/>
  <c r="B68" i="29"/>
  <c r="B44" i="29"/>
  <c r="B53" i="29"/>
  <c r="B62" i="29"/>
  <c r="B70" i="29"/>
  <c r="B80" i="29"/>
  <c r="B88" i="29"/>
  <c r="B55" i="29"/>
  <c r="B82" i="29"/>
  <c r="B47" i="29"/>
  <c r="B48" i="29"/>
  <c r="B83" i="29"/>
  <c r="B76" i="29"/>
  <c r="B50" i="29"/>
  <c r="B95" i="29"/>
  <c r="B45" i="29"/>
  <c r="B54" i="29"/>
  <c r="B63" i="29"/>
  <c r="B71" i="29"/>
  <c r="B81" i="29"/>
  <c r="B89" i="29"/>
  <c r="B64" i="29"/>
  <c r="B90" i="29"/>
  <c r="B74" i="29"/>
  <c r="B75" i="29"/>
  <c r="B58" i="29"/>
  <c r="B59" i="29"/>
  <c r="B77" i="29"/>
  <c r="M6" i="12"/>
  <c r="CF11" i="2" s="1"/>
  <c r="CY6" i="2"/>
  <c r="Z6" i="12"/>
  <c r="CS11" i="2" s="1"/>
  <c r="Y6" i="12"/>
  <c r="CR11" i="2" s="1"/>
  <c r="X6" i="12"/>
  <c r="CQ11" i="2" s="1"/>
  <c r="AB6" i="12"/>
  <c r="CU11" i="2" s="1"/>
  <c r="V6" i="12"/>
  <c r="CO11" i="2" s="1"/>
  <c r="U6" i="12"/>
  <c r="CN11" i="2" s="1"/>
  <c r="S6" i="12"/>
  <c r="CL11" i="2" s="1"/>
  <c r="Q6" i="12"/>
  <c r="CJ11" i="2" s="1"/>
  <c r="N6" i="12"/>
  <c r="CG1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<sst xmlns="http://schemas.openxmlformats.org/spreadsheetml/2006/main" count="641" uniqueCount="549">
  <si>
    <t xml:space="preserve">Project Commitment </t>
  </si>
  <si>
    <t>Project ID</t>
  </si>
  <si>
    <t>Project Name</t>
  </si>
  <si>
    <t>No. de projet</t>
  </si>
  <si>
    <t>Nom du projet</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</si>
  <si>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</si>
  <si>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</si>
  <si>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</si>
  <si>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</si>
  <si>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</si>
  <si>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</si>
  <si>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</si>
  <si>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</si>
  <si>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</si>
  <si>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</si>
  <si>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</si>
  <si>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</si>
  <si>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</si>
  <si>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</si>
  <si>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</si>
  <si>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</si>
  <si>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</si>
  <si>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</si>
  <si>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</si>
  <si>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</si>
  <si>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</si>
  <si>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</si>
  <si>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</si>
  <si>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</si>
  <si>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</si>
  <si>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</si>
  <si>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</si>
  <si>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</si>
  <si>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</si>
  <si>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</si>
  <si>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</si>
  <si>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</si>
  <si>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</si>
  <si>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</si>
  <si>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</si>
  <si>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</si>
  <si>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</si>
  <si>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</si>
  <si>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</si>
  <si>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</si>
  <si>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</si>
  <si>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</si>
  <si>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</si>
  <si>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</si>
  <si>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</si>
  <si>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</si>
  <si>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</si>
  <si>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</si>
  <si>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</si>
  <si>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</si>
  <si>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</si>
  <si>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</si>
  <si>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</si>
  <si>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</si>
  <si>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</si>
  <si>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</si>
  <si>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</si>
  <si>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</si>
  <si>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</si>
  <si>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</si>
  <si>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Addition</t>
  </si>
  <si>
    <t xml:space="preserve">Project ID </t>
  </si>
  <si>
    <t>Project Type</t>
  </si>
  <si>
    <t xml:space="preserve">Construction Status </t>
  </si>
  <si>
    <t>Address</t>
  </si>
  <si>
    <t xml:space="preserve">City </t>
  </si>
  <si>
    <t xml:space="preserve">Project Type </t>
  </si>
  <si>
    <t xml:space="preserve">Project Category </t>
  </si>
  <si>
    <t xml:space="preserve">Planning </t>
  </si>
  <si>
    <t xml:space="preserve">Tender Closed </t>
  </si>
  <si>
    <t>Construction</t>
  </si>
  <si>
    <t>Section 2: Square Footage Specification</t>
  </si>
  <si>
    <t>Anticipate Design Change?</t>
  </si>
  <si>
    <t>Square Footage of New Construction</t>
  </si>
  <si>
    <t>Square Footage of Demolition</t>
  </si>
  <si>
    <t>Square Footage of EarlyOn</t>
  </si>
  <si>
    <t>Space Template Approval Date</t>
  </si>
  <si>
    <t xml:space="preserve">Design Status </t>
  </si>
  <si>
    <t xml:space="preserve">Child Care Floorplan Approval - Date </t>
  </si>
  <si>
    <t>Section 4: Phase 2 - Tender</t>
  </si>
  <si>
    <t>Build Permit Obtained Date</t>
  </si>
  <si>
    <t xml:space="preserve">Tender Issued Date </t>
  </si>
  <si>
    <t>Tender Closed Date</t>
  </si>
  <si>
    <t>% Construction Progress</t>
  </si>
  <si>
    <t>Substantial Completion Date</t>
  </si>
  <si>
    <t>Section 6: Phase 4 - Project Completion</t>
  </si>
  <si>
    <t xml:space="preserve">School Opening Date </t>
  </si>
  <si>
    <t xml:space="preserve">Section 7: Approved Project Funding </t>
  </si>
  <si>
    <t xml:space="preserve">Section 8: Projected Construction Cost </t>
  </si>
  <si>
    <t xml:space="preserve">Basis of Cost Estimate </t>
  </si>
  <si>
    <t xml:space="preserve">Signage </t>
  </si>
  <si>
    <t xml:space="preserve">Name </t>
  </si>
  <si>
    <t xml:space="preserve">Title </t>
  </si>
  <si>
    <t xml:space="preserve">Email </t>
  </si>
  <si>
    <t xml:space="preserve">Phone </t>
  </si>
  <si>
    <t>Monthly Project Updates</t>
  </si>
  <si>
    <t>Min Cost of Risk ($M)</t>
  </si>
  <si>
    <t>Max Cost of Risk ($M)</t>
  </si>
  <si>
    <t>Min Delay of Risk (Months)</t>
  </si>
  <si>
    <t>Max Delay of Risk (Months)</t>
  </si>
  <si>
    <t>Type de projet</t>
  </si>
  <si>
    <t xml:space="preserve">Catégorie de projet </t>
  </si>
  <si>
    <t>IP</t>
  </si>
  <si>
    <t>Service de garde</t>
  </si>
  <si>
    <t>Autre</t>
  </si>
  <si>
    <t>Base de l'estimation des coûts</t>
  </si>
  <si>
    <t>Coûts du site</t>
  </si>
  <si>
    <t>Site Purchased</t>
  </si>
  <si>
    <t xml:space="preserve">New </t>
  </si>
  <si>
    <t>30%-80% Complete</t>
  </si>
  <si>
    <t xml:space="preserve">Board Estimate </t>
  </si>
  <si>
    <t xml:space="preserve">EDC </t>
  </si>
  <si>
    <t xml:space="preserve">Delay </t>
  </si>
  <si>
    <t xml:space="preserve">Mitigate </t>
  </si>
  <si>
    <t>Remove from tracker (Cancelled)</t>
  </si>
  <si>
    <t>Repeat</t>
  </si>
  <si>
    <t>&gt;80% Complete</t>
  </si>
  <si>
    <t>Class D Estimate</t>
  </si>
  <si>
    <t xml:space="preserve">Ad Hoc </t>
  </si>
  <si>
    <t>Remove from tracker (Complete)</t>
  </si>
  <si>
    <t>&lt;30% Complete</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</si>
  <si>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</si>
  <si>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</si>
  <si>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</si>
  <si>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</si>
  <si>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</si>
  <si>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</si>
  <si>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</si>
  <si>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</si>
  <si>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</si>
  <si>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</si>
  <si>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</si>
  <si>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</si>
  <si>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</si>
  <si>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</si>
  <si>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</si>
  <si>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</si>
  <si>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</si>
  <si>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</si>
  <si>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</si>
  <si>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</si>
  <si>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</si>
  <si>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</si>
  <si>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</si>
  <si>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</si>
  <si>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</si>
  <si>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</si>
  <si>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</si>
  <si>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</si>
  <si>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</si>
  <si>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</si>
  <si>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</si>
  <si>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</si>
  <si>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</si>
  <si>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</si>
  <si>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</si>
  <si>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</si>
  <si>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</si>
  <si>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</si>
  <si>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</si>
  <si>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</si>
  <si>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</si>
  <si>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</si>
  <si>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</si>
  <si>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</si>
  <si>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</si>
  <si>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</si>
  <si>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</si>
  <si>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</si>
  <si>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</si>
  <si>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</si>
  <si>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</si>
  <si>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</si>
  <si>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</si>
  <si>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</si>
  <si>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</si>
  <si>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</si>
  <si>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</si>
  <si>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</si>
  <si>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</si>
  <si>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</si>
  <si>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</si>
  <si>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</si>
  <si>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</si>
  <si>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</si>
  <si>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</si>
  <si>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</si>
  <si>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</si>
  <si>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</si>
  <si>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</si>
  <si>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</si>
  <si>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</si>
  <si>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</si>
  <si>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</si>
  <si>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</si>
  <si>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</si>
  <si>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</si>
  <si>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</si>
  <si>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</si>
  <si>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</si>
  <si>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</si>
  <si>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</si>
  <si>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</si>
  <si>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</si>
  <si>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</si>
  <si>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</si>
  <si>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</si>
  <si>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</si>
  <si>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</si>
  <si>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</si>
  <si>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</si>
  <si>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</si>
  <si>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</si>
  <si>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No Site Identified</t>
  </si>
  <si>
    <t>Estimate</t>
  </si>
  <si>
    <t xml:space="preserve">Pre-Procurement </t>
  </si>
  <si>
    <t>Site Identified Only</t>
  </si>
  <si>
    <t>Repeat Design</t>
  </si>
  <si>
    <t>Facility Condition</t>
  </si>
  <si>
    <t>Tender Issuance</t>
  </si>
  <si>
    <t>Site Under Option Agreement</t>
  </si>
  <si>
    <t xml:space="preserve">Architect Estimate </t>
  </si>
  <si>
    <t>French Language Access</t>
  </si>
  <si>
    <t>Renovation</t>
  </si>
  <si>
    <t xml:space="preserve">Class C Estimate </t>
  </si>
  <si>
    <t>Disposition</t>
  </si>
  <si>
    <t>Site Preparation</t>
  </si>
  <si>
    <t xml:space="preserve">Class B Estimate </t>
  </si>
  <si>
    <t>Class A Estimate</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</si>
  <si>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</si>
  <si>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</si>
  <si>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</si>
  <si>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</si>
  <si>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</si>
  <si>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</si>
  <si>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</si>
  <si>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</si>
  <si>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</si>
  <si>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</si>
  <si>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</si>
  <si>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</si>
  <si>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</si>
  <si>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</si>
  <si>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</si>
  <si>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</si>
  <si>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</si>
  <si>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</si>
  <si>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</si>
  <si>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</si>
  <si>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</si>
  <si>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</si>
  <si>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</si>
  <si>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</si>
  <si>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</si>
  <si>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</si>
  <si>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Sign Installed</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</si>
  <si>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</si>
  <si>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</si>
  <si>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</si>
  <si>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</si>
  <si>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</si>
  <si>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</si>
  <si>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</si>
  <si>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</si>
  <si>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Estimated Cost - Construction Project</t>
  </si>
  <si>
    <t>Funding - Construction Project</t>
  </si>
  <si>
    <t>Meeting Minutes</t>
  </si>
  <si>
    <t>*((tbl*((monthly*((col*((project_id</t>
  </si>
  <si>
    <t>*((var*((date_meeting</t>
  </si>
  <si>
    <t>*((col*((project_type</t>
  </si>
  <si>
    <t>*((col*((project_category</t>
  </si>
  <si>
    <t>*((col*((record_status</t>
  </si>
  <si>
    <t>*((col*((construction_status*((formula*((down</t>
  </si>
  <si>
    <t>*((col*((site_status</t>
  </si>
  <si>
    <t>*((col*((date_space_template</t>
  </si>
  <si>
    <t>*((col*((design_status</t>
  </si>
  <si>
    <t>*((col*((date_pretender</t>
  </si>
  <si>
    <t>*((col*((date_cc_floorplan</t>
  </si>
  <si>
    <t>*((col*((date_building_permit</t>
  </si>
  <si>
    <t>*((col*((date_tender_issue</t>
  </si>
  <si>
    <t>*((col*((date_tender_closed</t>
  </si>
  <si>
    <t>*((col*((date_substantial_completion</t>
  </si>
  <si>
    <t>*((col*((date_opening</t>
  </si>
  <si>
    <t>*((col*((date_completion</t>
  </si>
  <si>
    <t>*((col*((funding_construction</t>
  </si>
  <si>
    <t>*((col*((funding_site</t>
  </si>
  <si>
    <t>*((col*((funding_demo</t>
  </si>
  <si>
    <t>*((col*((funding_other_projects</t>
  </si>
  <si>
    <t>*((col*((cost_basis</t>
  </si>
  <si>
    <t>*((col*((cost_estimate_construction</t>
  </si>
  <si>
    <t>*((col*((cost_estimate_land</t>
  </si>
  <si>
    <t>*((col*((cost_estimate_demo</t>
  </si>
  <si>
    <t>*((col*((cost_estimate_other_projects</t>
  </si>
  <si>
    <t>*((col*((risk_type</t>
  </si>
  <si>
    <t>*((col*((risk_rating</t>
  </si>
  <si>
    <t>*((col*((risk_date_start</t>
  </si>
  <si>
    <t>*((col*((risk_cost_min</t>
  </si>
  <si>
    <t>*((col*((risk_cost_max</t>
  </si>
  <si>
    <t>*((col*((risk_delay_min</t>
  </si>
  <si>
    <t>*((col*((risk_delay_max</t>
  </si>
  <si>
    <t>*((col*((risk_mitigation</t>
  </si>
  <si>
    <t>*((col*((meeting_minutes</t>
  </si>
  <si>
    <t>*((col*((project_name</t>
  </si>
  <si>
    <t>*((col*((date_site_purchase</t>
  </si>
  <si>
    <t>*((col*((date_site_plan_submission</t>
  </si>
  <si>
    <t>*((col*((date_opening_cc</t>
  </si>
  <si>
    <t>monthly_v2.0</t>
  </si>
  <si>
    <t>*((col*((date_construction</t>
  </si>
  <si>
    <t>Funding - All Associated Projects</t>
  </si>
  <si>
    <t>Site Purchased Prior to Capital Approval</t>
  </si>
  <si>
    <t>*((col*((funding_all*((formula*((down</t>
  </si>
  <si>
    <t>*((tbl*((basic_project_info*((col*((project_id</t>
  </si>
  <si>
    <t>*((col*((project_name_official</t>
  </si>
  <si>
    <t>*((col*((location_address</t>
  </si>
  <si>
    <t>*((col*((location_postal_code</t>
  </si>
  <si>
    <t>*((col*((location_longitude</t>
  </si>
  <si>
    <t>*((col*((sign_installed</t>
  </si>
  <si>
    <t>*((col*((date_opening_ceremony</t>
  </si>
  <si>
    <t>*((tbl*((pc*((col*((project_id</t>
  </si>
  <si>
    <t>Space Template Approved</t>
  </si>
  <si>
    <t>Site Plan Approved</t>
  </si>
  <si>
    <t>Pre-Tender Checkin</t>
  </si>
  <si>
    <t>Tender Approved</t>
  </si>
  <si>
    <t>Post-Tender Checkin</t>
  </si>
  <si>
    <t>Financial Close</t>
  </si>
  <si>
    <t>*((col*((date_site_plan_approved</t>
  </si>
  <si>
    <t>*((col*((date_tender</t>
  </si>
  <si>
    <t>*((col*((date_posttender</t>
  </si>
  <si>
    <t>*((col*((location_latitude</t>
  </si>
  <si>
    <t>Latitude</t>
  </si>
  <si>
    <t>*((col*((location_city</t>
  </si>
  <si>
    <t>Senior Buisness Official</t>
  </si>
  <si>
    <t>Primary Contact</t>
  </si>
  <si>
    <t>School Board Contact List</t>
  </si>
  <si>
    <t>Director of Education</t>
  </si>
  <si>
    <t>Finance Contact</t>
  </si>
  <si>
    <t>Construction/Project Management Contact</t>
  </si>
  <si>
    <t>*((tbl*((board_contacts*((col*((name</t>
  </si>
  <si>
    <t>*((col*((title</t>
  </si>
  <si>
    <t>*((col*((email</t>
  </si>
  <si>
    <t>*((col*((phone</t>
  </si>
  <si>
    <t>99-123</t>
  </si>
  <si>
    <t>Example Project</t>
  </si>
  <si>
    <t>*((col*((meeting_minutes_minus_1</t>
  </si>
  <si>
    <t>*((col*((meeting_minutes_minus_2</t>
  </si>
  <si>
    <t>*((col*((meeting_minutes_minus_3</t>
  </si>
  <si>
    <t>*((col*((meeting_minutes_minus_4</t>
  </si>
  <si>
    <t>*((col*((meeting_minutes_minus_5</t>
  </si>
  <si>
    <t>*((col*((meeting_minutes_minus_6</t>
  </si>
  <si>
    <t>*((col*((meeting_minutes_minus_7</t>
  </si>
  <si>
    <t>*((col*((meeting_minutes_minus_8</t>
  </si>
  <si>
    <t>*((col*((meeting_minutes_minus_9</t>
  </si>
  <si>
    <t>*((col*((meeting_minutes_minus_10</t>
  </si>
  <si>
    <t>*((col*((meeting_minutes_minus_11</t>
  </si>
  <si>
    <t>*((col*((meeting_minutes_minus_12</t>
  </si>
  <si>
    <t>*((col*((meeting_minutes_minus_13</t>
  </si>
  <si>
    <t>*((col*((meeting_minutes_minus_14</t>
  </si>
  <si>
    <t>*((col*((meeting_minutes_minus_15</t>
  </si>
  <si>
    <t>*((col*((meeting_minutes_minus_16</t>
  </si>
  <si>
    <t>*((col*((meeting_minutes_minus_17</t>
  </si>
  <si>
    <t>*((col*((meeting_minutes_minus_18</t>
  </si>
  <si>
    <t>*((col*((meeting_minutes_minus_19</t>
  </si>
  <si>
    <t>*((col*((meeting_minutes_minus_20</t>
  </si>
  <si>
    <t>*((col*((meeting_minutes_minus_21</t>
  </si>
  <si>
    <t>*((col*((meeting_minutes_minus_22</t>
  </si>
  <si>
    <t>*((col*((meeting_minutes_minus_23</t>
  </si>
  <si>
    <t>*((col*((meeting_minutes_minus_24</t>
  </si>
  <si>
    <t>*((table_end*((meeting_minutes_heading</t>
  </si>
  <si>
    <t>Constants</t>
  </si>
  <si>
    <t>Orange Date</t>
  </si>
  <si>
    <t>Red Date</t>
  </si>
  <si>
    <t>*((var*((board_number_name</t>
  </si>
  <si>
    <t>Basic Project Information</t>
  </si>
  <si>
    <t>*((var*((missing_data_count*((formula*((right</t>
  </si>
  <si>
    <t>cc_amount</t>
  </si>
  <si>
    <t>*((col*((site_ownership_formula*((formula*((down</t>
  </si>
  <si>
    <t>Role</t>
  </si>
  <si>
    <t>*((col*((role</t>
  </si>
  <si>
    <t>Project Commitments</t>
  </si>
  <si>
    <t>General Meeting Minutes:</t>
  </si>
  <si>
    <t>*((tbl*((meeting_minutes_general*((col*((meeting_minutes_general_minus_1</t>
  </si>
  <si>
    <t>*((var*((meeting_minutes_general_current</t>
  </si>
  <si>
    <t>Historical General Meeting Minutes
-------------&gt;</t>
  </si>
  <si>
    <t>Section 2: Project Commitment Progress</t>
  </si>
  <si>
    <t>Pre-Tender Package Complete</t>
  </si>
  <si>
    <t>CA Reviewed All Pre-Tender Documents</t>
  </si>
  <si>
    <t>Post-Tender Package Complete</t>
  </si>
  <si>
    <t>CA Reviewed All Post-Tender Documents</t>
  </si>
  <si>
    <t>*((col*((post_tender_complete</t>
  </si>
  <si>
    <t>*((col*((post_tender_documents_reviewed</t>
  </si>
  <si>
    <t>*((col*((pre_tender_documents_reviewed</t>
  </si>
  <si>
    <t>*((col*((pre_tender_complete</t>
  </si>
  <si>
    <t>Col 9</t>
  </si>
  <si>
    <t>Col 11</t>
  </si>
  <si>
    <t>Col 12</t>
  </si>
  <si>
    <t>*((col*((scope_cc_spaces_added</t>
  </si>
  <si>
    <t>Site Plan Approval Date Error Explanation</t>
  </si>
  <si>
    <t>Pre-Tender Submission Date</t>
  </si>
  <si>
    <t>Post-Tender Submission Date</t>
  </si>
  <si>
    <t>Pre-Tender Package Type</t>
  </si>
  <si>
    <t>Package Type</t>
  </si>
  <si>
    <t>Within Budget</t>
  </si>
  <si>
    <t>Additional Funding Required</t>
  </si>
  <si>
    <t>*((col*((pretender_package_type</t>
  </si>
  <si>
    <t>Not Yet Known</t>
  </si>
  <si>
    <t>Post-Tender Package Type</t>
  </si>
  <si>
    <t>*((col*((posttender_package_type</t>
  </si>
  <si>
    <t xml:space="preserve">Child Care Floorplan Approval Date </t>
  </si>
  <si>
    <t>Error Messages</t>
  </si>
  <si>
    <t>Contract Awarded Date</t>
  </si>
  <si>
    <t>Construction Start Date</t>
  </si>
  <si>
    <t>*((var*((error_count*((formula*((down</t>
  </si>
  <si>
    <t>Col 1</t>
  </si>
  <si>
    <t>Col 2</t>
  </si>
  <si>
    <t>Col 3</t>
  </si>
  <si>
    <t>Col 4</t>
  </si>
  <si>
    <t>Col 5</t>
  </si>
  <si>
    <t>Col 6</t>
  </si>
  <si>
    <t>Col 7</t>
  </si>
  <si>
    <t>Col 8</t>
  </si>
  <si>
    <t>Col 10</t>
  </si>
  <si>
    <t>Col 13</t>
  </si>
  <si>
    <t>Col 14</t>
  </si>
  <si>
    <t>Col 15</t>
  </si>
  <si>
    <t>Col 16</t>
  </si>
  <si>
    <t>Col 17</t>
  </si>
  <si>
    <t>Col 18</t>
  </si>
  <si>
    <t>Col 19</t>
  </si>
  <si>
    <t>Col 20</t>
  </si>
  <si>
    <t>Col 21</t>
  </si>
  <si>
    <t>Col 22</t>
  </si>
  <si>
    <t>Col 23</t>
  </si>
  <si>
    <t>Col 24</t>
  </si>
  <si>
    <t>Col 25</t>
  </si>
  <si>
    <t>Col 26</t>
  </si>
  <si>
    <t>Col 27</t>
  </si>
  <si>
    <t>Col 28</t>
  </si>
  <si>
    <t>Col 29</t>
  </si>
  <si>
    <t>Col 30</t>
  </si>
  <si>
    <t>Col 31</t>
  </si>
  <si>
    <t>Col 32</t>
  </si>
  <si>
    <t>Col 33</t>
  </si>
  <si>
    <t>Col 34</t>
  </si>
  <si>
    <t>Col 35</t>
  </si>
  <si>
    <t>Col 36</t>
  </si>
  <si>
    <t>Col 37</t>
  </si>
  <si>
    <t>Col 38</t>
  </si>
  <si>
    <t>Col 39</t>
  </si>
  <si>
    <t>Col 40</t>
  </si>
  <si>
    <t>Col 41</t>
  </si>
  <si>
    <t>Col 42</t>
  </si>
  <si>
    <t>Col 43</t>
  </si>
  <si>
    <t>Col 44</t>
  </si>
  <si>
    <t>Col 45</t>
  </si>
  <si>
    <t>Col 46</t>
  </si>
  <si>
    <t>Col 47</t>
  </si>
  <si>
    <t xml:space="preserve">Automatically generated and uneditable. </t>
  </si>
  <si>
    <t>Enter details about each project based on conversations with the school board.</t>
  </si>
  <si>
    <t>Automatically generated and uneditable. This field is calculated based on the dates provided to the right in this sheet. If the meeting date is after the opening date, the construction status is "Open"; if the meeting date is after the construction date, the status is "Under Construction". Otherwise the project status is "Planning".</t>
  </si>
  <si>
    <t>Use this dropdown to indicate whether the pretender budget is within existing funding or requires additional ministry funds.</t>
  </si>
  <si>
    <t>Use this dropdown to indicate whether the post-tender budget is within existing funding or requires additional ministry funds.</t>
  </si>
  <si>
    <t>This is a manual confirmation that the CA has completed their review of the post-tender package.</t>
  </si>
  <si>
    <t>This is a manual confirmation that the CA has completed their review of the pre-tender package.</t>
  </si>
  <si>
    <t>Use this dropdown to indicate the site status. Only use "Not Applicable" if the project is an addition/retrofit and does not require a site purchase.</t>
  </si>
  <si>
    <t>Use this dropdown to identify the progress on the project's designs.</t>
  </si>
  <si>
    <t>Financial Close-Out Date</t>
  </si>
  <si>
    <t>This field must be a date value. Provide the expected/actual site plan submission date.</t>
  </si>
  <si>
    <t>This field must be a date value. Provide the expected/actual initial site plan submission date.</t>
  </si>
  <si>
    <t>This field must be a date value. Enter the expected/actual date the board received a building permit for this project.</t>
  </si>
  <si>
    <t>This field must be a date value. Enter the expected/actual date the board opened the tender process.</t>
  </si>
  <si>
    <t>This field must be a date value. Enter the expected/actual date the board closed the tender process.</t>
  </si>
  <si>
    <t>Enter the estimated/actual cost of any land purchase associated with this project. Leave it blank if no land is needed for this project.</t>
  </si>
  <si>
    <t>Use this only if the project will be associated with a separate project ID assigned to a demolition project. This would only happen if the board is demolishing an entire building as part of the project.</t>
  </si>
  <si>
    <t>Automatically generated and uneditable. Project types potentially included in this tracker are: New Construction, Retrofit, Addition, and Purchase.</t>
  </si>
  <si>
    <t>Automatically generated and uneditable. This field identifies the need that is met by the project. Potential project categories that could be included on this tracker are: Accommodation Pressure, Child Care, Facility Condition, Consolidation, and French Language Access.</t>
  </si>
  <si>
    <t>This field must be a date value or blank. Indicate when the board will gain/gained ownership of the site or leave it blank if Site Ownership Status is "Not Applicable".</t>
  </si>
  <si>
    <t>This field must be a date value. Indicate expected/actual date of the space template approval.</t>
  </si>
  <si>
    <t>This field must be a date value or blank. Indicate the expected/actual date of the child care floorplan approval. Leave blank only if the project does not include child care.</t>
  </si>
  <si>
    <t>Initial Site Plan Submission Date</t>
  </si>
  <si>
    <r>
      <t xml:space="preserve">This is the estimated/actual </t>
    </r>
    <r>
      <rPr>
        <b/>
        <sz val="11"/>
        <color theme="1"/>
        <rFont val="Calibri"/>
        <family val="2"/>
        <scheme val="minor"/>
      </rPr>
      <t>submission date</t>
    </r>
    <r>
      <rPr>
        <sz val="11"/>
        <color theme="1"/>
        <rFont val="Calibri"/>
        <family val="2"/>
        <scheme val="minor"/>
      </rPr>
      <t xml:space="preserve"> for the pre-tender budget. This field must be a date value.</t>
    </r>
  </si>
  <si>
    <r>
      <t xml:space="preserve">This is the estimated/actual </t>
    </r>
    <r>
      <rPr>
        <b/>
        <sz val="11"/>
        <color theme="1"/>
        <rFont val="Calibri"/>
        <family val="2"/>
        <scheme val="minor"/>
      </rPr>
      <t>submission date</t>
    </r>
    <r>
      <rPr>
        <sz val="11"/>
        <color theme="1"/>
        <rFont val="Calibri"/>
        <family val="2"/>
        <scheme val="minor"/>
      </rPr>
      <t xml:space="preserve"> for the post-tender budget. This field must be a date value.</t>
    </r>
  </si>
  <si>
    <t xml:space="preserve">Section 3: Pre-Tender </t>
  </si>
  <si>
    <t xml:space="preserve">Based on Tender Results </t>
  </si>
  <si>
    <t>Purpose</t>
  </si>
  <si>
    <t>Board Contacts</t>
  </si>
  <si>
    <t>Monthly Update</t>
  </si>
  <si>
    <t>Basic Project Info</t>
  </si>
  <si>
    <t>Ad-Hoc or Potential Projects</t>
  </si>
  <si>
    <t>Project Commitment</t>
  </si>
  <si>
    <t>Section 4: Construction</t>
  </si>
  <si>
    <t>Section 5: Project Completion</t>
  </si>
  <si>
    <t>Section 6: Approved Project Funding</t>
  </si>
  <si>
    <t xml:space="preserve">Section 7: Projected Cost </t>
  </si>
  <si>
    <t>Section 8: Historical Meeting Minutes</t>
  </si>
  <si>
    <t>Section 2: Communications Issues</t>
  </si>
  <si>
    <t>Use this worksheet to enter data about potential projects that have not yet been approved or about ad-hoc, minor projects that don't show up on the Monthly Tracker sheet.</t>
  </si>
  <si>
    <t>Instructions</t>
  </si>
  <si>
    <t>During Meetings with the Board</t>
  </si>
  <si>
    <t>As Needed</t>
  </si>
  <si>
    <t>General Information &amp; Error Checking</t>
  </si>
  <si>
    <t>Overview of the Worksheets within the Project Tracker</t>
  </si>
  <si>
    <t>Within-Budget Acknowledgement Process</t>
  </si>
  <si>
    <t>Analyst Checks</t>
  </si>
  <si>
    <t>Record Keeping</t>
  </si>
  <si>
    <t>Project Tracker - Instructions</t>
  </si>
  <si>
    <t>This field must be a date value. Enter the expected/actual date the board awards the contract to the successful bid.</t>
  </si>
  <si>
    <t>Enter the postal code of the school. If the it's not yet known, leave it blank.</t>
  </si>
  <si>
    <t>Enter the address for the school. If it's not yet known, leave it blank.</t>
  </si>
  <si>
    <t>Enter the longitude of the school. This information should be updated once the site has been purchased.</t>
  </si>
  <si>
    <t>Enter the latitude of the school. This information should be updated once the site has been purchased.</t>
  </si>
  <si>
    <t>Indicate whether the board has installed a sign on the project site.</t>
  </si>
  <si>
    <t>Yes</t>
  </si>
  <si>
    <t>No</t>
  </si>
  <si>
    <t>No Site Purchased</t>
  </si>
  <si>
    <t>The Project Tracker is a tool for capital analysts to capture information about each board's projects. This data provides a line of sight into project progress and details that is critical to both analysts, other folks within the branch, and management. The data gathered here facilitates project accountability and oversight of project milestones and finances.</t>
  </si>
  <si>
    <t>When analysts meet with their board to discuss projects, you should use this tool to guide your meetings and capture information. Make sure you update the meeting date on the Monthly Tracker worksheet. You'll notice that this sheet has conditional formatting that greys out the sheet when the meeting date is not set to the current day. This is done so you have a visual reminder to update this date before you talk with your boards.
Taking comprehensive minutes is especially important part of your meetings with the boards. The template provides space for you to enter project-specific minutes, as well as a section for minuting any more general information discussed that might not fall under one specific project. The data is scraped regularly and then the template is regenerated with updated information. During this process, minutes are archived and relocated to the far-left side of the template (column BD), sorted with the most recent minutes closest to the left.</t>
  </si>
  <si>
    <t>If you need to update information at any time other than during a meeting with the board, you are free to do so and the revised information will be captured the next time the data team extracts data from worksheet. Do NOT change the meeting date during any such ad-hoc updates. You should only change the meeting dates when you actually meet with the school board.</t>
  </si>
  <si>
    <t>As mentioned above, the Monthly Update worksheet contains conditional formatting that incentivizes you not to forget to enter a meeting date when you talk with the school board. You will notice that once the meeting date is has passed (i.e., it is something other than the current date), the whole sheet goes grey. This provides a visual cue for you to update the date prior to meeting with your board.
The sheet also contains some automatic error checking. Cells contain errors when they are highlighted in purple. To determine the reason for the error, scroll over to columns CY to ES. This section contains the same columns as the main table; cells in this table will only contains text if there is an error. That text will describe the cause of the error in the corresponding cell in the main table.</t>
  </si>
  <si>
    <t>Confirm that the board has submitted all necessary documentation:
•Class A/B cost estimate
•Revised CPBF form that reflects the Class A/B cost estimate.
•80% design drawings that align with the cost estimate and approved space template.
•Child care floor plan approval letter (if applicable).
Ensure that all documents are saved in the appropriate folder on the Share Drive.
Once you have checked and confirmed all documents, send an email to the board acknowledging receipt of the pre/post tender package.</t>
  </si>
  <si>
    <t>Use this worksheet to enter the contact information for your boards. This is a central location for Capital Analysts to store this information, as well as a place where management and other analysts can go if they need this information. This is important to support coverage for analysts who are absent.</t>
  </si>
  <si>
    <t>Use this tab to memorialize meetings with the school boards. See instructions above and glossary below for more information.</t>
  </si>
  <si>
    <t>This sheet is for your reference only. It is not editable. It provides information about the current project commitment for the projects for this board.</t>
  </si>
  <si>
    <t>Glossary - Monthly Update Tab</t>
  </si>
  <si>
    <t>Glossary - Basic Project Info Tab</t>
  </si>
  <si>
    <t>Automatically generated and uneditable. This is the name assigned to the project when it is first approved. It cannot be changed and is constant throughout the project's lifecycle.</t>
  </si>
  <si>
    <t>Use this field to enter the city/town where the project is located. This should be known at the time of project approval and be pre-populated on the template. Therefore, this field can be left unedited except for very rare circumstances.</t>
  </si>
  <si>
    <t>This drop-down determines which projects will be removed from your trackers. If you want to remove a project, you must identify whether it has been completed or cancelled. The default is for projects to remain on the tracker. When projects are removed from the tracker, it triggers an email notification to your manager and director.</t>
  </si>
  <si>
    <t>This field must be a date value. Enter the expected/actual date that construction work will actually begin on the school site. This date must follow all tender dates and the contract awarded date.</t>
  </si>
  <si>
    <t>Use the drop-down to indicate how the board determined the cost estimate.</t>
  </si>
  <si>
    <t>Enter the board's estimate of the total cost of the construction project. This includes the cost of the school portion, child care portion, site costs, and any other portion not captured in columns 45 to 47</t>
  </si>
  <si>
    <t>Use this only in the rare circumstance where there is/will be any other project ID(s) associated with this project.</t>
  </si>
  <si>
    <t>Project Tracker Glossary</t>
  </si>
  <si>
    <t>Use this worksheet to enter the official school name, the school's location information, sign installation information, and the opening ceremony date. See below for a glossary, defining what should be entered in each column.</t>
  </si>
  <si>
    <t>Use this field to update the official school name that will be used after the school is open. Please use the complete name and do not use abbreviations (e.g. use "Example Public School" instead of "Example" or "Example P.S.". If this project is an addition, this field can be completed as soon as the project is approved.</t>
  </si>
  <si>
    <t>Use this once the project approaches completion if the board plans an opening ceremony. Otherwise, leave this blank.</t>
  </si>
  <si>
    <t>Automatically generated and uneditable. Each project is assigned a unique ID for tracking throughout its lifecycle. The ID displayed here is the ID for the construction portion of the project.</t>
  </si>
  <si>
    <t>Automatically generated and uneditable. This is the name assigned to the project when it is first approved. It cannot be changed and is constant throughout the project's lifecycle. The official name of the school can be modified on the Basic Project Info tab.</t>
  </si>
  <si>
    <t>Automatically generated and uneditable. This indicates whether we have a record of the pre-tender budget in our data system and, if so, the date of the approval (for packages approved by the minister) or notification (for within-budget acknowledgments).</t>
  </si>
  <si>
    <t>Automatically generated and uneditable. This indicates whether we have a record of the post-tender budget in our data system and, if so, the date of the approval (for packages approved by the minister) or notification (for within-budget acknowledgments).</t>
  </si>
  <si>
    <t>This field must be a date value. Enter the expected/actual date the project will be substantially complete - that is, the project is complete up to the point that it can be utilized for its intended purpose. Under all but very rare circumstances this date will precede the opening date.</t>
  </si>
  <si>
    <t>This field must be a date value. Enter the expected/actual date the school portion of the project will be open (i.e., the date when kids will be in new seats).</t>
  </si>
  <si>
    <t>This field must be a date value or blank. Enter the expected/actual date the child care portion of the project will be open (when will the center be taking care of children?). This must be completed unless the project does not include child care.</t>
  </si>
  <si>
    <t>This field must be a date value. Enter the expected/actual date of financial close out for the project. At this point, all construction is complete, all deficiencies have been addressed and the financial close-out form has been submitted for final budget/cost reconciliation. This is generally 12-18 months after the opening date.</t>
  </si>
  <si>
    <t>Create a folder in the following directory:
\\csc.ad.gov.on.ca\dfs$\GrpData\CBSD\CAPITAL\STRATEGY\Operations\BOARDS\^Project Commitment\Pre &amp; Post Tender Check-In
•The folder should be named using the following naming format:
project id # YYYY-MM-DD
Example: 12-123 # 2025-12-30
•The date in the folder name should be the date of the email acknowledging receipt of the documents and confirming the board can proceed.
•Save the following in the folder you created above:
     o The CPBF form that reflects the pre-tender/post-tender budget.
     o The email to the school board (sent within 7 days of the board’s submission) confirming all documents have been submitted and that the ministry has no concerns with the board proceeding to tender/awarding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</si>
</sst>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00_);_(* \(#,##0.00\);_(* &quot;-&quot;??_);_(@_)"/>
    <numFmt numFmtId="165" formatCode="mmm\-yyyy"/>
    <numFmt numFmtId="166" formatCode="_-* #,##0_-;\-* #,##0_-;_-* &quot;-&quot;??_-;_-@_-"/>
    <numFmt numFmtId="167" formatCode="[$-F800]dddd\,\ mmmm\ dd\,\ yyyy"/>
    <numFmt numFmtId="168" formatCode="_-&quot;$&quot;* #,##0_-;\-&quot;$&quot;* #,##0_-;_-&quot;$&quot;* &quot;-&quot;??_-;_-@_-"/>
  </numFmts>
  <fonts count="38"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
      <b/>
      <sz val="22"/>
      <name val="Arial Nova Cond Light"/>
      <family val="2"/>
    </font>
    <font>
      <b/>
      <sz val="12"/>
      <name val="Arial Nova Cond Light"/>
      <family val="2"/>
    </font>
    <font>
      <b/>
      <sz val="18"/>
      <color rgb="FFFF0000"/>
      <name val="Arial Nova Cond Light"/>
      <family val="2"/>
    </font>
    <font>
      <sz val="11"/>
      <color theme="0"/>
      <name val="Arial Nova Cond Light"/>
      <family val="2"/>
    </font>
    <font>
      <b/>
      <u/>
      <sz val="24"/>
      <name val="Arial Nova Cond Light"/>
      <family val="2"/>
    </font>
    <font>
      <b/>
      <u/>
      <sz val="18"/>
      <name val="Arial Nova Cond Light"/>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4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top style="medium">
        <color indexed="64"/>
      </top>
      <bottom style="medium">
        <color indexed="64"/>
      </bottom>
      <diagonal/>
    </border>
    <border>
      <left style="thick">
        <color auto="1"/>
      </left>
      <right style="medium">
        <color indexed="64"/>
      </right>
      <top/>
      <bottom/>
      <diagonal/>
    </border>
    <border>
      <left style="thick">
        <color indexed="64"/>
      </left>
      <right/>
      <top style="medium">
        <color indexed="64"/>
      </top>
      <bottom/>
      <diagonal/>
    </border>
    <border>
      <left/>
      <right style="thick">
        <color auto="1"/>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43" fontId="8" fillId="0" borderId="0" applyFont="0" applyFill="0" applyBorder="0" applyAlignment="0" applyProtection="0"/>
    <xf numFmtId="9" fontId="8" fillId="0" borderId="0" applyFont="0" applyFill="0" applyBorder="0" applyAlignment="0" applyProtection="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cellStyleXfs>
  <cellXfs count="255">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1"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13" xfId="0" applyFont="1" applyFill="1" applyBorder="1" applyAlignment="1">
      <alignment horizontal="center" vertical="top"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4" xfId="0" applyFont="1" applyFill="1" applyBorder="1" applyAlignment="1">
      <alignment horizontal="center" vertical="center"/>
    </xf>
    <xf numFmtId="165" fontId="5" fillId="3" borderId="7" xfId="0" applyNumberFormat="1" applyFont="1" applyFill="1" applyBorder="1" applyAlignment="1">
      <alignment horizontal="center" vertical="top" wrapText="1"/>
    </xf>
    <xf numFmtId="0" fontId="15" fillId="4" borderId="8" xfId="0" applyFont="1" applyFill="1" applyBorder="1" applyAlignment="1" applyProtection="1">
      <alignment horizontal="center" vertical="center"/>
      <protection locked="0"/>
    </xf>
    <xf numFmtId="0" fontId="15" fillId="4" borderId="14"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1" xfId="0" applyFont="1" applyFill="1" applyBorder="1" applyAlignment="1">
      <alignment horizontal="center" vertical="center"/>
    </xf>
    <xf numFmtId="3" fontId="3" fillId="3" borderId="1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11" xfId="0" applyFont="1" applyFill="1" applyBorder="1" applyAlignment="1" applyProtection="1">
      <alignment horizontal="center" vertical="center" wrapText="1"/>
      <protection locked="0"/>
    </xf>
    <xf numFmtId="0" fontId="4" fillId="3" borderId="11" xfId="0" applyFont="1" applyFill="1" applyBorder="1" applyAlignment="1">
      <alignment horizontal="center" vertical="center" wrapText="1"/>
    </xf>
    <xf numFmtId="167" fontId="0" fillId="0" borderId="0" xfId="0" applyNumberFormat="1"/>
    <xf numFmtId="0" fontId="0" fillId="0" borderId="0" xfId="0" applyAlignment="1">
      <alignment horizontal="center" vertical="center"/>
    </xf>
    <xf numFmtId="166" fontId="5" fillId="2" borderId="13" xfId="1" applyNumberFormat="1" applyFont="1" applyFill="1" applyBorder="1" applyAlignment="1" applyProtection="1">
      <alignment horizontal="center" vertical="top" wrapText="1"/>
      <protection locked="0"/>
    </xf>
    <xf numFmtId="49" fontId="5" fillId="2" borderId="2" xfId="2" applyNumberFormat="1" applyFont="1" applyFill="1" applyBorder="1" applyAlignment="1" applyProtection="1">
      <alignment horizontal="center" vertical="top" wrapText="1"/>
    </xf>
    <xf numFmtId="165" fontId="5" fillId="3" borderId="2" xfId="0" applyNumberFormat="1" applyFont="1" applyFill="1" applyBorder="1" applyAlignment="1">
      <alignment horizontal="center" vertical="top" wrapText="1"/>
    </xf>
    <xf numFmtId="0" fontId="7" fillId="4" borderId="6"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4" fillId="3" borderId="2" xfId="0" applyFont="1" applyFill="1" applyBorder="1" applyAlignment="1">
      <alignment horizontal="center" vertical="center"/>
    </xf>
    <xf numFmtId="0" fontId="4" fillId="3" borderId="29"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13" xfId="0" applyFont="1" applyFill="1" applyBorder="1" applyAlignment="1">
      <alignment horizontal="center" vertical="top" wrapText="1"/>
    </xf>
    <xf numFmtId="168" fontId="5" fillId="3" borderId="2" xfId="5" applyNumberFormat="1" applyFont="1" applyFill="1" applyBorder="1" applyAlignment="1" applyProtection="1">
      <alignment horizontal="center" vertical="top" wrapText="1"/>
      <protection locked="0"/>
    </xf>
    <xf numFmtId="0" fontId="14" fillId="2" borderId="0" xfId="0" applyFont="1" applyFill="1" applyAlignment="1">
      <alignment horizontal="center" vertical="top"/>
    </xf>
    <xf numFmtId="0" fontId="12" fillId="3" borderId="4"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8" xfId="0" applyFont="1" applyFill="1" applyBorder="1" applyAlignment="1">
      <alignment horizontal="left" vertical="center"/>
    </xf>
    <xf numFmtId="0" fontId="12" fillId="3" borderId="20" xfId="0" applyFont="1" applyFill="1" applyBorder="1" applyAlignment="1">
      <alignment horizontal="left" vertical="center"/>
    </xf>
    <xf numFmtId="165" fontId="5" fillId="3"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center" vertical="top" wrapText="1"/>
      <protection locked="0"/>
    </xf>
    <xf numFmtId="0" fontId="12" fillId="8" borderId="18" xfId="0" applyFont="1" applyFill="1" applyBorder="1" applyAlignment="1">
      <alignment vertical="center"/>
    </xf>
    <xf numFmtId="0" fontId="12" fillId="8" borderId="20" xfId="0" applyFont="1" applyFill="1" applyBorder="1" applyAlignment="1">
      <alignment vertical="center"/>
    </xf>
    <xf numFmtId="0" fontId="12" fillId="8" borderId="19" xfId="0" applyFont="1" applyFill="1" applyBorder="1" applyAlignment="1">
      <alignment vertical="center"/>
    </xf>
    <xf numFmtId="0" fontId="12" fillId="3" borderId="4" xfId="0" applyFont="1" applyFill="1" applyBorder="1" applyAlignment="1">
      <alignment horizontal="left" vertical="center"/>
    </xf>
    <xf numFmtId="0" fontId="4" fillId="3" borderId="2" xfId="0" applyFont="1" applyFill="1" applyBorder="1" applyAlignment="1">
      <alignment horizontal="left" vertical="center" wrapText="1"/>
    </xf>
    <xf numFmtId="0" fontId="14" fillId="2" borderId="0" xfId="0" applyFont="1" applyFill="1" applyAlignment="1">
      <alignment vertical="top"/>
    </xf>
    <xf numFmtId="0" fontId="12" fillId="3" borderId="20" xfId="0" applyFont="1" applyFill="1" applyBorder="1" applyAlignment="1">
      <alignment vertical="center"/>
    </xf>
    <xf numFmtId="2" fontId="0" fillId="0" borderId="0" xfId="0" applyNumberFormat="1"/>
    <xf numFmtId="0" fontId="16" fillId="9" borderId="31"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165" fontId="5" fillId="0" borderId="7" xfId="0" applyNumberFormat="1" applyFont="1" applyFill="1" applyBorder="1" applyAlignment="1">
      <alignment horizontal="center" vertical="top" wrapText="1"/>
    </xf>
    <xf numFmtId="165" fontId="5" fillId="0" borderId="2" xfId="0" applyNumberFormat="1" applyFont="1" applyFill="1" applyBorder="1" applyAlignment="1">
      <alignment horizontal="center" vertical="top" wrapText="1"/>
    </xf>
    <xf numFmtId="0" fontId="0" fillId="0" borderId="0" xfId="0" applyFill="1"/>
    <xf numFmtId="0" fontId="27" fillId="2" borderId="0" xfId="0" applyFont="1" applyFill="1" applyAlignment="1">
      <alignment horizontal="center" vertical="center" wrapText="1"/>
    </xf>
    <xf numFmtId="0" fontId="5" fillId="0" borderId="2"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2" xfId="0" applyFont="1" applyFill="1" applyBorder="1" applyAlignment="1">
      <alignment horizontal="center" vertical="center"/>
    </xf>
    <xf numFmtId="0" fontId="4"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15" fillId="4" borderId="32" xfId="0" applyFont="1" applyFill="1" applyBorder="1" applyAlignment="1">
      <alignment horizontal="center" vertical="center"/>
    </xf>
    <xf numFmtId="49" fontId="5" fillId="2" borderId="30" xfId="2" applyNumberFormat="1" applyFont="1" applyFill="1" applyBorder="1" applyAlignment="1" applyProtection="1">
      <alignment horizontal="center" vertical="top" wrapText="1"/>
    </xf>
    <xf numFmtId="0" fontId="5" fillId="2" borderId="30" xfId="0" applyFont="1" applyFill="1" applyBorder="1" applyAlignment="1">
      <alignment horizontal="center" vertical="top" wrapText="1"/>
    </xf>
    <xf numFmtId="0" fontId="1" fillId="0" borderId="0" xfId="0"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2" xfId="0" applyFont="1" applyFill="1" applyBorder="1" applyAlignment="1" applyProtection="1">
      <alignment horizontal="left" vertical="top" wrapText="1"/>
    </xf>
    <xf numFmtId="167" fontId="11" fillId="0" borderId="0" xfId="0" applyNumberFormat="1" applyFont="1" applyFill="1" applyAlignment="1" applyProtection="1">
      <alignment horizontal="center" vertical="center"/>
      <protection locked="0"/>
    </xf>
    <xf numFmtId="168" fontId="5" fillId="0" borderId="2" xfId="5" applyNumberFormat="1" applyFont="1" applyFill="1" applyBorder="1" applyAlignment="1" applyProtection="1">
      <alignment horizontal="center" vertical="top" wrapText="1"/>
      <protection locked="0"/>
    </xf>
    <xf numFmtId="165" fontId="5" fillId="2" borderId="13" xfId="0" applyNumberFormat="1" applyFont="1" applyFill="1" applyBorder="1" applyAlignment="1">
      <alignment horizontal="center" vertical="top" wrapText="1"/>
    </xf>
    <xf numFmtId="166" fontId="5" fillId="0" borderId="2" xfId="1" applyNumberFormat="1" applyFont="1" applyFill="1" applyBorder="1" applyAlignment="1" applyProtection="1">
      <alignment horizontal="center" vertical="top" wrapText="1"/>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3" xfId="0" applyNumberFormat="1" applyFont="1" applyFill="1" applyBorder="1" applyAlignment="1" applyProtection="1">
      <alignment horizontal="center" vertical="top" wrapText="1"/>
      <protection locked="0"/>
    </xf>
    <xf numFmtId="0" fontId="5" fillId="0" borderId="2" xfId="0" applyFont="1" applyFill="1" applyBorder="1" applyAlignment="1" applyProtection="1">
      <alignment horizontal="center" vertical="top" wrapText="1"/>
    </xf>
    <xf numFmtId="0" fontId="5" fillId="0" borderId="30" xfId="0" applyFont="1" applyFill="1" applyBorder="1" applyAlignment="1" applyProtection="1">
      <alignment horizontal="center" vertical="top" wrapText="1"/>
    </xf>
    <xf numFmtId="0" fontId="23" fillId="2" borderId="0" xfId="0" applyFont="1" applyFill="1" applyBorder="1" applyAlignment="1">
      <alignment horizontal="left" vertical="center"/>
    </xf>
    <xf numFmtId="0" fontId="32" fillId="2" borderId="0" xfId="0" applyFont="1" applyFill="1" applyBorder="1" applyAlignment="1">
      <alignment horizontal="left" vertical="center"/>
    </xf>
    <xf numFmtId="0" fontId="5" fillId="0" borderId="2" xfId="0" applyFont="1" applyFill="1" applyBorder="1" applyAlignment="1" applyProtection="1">
      <alignment horizontal="left" vertical="center" wrapText="1"/>
      <protection locked="0"/>
    </xf>
    <xf numFmtId="0" fontId="3" fillId="3" borderId="0" xfId="0" applyFont="1" applyFill="1" applyBorder="1" applyAlignment="1">
      <alignment horizontal="center" vertical="center" wrapText="1"/>
    </xf>
    <xf numFmtId="165" fontId="5" fillId="0" borderId="13" xfId="0" applyNumberFormat="1" applyFont="1" applyFill="1" applyBorder="1" applyAlignment="1" applyProtection="1">
      <alignment horizontal="center" vertical="top" wrapText="1"/>
    </xf>
    <xf numFmtId="0" fontId="20" fillId="0" borderId="0" xfId="0" applyFont="1"/>
    <xf numFmtId="0" fontId="35" fillId="2" borderId="7" xfId="0" applyFont="1" applyFill="1" applyBorder="1" applyAlignment="1">
      <alignment horizontal="center" vertical="top" wrapText="1"/>
    </xf>
    <xf numFmtId="0" fontId="35" fillId="2" borderId="2" xfId="0" applyFont="1" applyFill="1" applyBorder="1" applyAlignment="1">
      <alignment horizontal="center" vertical="top" wrapText="1"/>
    </xf>
    <xf numFmtId="0" fontId="35" fillId="2" borderId="30" xfId="0" applyFont="1" applyFill="1" applyBorder="1" applyAlignment="1">
      <alignment horizontal="center" vertical="top" wrapText="1"/>
    </xf>
    <xf numFmtId="0" fontId="29" fillId="0" borderId="0" xfId="0" applyFont="1" applyFill="1" applyBorder="1"/>
    <xf numFmtId="0" fontId="12" fillId="3" borderId="4" xfId="0" applyFont="1" applyFill="1" applyBorder="1" applyAlignment="1">
      <alignment vertical="center"/>
    </xf>
    <xf numFmtId="3" fontId="3" fillId="3" borderId="0" xfId="0" applyNumberFormat="1" applyFont="1" applyFill="1" applyBorder="1" applyAlignment="1">
      <alignment horizontal="center" vertical="center" wrapText="1"/>
    </xf>
    <xf numFmtId="0" fontId="15" fillId="4" borderId="33" xfId="0" applyFont="1" applyFill="1" applyBorder="1" applyAlignment="1">
      <alignment horizontal="center" vertical="center"/>
    </xf>
    <xf numFmtId="165" fontId="5" fillId="2" borderId="34" xfId="0" applyNumberFormat="1" applyFont="1" applyFill="1" applyBorder="1" applyAlignment="1" applyProtection="1">
      <alignment horizontal="center" vertical="top" wrapText="1"/>
      <protection locked="0"/>
    </xf>
    <xf numFmtId="165" fontId="5" fillId="2" borderId="34" xfId="0" applyNumberFormat="1" applyFont="1" applyFill="1" applyBorder="1" applyAlignment="1">
      <alignment horizontal="center" vertical="top" wrapText="1"/>
    </xf>
    <xf numFmtId="0" fontId="1" fillId="2" borderId="31" xfId="0" applyFont="1" applyFill="1" applyBorder="1" applyAlignment="1">
      <alignment horizontal="center" vertical="center"/>
    </xf>
    <xf numFmtId="0" fontId="25" fillId="2" borderId="31" xfId="0" applyFont="1" applyFill="1" applyBorder="1" applyAlignment="1">
      <alignment horizontal="center" vertical="center" wrapText="1"/>
    </xf>
    <xf numFmtId="0" fontId="7" fillId="4" borderId="35" xfId="0" applyFont="1" applyFill="1" applyBorder="1" applyAlignment="1">
      <alignment horizontal="center" vertical="center"/>
    </xf>
    <xf numFmtId="0" fontId="4" fillId="3" borderId="35" xfId="0" applyFont="1" applyFill="1" applyBorder="1" applyAlignment="1">
      <alignment horizontal="center" vertical="center" wrapText="1"/>
    </xf>
    <xf numFmtId="3" fontId="3" fillId="3" borderId="35" xfId="0" applyNumberFormat="1" applyFont="1" applyFill="1" applyBorder="1" applyAlignment="1">
      <alignment horizontal="center" vertical="center" wrapText="1"/>
    </xf>
    <xf numFmtId="0" fontId="15" fillId="4" borderId="35" xfId="0" applyFont="1" applyFill="1" applyBorder="1" applyAlignment="1">
      <alignment horizontal="center" vertical="center"/>
    </xf>
    <xf numFmtId="0" fontId="5" fillId="2" borderId="35" xfId="0" applyFont="1" applyFill="1" applyBorder="1" applyAlignment="1">
      <alignment horizontal="center" vertical="top" wrapText="1"/>
    </xf>
    <xf numFmtId="0" fontId="5" fillId="2" borderId="31" xfId="0" applyFont="1" applyFill="1" applyBorder="1" applyAlignment="1">
      <alignment horizontal="center" vertical="center"/>
    </xf>
    <xf numFmtId="0" fontId="4" fillId="3" borderId="36" xfId="0" applyFont="1" applyFill="1" applyBorder="1" applyAlignment="1">
      <alignment horizontal="center" vertical="center" wrapText="1"/>
    </xf>
    <xf numFmtId="0" fontId="15" fillId="4" borderId="37" xfId="0" applyFont="1" applyFill="1" applyBorder="1" applyAlignment="1">
      <alignment horizontal="center" vertical="center"/>
    </xf>
    <xf numFmtId="165" fontId="5" fillId="2" borderId="36" xfId="0" applyNumberFormat="1" applyFont="1" applyFill="1" applyBorder="1" applyAlignment="1" applyProtection="1">
      <alignment horizontal="center" vertical="top" wrapText="1"/>
      <protection locked="0"/>
    </xf>
    <xf numFmtId="165" fontId="5" fillId="2" borderId="36" xfId="0" applyNumberFormat="1" applyFont="1" applyFill="1" applyBorder="1" applyAlignment="1">
      <alignment horizontal="center" vertical="top" wrapText="1"/>
    </xf>
    <xf numFmtId="0" fontId="5" fillId="2" borderId="36" xfId="0" applyFont="1" applyFill="1" applyBorder="1" applyAlignment="1">
      <alignment horizontal="center" vertical="top" wrapText="1"/>
    </xf>
    <xf numFmtId="0" fontId="35" fillId="2" borderId="36" xfId="0" applyFont="1" applyFill="1" applyBorder="1" applyAlignment="1">
      <alignment horizontal="center" vertical="top" wrapText="1"/>
    </xf>
    <xf numFmtId="0" fontId="4" fillId="3" borderId="30" xfId="0" applyFont="1" applyFill="1" applyBorder="1" applyAlignment="1" applyProtection="1">
      <alignment horizontal="center" vertical="center" wrapText="1"/>
      <protection locked="0"/>
    </xf>
    <xf numFmtId="0" fontId="15" fillId="4" borderId="33" xfId="0" applyFont="1" applyFill="1" applyBorder="1" applyAlignment="1" applyProtection="1">
      <alignment horizontal="center" vertical="center"/>
      <protection locked="0"/>
    </xf>
    <xf numFmtId="0" fontId="5" fillId="3" borderId="30" xfId="0" applyFont="1" applyFill="1" applyBorder="1" applyAlignment="1">
      <alignment horizontal="center" vertical="top" wrapText="1"/>
    </xf>
    <xf numFmtId="165" fontId="5" fillId="3" borderId="30" xfId="0" applyNumberFormat="1" applyFont="1" applyFill="1" applyBorder="1" applyAlignment="1">
      <alignment horizontal="center" vertical="top" wrapText="1"/>
    </xf>
    <xf numFmtId="0" fontId="4" fillId="3" borderId="36" xfId="0" applyFont="1" applyFill="1" applyBorder="1" applyAlignment="1" applyProtection="1">
      <alignment horizontal="center" vertical="center" wrapText="1"/>
      <protection locked="0"/>
    </xf>
    <xf numFmtId="0" fontId="15" fillId="4" borderId="37" xfId="0" applyFont="1" applyFill="1" applyBorder="1" applyAlignment="1" applyProtection="1">
      <alignment horizontal="center" vertical="center"/>
      <protection locked="0"/>
    </xf>
    <xf numFmtId="0" fontId="4" fillId="3" borderId="30" xfId="0" applyFont="1" applyFill="1" applyBorder="1" applyAlignment="1">
      <alignment horizontal="center" vertical="center" wrapText="1"/>
    </xf>
    <xf numFmtId="0" fontId="12" fillId="3" borderId="38" xfId="0" applyFont="1" applyFill="1" applyBorder="1" applyAlignment="1">
      <alignment vertical="center"/>
    </xf>
    <xf numFmtId="165" fontId="5" fillId="0" borderId="34" xfId="0" applyNumberFormat="1" applyFont="1" applyFill="1" applyBorder="1" applyAlignment="1" applyProtection="1">
      <alignment horizontal="center" vertical="top" wrapText="1"/>
    </xf>
    <xf numFmtId="3" fontId="3" fillId="3" borderId="36" xfId="0" applyNumberFormat="1" applyFont="1" applyFill="1" applyBorder="1" applyAlignment="1">
      <alignment horizontal="center" vertical="center" wrapText="1"/>
    </xf>
    <xf numFmtId="0" fontId="5" fillId="2" borderId="36" xfId="0" applyFont="1" applyFill="1" applyBorder="1" applyAlignment="1" applyProtection="1">
      <alignment horizontal="center" vertical="top" wrapText="1"/>
      <protection locked="0"/>
    </xf>
    <xf numFmtId="168" fontId="5" fillId="3" borderId="36" xfId="5" applyNumberFormat="1" applyFont="1" applyFill="1" applyBorder="1" applyAlignment="1" applyProtection="1">
      <alignment horizontal="center" vertical="top" wrapText="1"/>
      <protection locked="0"/>
    </xf>
    <xf numFmtId="168" fontId="5" fillId="3" borderId="30" xfId="5" applyNumberFormat="1" applyFont="1" applyFill="1" applyBorder="1" applyAlignment="1" applyProtection="1">
      <alignment horizontal="center" vertical="top" wrapText="1"/>
      <protection locked="0"/>
    </xf>
    <xf numFmtId="0" fontId="4" fillId="3" borderId="35" xfId="0" applyFont="1" applyFill="1" applyBorder="1" applyAlignment="1" applyProtection="1">
      <alignment horizontal="center" vertical="center" wrapText="1"/>
      <protection locked="0"/>
    </xf>
    <xf numFmtId="0" fontId="5" fillId="0" borderId="36" xfId="0" applyFont="1" applyFill="1" applyBorder="1" applyAlignment="1" applyProtection="1">
      <alignment horizontal="center" vertical="top" wrapText="1"/>
      <protection locked="0"/>
    </xf>
    <xf numFmtId="166" fontId="5" fillId="2" borderId="36" xfId="1" applyNumberFormat="1" applyFont="1" applyFill="1" applyBorder="1" applyAlignment="1" applyProtection="1">
      <alignment horizontal="center" vertical="top" wrapText="1"/>
      <protection locked="0"/>
    </xf>
    <xf numFmtId="0" fontId="5" fillId="2" borderId="31" xfId="0" applyFont="1" applyFill="1" applyBorder="1" applyAlignment="1" applyProtection="1">
      <alignment horizontal="center" vertical="center"/>
      <protection locked="0"/>
    </xf>
    <xf numFmtId="0" fontId="5" fillId="0" borderId="30" xfId="0" applyFont="1" applyFill="1" applyBorder="1" applyAlignment="1" applyProtection="1">
      <alignment horizontal="center" vertical="top" wrapText="1"/>
      <protection locked="0"/>
    </xf>
    <xf numFmtId="0" fontId="5" fillId="2" borderId="32" xfId="0" applyFont="1" applyFill="1" applyBorder="1" applyAlignment="1">
      <alignment horizontal="center" vertical="center"/>
    </xf>
    <xf numFmtId="0" fontId="5" fillId="0" borderId="36" xfId="0" applyFont="1" applyFill="1" applyBorder="1" applyAlignment="1" applyProtection="1">
      <alignment horizontal="center" vertical="top" wrapText="1"/>
    </xf>
    <xf numFmtId="0" fontId="4"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15" fillId="4" borderId="39" xfId="0" applyFont="1" applyFill="1" applyBorder="1" applyAlignment="1">
      <alignment horizontal="center" vertical="center"/>
    </xf>
    <xf numFmtId="49" fontId="5" fillId="2" borderId="36" xfId="2" applyNumberFormat="1" applyFont="1" applyFill="1" applyBorder="1" applyAlignment="1" applyProtection="1">
      <alignment horizontal="center" vertical="top" wrapText="1"/>
    </xf>
    <xf numFmtId="0" fontId="0" fillId="0" borderId="31" xfId="0" applyBorder="1"/>
    <xf numFmtId="0" fontId="1" fillId="2" borderId="0" xfId="0" applyFont="1" applyFill="1" applyBorder="1" applyAlignment="1">
      <alignment horizontal="center" vertical="center"/>
    </xf>
    <xf numFmtId="0" fontId="25" fillId="2"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35" fillId="2" borderId="13" xfId="0" applyFont="1" applyFill="1" applyBorder="1" applyAlignment="1">
      <alignment horizontal="center" vertical="top" wrapText="1"/>
    </xf>
    <xf numFmtId="0" fontId="5" fillId="2" borderId="0" xfId="0" applyFont="1" applyFill="1" applyBorder="1" applyAlignment="1">
      <alignment horizontal="center" vertical="center"/>
    </xf>
    <xf numFmtId="0" fontId="25" fillId="2" borderId="17" xfId="0" applyFont="1" applyFill="1" applyBorder="1" applyAlignment="1">
      <alignment horizontal="center" vertical="center" wrapText="1"/>
    </xf>
    <xf numFmtId="168" fontId="5" fillId="3" borderId="36" xfId="5" applyNumberFormat="1" applyFont="1" applyFill="1" applyBorder="1" applyAlignment="1" applyProtection="1">
      <alignment horizontal="center" vertical="top" wrapText="1"/>
    </xf>
    <xf numFmtId="168" fontId="5" fillId="3" borderId="2" xfId="5" applyNumberFormat="1" applyFont="1" applyFill="1" applyBorder="1" applyAlignment="1" applyProtection="1">
      <alignment horizontal="center" vertical="top" wrapText="1"/>
    </xf>
    <xf numFmtId="168" fontId="5" fillId="3" borderId="30" xfId="5" applyNumberFormat="1" applyFont="1" applyFill="1" applyBorder="1" applyAlignment="1" applyProtection="1">
      <alignment horizontal="center" vertical="top" wrapText="1"/>
    </xf>
    <xf numFmtId="0" fontId="12" fillId="3" borderId="3" xfId="0" applyFont="1" applyFill="1" applyBorder="1" applyAlignment="1">
      <alignment vertical="center"/>
    </xf>
    <xf numFmtId="0" fontId="4" fillId="3" borderId="13" xfId="0" applyFont="1" applyFill="1" applyBorder="1" applyAlignment="1" applyProtection="1">
      <alignment horizontal="center" vertical="center" wrapText="1"/>
      <protection locked="0"/>
    </xf>
    <xf numFmtId="0" fontId="5" fillId="3" borderId="13" xfId="0" applyFont="1" applyFill="1" applyBorder="1" applyAlignment="1">
      <alignment horizontal="center" vertical="top" wrapText="1"/>
    </xf>
    <xf numFmtId="0" fontId="12" fillId="3" borderId="42" xfId="0" applyFont="1" applyFill="1" applyBorder="1" applyAlignment="1">
      <alignment vertical="center"/>
    </xf>
    <xf numFmtId="0" fontId="26" fillId="0" borderId="0" xfId="0" applyFont="1" applyFill="1" applyBorder="1" applyAlignment="1">
      <alignment horizontal="center" vertical="center"/>
    </xf>
    <xf numFmtId="165" fontId="5" fillId="2" borderId="2" xfId="0" applyNumberFormat="1" applyFont="1" applyFill="1" applyBorder="1" applyAlignment="1">
      <alignment horizontal="center" vertical="top" wrapText="1"/>
    </xf>
    <xf numFmtId="0" fontId="0" fillId="0" borderId="0" xfId="0"/>
    <xf numFmtId="0" fontId="4" fillId="3" borderId="2" xfId="0" applyFont="1" applyFill="1" applyBorder="1" applyAlignment="1">
      <alignment horizontal="left" vertical="center" wrapText="1"/>
    </xf>
    <xf numFmtId="0" fontId="9" fillId="10" borderId="30" xfId="0" applyFont="1" applyFill="1" applyBorder="1" applyAlignment="1">
      <alignment horizontal="center" vertical="center"/>
    </xf>
    <xf numFmtId="0" fontId="9" fillId="10" borderId="13" xfId="0" applyFont="1" applyFill="1" applyBorder="1" applyAlignment="1">
      <alignment horizontal="center" vertical="center"/>
    </xf>
    <xf numFmtId="0" fontId="14" fillId="0" borderId="0" xfId="0" applyFont="1" applyFill="1" applyAlignment="1">
      <alignment horizontal="left" vertical="top"/>
    </xf>
    <xf numFmtId="0" fontId="12" fillId="3" borderId="38"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3" xfId="0" applyFont="1" applyFill="1" applyBorder="1" applyAlignment="1">
      <alignment horizontal="left" vertical="center"/>
    </xf>
    <xf numFmtId="0" fontId="12" fillId="3" borderId="4" xfId="0" applyFont="1" applyFill="1" applyBorder="1" applyAlignment="1">
      <alignment horizontal="left" vertical="center"/>
    </xf>
    <xf numFmtId="0" fontId="12" fillId="3" borderId="21" xfId="0" applyFont="1" applyFill="1" applyBorder="1" applyAlignment="1">
      <alignment horizontal="left" vertical="center"/>
    </xf>
    <xf numFmtId="0" fontId="34" fillId="2" borderId="17" xfId="0" applyFont="1" applyFill="1" applyBorder="1" applyAlignment="1">
      <alignment horizontal="left" vertical="center"/>
    </xf>
    <xf numFmtId="0" fontId="12" fillId="3" borderId="3"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18" xfId="0" applyFont="1" applyFill="1" applyBorder="1" applyAlignment="1" applyProtection="1">
      <alignment horizontal="left" vertical="center"/>
      <protection locked="0"/>
    </xf>
    <xf numFmtId="0" fontId="12" fillId="3" borderId="20" xfId="0" applyFont="1" applyFill="1" applyBorder="1" applyAlignment="1" applyProtection="1">
      <alignment horizontal="left" vertical="center"/>
      <protection locked="0"/>
    </xf>
    <xf numFmtId="0" fontId="33" fillId="2" borderId="17" xfId="0" applyFont="1" applyFill="1" applyBorder="1" applyAlignment="1">
      <alignment horizontal="center" vertical="center" wrapText="1"/>
    </xf>
    <xf numFmtId="0" fontId="12" fillId="3" borderId="40" xfId="0" applyFont="1" applyFill="1" applyBorder="1" applyAlignment="1">
      <alignment horizontal="left" vertical="center"/>
    </xf>
    <xf numFmtId="0" fontId="12" fillId="3" borderId="41" xfId="0" applyFont="1" applyFill="1" applyBorder="1" applyAlignment="1">
      <alignment horizontal="left" vertical="center"/>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24" fillId="9" borderId="27" xfId="0" applyFont="1" applyFill="1" applyBorder="1" applyAlignment="1">
      <alignment horizontal="left" vertical="top" wrapText="1"/>
    </xf>
    <xf numFmtId="0" fontId="24" fillId="9" borderId="28" xfId="0" applyFont="1" applyFill="1" applyBorder="1" applyAlignment="1">
      <alignment horizontal="left" vertical="top" wrapText="1"/>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165" fontId="5" fillId="2" borderId="2" xfId="0" applyNumberFormat="1" applyFont="1" applyFill="1" applyBorder="1" applyAlignment="1" applyProtection="1">
      <alignment horizontal="center" vertical="top" wrapText="1"/>
      <protection locked="0"/>
    </xf>
    <xf numFmtId="0" fontId="7" fillId="4" borderId="43" xfId="0" applyFont="1" applyFill="1" applyBorder="1" applyAlignment="1">
      <alignment horizontal="center" vertical="center"/>
    </xf>
    <xf numFmtId="0" fontId="7" fillId="4" borderId="44" xfId="0" applyFont="1" applyFill="1" applyBorder="1" applyAlignment="1">
      <alignment horizontal="center" vertical="center"/>
    </xf>
    <xf numFmtId="0" fontId="7" fillId="4" borderId="45" xfId="0" applyFont="1" applyFill="1" applyBorder="1" applyAlignment="1">
      <alignment horizontal="center" vertical="center"/>
    </xf>
    <xf numFmtId="0" fontId="0" fillId="0" borderId="2" xfId="0" applyBorder="1" applyAlignment="1">
      <alignment vertical="center" wrapText="1"/>
    </xf>
    <xf numFmtId="0" fontId="9" fillId="10" borderId="34" xfId="0" applyFont="1" applyFill="1" applyBorder="1" applyAlignment="1">
      <alignment horizontal="center" vertical="center"/>
    </xf>
    <xf numFmtId="0" fontId="9" fillId="0" borderId="2" xfId="0" applyFont="1" applyBorder="1" applyAlignment="1">
      <alignment horizontal="center" vertical="center"/>
    </xf>
    <xf numFmtId="0" fontId="0" fillId="0" borderId="0" xfId="0" applyFont="1" applyAlignment="1">
      <alignment horizontal="left" vertical="top" wrapText="1"/>
    </xf>
    <xf numFmtId="0" fontId="0" fillId="0" borderId="13" xfId="0" applyBorder="1" applyAlignment="1">
      <alignment vertical="center" wrapText="1"/>
    </xf>
    <xf numFmtId="0" fontId="9" fillId="0" borderId="0" xfId="0" applyFont="1" applyBorder="1" applyAlignment="1">
      <alignment horizontal="center" vertical="center" wrapText="1"/>
    </xf>
    <xf numFmtId="0" fontId="9" fillId="0" borderId="46" xfId="0" applyFont="1" applyBorder="1" applyAlignment="1">
      <alignment horizontal="center" vertical="center"/>
    </xf>
    <xf numFmtId="0" fontId="0" fillId="0" borderId="14" xfId="0" applyFont="1" applyBorder="1" applyAlignment="1">
      <alignment horizontal="left" vertical="top" wrapText="1"/>
    </xf>
    <xf numFmtId="0" fontId="9" fillId="0" borderId="5" xfId="0" applyFont="1" applyBorder="1" applyAlignment="1">
      <alignment horizontal="center" vertical="center"/>
    </xf>
    <xf numFmtId="0" fontId="0" fillId="0" borderId="12" xfId="0" applyFont="1" applyBorder="1" applyAlignment="1">
      <alignment horizontal="left" vertical="top" wrapText="1"/>
    </xf>
    <xf numFmtId="0" fontId="9" fillId="0" borderId="47" xfId="0" applyFont="1" applyBorder="1" applyAlignment="1">
      <alignment horizontal="center" vertical="center" wrapText="1"/>
    </xf>
    <xf numFmtId="0" fontId="0" fillId="0" borderId="48" xfId="0" applyFont="1" applyBorder="1" applyAlignment="1">
      <alignment horizontal="left" vertical="top" wrapText="1"/>
    </xf>
    <xf numFmtId="0" fontId="0" fillId="0" borderId="14" xfId="0" applyBorder="1" applyAlignment="1">
      <alignment vertical="center" wrapText="1"/>
    </xf>
    <xf numFmtId="0" fontId="0" fillId="0" borderId="12" xfId="0" applyBorder="1" applyAlignment="1">
      <alignment vertical="center" wrapText="1"/>
    </xf>
    <xf numFmtId="0" fontId="0" fillId="0" borderId="48" xfId="0" applyBorder="1" applyAlignment="1">
      <alignment vertical="center" wrapText="1"/>
    </xf>
    <xf numFmtId="0" fontId="9" fillId="0" borderId="46" xfId="0" applyFont="1" applyBorder="1" applyAlignment="1">
      <alignment vertical="center"/>
    </xf>
    <xf numFmtId="0" fontId="9" fillId="0" borderId="5"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vertical="center"/>
    </xf>
    <xf numFmtId="0" fontId="0" fillId="0" borderId="0" xfId="0" applyBorder="1" applyAlignment="1">
      <alignment vertical="center" wrapText="1"/>
    </xf>
    <xf numFmtId="0" fontId="9" fillId="0" borderId="30" xfId="0" applyFont="1" applyBorder="1" applyAlignment="1">
      <alignment vertical="center"/>
    </xf>
    <xf numFmtId="0" fontId="0" fillId="0" borderId="0" xfId="0" applyAlignment="1"/>
    <xf numFmtId="0" fontId="9" fillId="0" borderId="3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5" xfId="0" applyFont="1" applyBorder="1" applyAlignment="1">
      <alignment horizontal="center" vertical="center" wrapText="1"/>
    </xf>
    <xf numFmtId="0" fontId="0" fillId="0" borderId="12" xfId="0" applyFont="1" applyBorder="1" applyAlignment="1">
      <alignment vertical="center" wrapText="1"/>
    </xf>
    <xf numFmtId="0" fontId="0" fillId="0" borderId="48" xfId="0" applyFont="1" applyBorder="1" applyAlignment="1">
      <alignment horizontal="left" vertical="center" wrapText="1"/>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0" fillId="0" borderId="0" xfId="0" applyBorder="1"/>
    <xf numFmtId="0" fontId="36" fillId="2" borderId="5" xfId="0" applyFont="1" applyFill="1" applyBorder="1" applyAlignment="1">
      <alignment horizontal="center" vertical="top"/>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36" fillId="2" borderId="34" xfId="0" applyFont="1" applyFill="1" applyBorder="1" applyAlignment="1">
      <alignment horizontal="center" vertical="top"/>
    </xf>
    <xf numFmtId="0" fontId="36" fillId="2" borderId="13" xfId="0" applyFont="1" applyFill="1" applyBorder="1" applyAlignment="1">
      <alignment horizontal="center" vertical="top"/>
    </xf>
    <xf numFmtId="0" fontId="36" fillId="2" borderId="34" xfId="0" applyFont="1" applyFill="1" applyBorder="1" applyAlignment="1">
      <alignment horizontal="center" vertical="top"/>
    </xf>
    <xf numFmtId="0" fontId="37" fillId="2" borderId="30" xfId="0" applyFont="1" applyFill="1" applyBorder="1" applyAlignment="1">
      <alignment horizontal="center" vertical="top"/>
    </xf>
    <xf numFmtId="0" fontId="37" fillId="2" borderId="34" xfId="0" applyFont="1" applyFill="1" applyBorder="1" applyAlignment="1">
      <alignment horizontal="center" vertical="top"/>
    </xf>
    <xf numFmtId="0" fontId="37" fillId="2" borderId="13" xfId="0" applyFont="1" applyFill="1" applyBorder="1" applyAlignment="1">
      <alignment horizontal="center" vertical="top"/>
    </xf>
  </cellXfs>
  <cellStyles count="10">
    <cellStyle name="Comma" xfId="1" builtinId="3"/>
    <cellStyle name="Comma 2" xfId="7" xr:uid="{E17F2546-F9B5-4ED1-B538-CE8969D905FD}"/>
    <cellStyle name="Comma 3" xfId="4" xr:uid="{9F3620BC-6570-4821-A109-B7C59E51EC5E}"/>
    <cellStyle name="Comma 3 2" xfId="8" xr:uid="{BEEFE6D0-C743-4AB3-B200-F1B4B9E3D76B}"/>
    <cellStyle name="Currency" xfId="5" builtinId="4"/>
    <cellStyle name="Currency 2" xfId="9" xr:uid="{AA365B12-D43F-49E5-88F6-02A9FECC099C}"/>
    <cellStyle name="Normal" xfId="0" builtinId="0"/>
    <cellStyle name="Normal 2 4" xfId="6" xr:uid="{7FC29283-96A4-4073-9126-33BE5960D54B}"/>
    <cellStyle name="Normal 6" xfId="3" xr:uid="{E7BD5715-E06F-4718-B724-93599D421480}"/>
    <cellStyle name="Percent" xfId="2" builtinId="5"/>
  </cellStyles>
  <dxfs count="40">
    <dxf>
      <fill>
        <patternFill>
          <bgColor rgb="FFFF0000"/>
        </patternFill>
      </fill>
    </dxf>
    <dxf>
      <fill>
        <patternFill>
          <bgColor rgb="FF893BC3"/>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theme="0" tint="-0.24994659260841701"/>
        </patternFill>
      </fill>
    </dxf>
    <dxf>
      <fill>
        <patternFill>
          <bgColor rgb="FFFF0000"/>
        </patternFill>
      </fill>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colors>
    <mruColors>
      <color rgb="FF893BC3"/>
      <color rgb="FF8C3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39">
  <autoFilter ref="A4:E29" xr:uid="{D7979BA2-5FA0-47BC-B88F-AD5C45D85D62}"/>
  <tableColumns count="5">
    <tableColumn id="2" xr3:uid="{99834B35-951E-4502-A771-3689BFB7D62F}" name="Name " dataDxfId="38"/>
    <tableColumn id="1" xr3:uid="{6AB9033E-F018-4C58-886E-9609663EFA86}" name="Role" dataDxfId="37"/>
    <tableColumn id="3" xr3:uid="{0419F9DE-D756-4638-A048-C435C33D4D34}" name="Title " dataDxfId="36"/>
    <tableColumn id="4" xr3:uid="{2F5FA33B-5CD4-42A0-9444-5EAD2A474103}" name="Email " dataDxfId="35"/>
    <tableColumn id="5" xr3:uid="{415C1599-E34E-4EAC-9960-CC647B2DD4C5}" name="Phone " dataDxfId="34"/>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D83-D47B-4F41-B910-6D2A63C600F2}">
  <sheetPr codeName="Sheet1"/>
  <dimension ref="A1"/>
  <sheetViews>
    <sheetView workbookViewId="0"/>
  </sheetViews>
  <sheetFormatPr defaultRowHeight="15" x14ac:dyDescent="0.25"/>
  <sheetData>
    <row r="1" spans="1:1" x14ac:dyDescent="0.25">
      <c r="A1"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A51F-45BC-4E25-B367-60D0EF6583CD}">
  <sheetPr codeName="Sheet3"/>
  <dimension ref="A1:E96"/>
  <sheetViews>
    <sheetView tabSelected="1" zoomScale="140" zoomScaleNormal="140" workbookViewId="0">
      <selection activeCell="B12" sqref="B12"/>
    </sheetView>
  </sheetViews>
  <sheetFormatPr defaultRowHeight="15" x14ac:dyDescent="0.25"/>
  <cols>
    <col min="1" max="1" width="7" style="53" bestFit="1" customWidth="1"/>
    <col min="2" max="2" width="30.5703125" style="6" customWidth="1"/>
    <col min="3" max="3" width="82.85546875" style="211" customWidth="1"/>
    <col min="5" max="5" width="20.28515625" customWidth="1"/>
  </cols>
  <sheetData>
    <row r="1" spans="1:5" s="184" customFormat="1" ht="30" x14ac:dyDescent="0.25">
      <c r="A1" s="246" t="s">
        <v>509</v>
      </c>
      <c r="B1" s="247"/>
      <c r="C1" s="247"/>
      <c r="D1" s="247"/>
    </row>
    <row r="2" spans="1:5" s="184" customFormat="1" x14ac:dyDescent="0.25">
      <c r="A2" s="53"/>
      <c r="B2" s="6"/>
      <c r="C2" s="211"/>
    </row>
    <row r="3" spans="1:5" s="184" customFormat="1" x14ac:dyDescent="0.25">
      <c r="A3" s="53"/>
      <c r="B3" s="6"/>
      <c r="C3" s="211"/>
    </row>
    <row r="4" spans="1:5" s="184" customFormat="1" ht="60" x14ac:dyDescent="0.25">
      <c r="A4" s="53"/>
      <c r="B4" s="236" t="s">
        <v>488</v>
      </c>
      <c r="C4" s="220" t="s">
        <v>519</v>
      </c>
    </row>
    <row r="5" spans="1:5" s="184" customFormat="1" x14ac:dyDescent="0.25">
      <c r="A5" s="53"/>
      <c r="B5" s="6"/>
      <c r="C5" s="211"/>
    </row>
    <row r="6" spans="1:5" s="184" customFormat="1" x14ac:dyDescent="0.25">
      <c r="A6" s="53"/>
      <c r="B6" s="218" t="s">
        <v>501</v>
      </c>
      <c r="C6" s="218"/>
    </row>
    <row r="7" spans="1:5" s="184" customFormat="1" ht="195" x14ac:dyDescent="0.25">
      <c r="A7" s="53"/>
      <c r="B7" s="222" t="s">
        <v>502</v>
      </c>
      <c r="C7" s="223" t="s">
        <v>520</v>
      </c>
    </row>
    <row r="8" spans="1:5" s="184" customFormat="1" ht="75" x14ac:dyDescent="0.25">
      <c r="A8" s="53"/>
      <c r="B8" s="224" t="s">
        <v>503</v>
      </c>
      <c r="C8" s="225" t="s">
        <v>521</v>
      </c>
    </row>
    <row r="9" spans="1:5" s="184" customFormat="1" ht="165" x14ac:dyDescent="0.25">
      <c r="A9" s="53"/>
      <c r="B9" s="226" t="s">
        <v>504</v>
      </c>
      <c r="C9" s="227" t="s">
        <v>522</v>
      </c>
    </row>
    <row r="10" spans="1:5" s="184" customFormat="1" x14ac:dyDescent="0.25">
      <c r="A10" s="53"/>
      <c r="B10" s="221"/>
      <c r="C10" s="219"/>
    </row>
    <row r="11" spans="1:5" s="184" customFormat="1" x14ac:dyDescent="0.25">
      <c r="A11" s="53"/>
      <c r="B11" s="238" t="s">
        <v>506</v>
      </c>
      <c r="C11" s="239"/>
    </row>
    <row r="12" spans="1:5" s="184" customFormat="1" ht="150" x14ac:dyDescent="0.25">
      <c r="A12" s="53"/>
      <c r="B12" s="240" t="s">
        <v>507</v>
      </c>
      <c r="C12" s="241" t="s">
        <v>523</v>
      </c>
      <c r="E12" s="237"/>
    </row>
    <row r="13" spans="1:5" s="184" customFormat="1" ht="225" x14ac:dyDescent="0.25">
      <c r="A13" s="53"/>
      <c r="B13" s="226" t="s">
        <v>508</v>
      </c>
      <c r="C13" s="242" t="s">
        <v>548</v>
      </c>
    </row>
    <row r="14" spans="1:5" s="184" customFormat="1" x14ac:dyDescent="0.25">
      <c r="A14" s="53"/>
      <c r="B14" s="221"/>
      <c r="C14" s="219"/>
    </row>
    <row r="15" spans="1:5" s="184" customFormat="1" ht="30" x14ac:dyDescent="0.25">
      <c r="A15" s="248" t="s">
        <v>536</v>
      </c>
      <c r="B15" s="249"/>
      <c r="C15" s="249"/>
      <c r="D15" s="250"/>
    </row>
    <row r="16" spans="1:5" s="245" customFormat="1" ht="30" x14ac:dyDescent="0.25">
      <c r="A16" s="243"/>
      <c r="B16" s="243"/>
      <c r="C16" s="243"/>
    </row>
    <row r="17" spans="1:4" s="184" customFormat="1" x14ac:dyDescent="0.25">
      <c r="A17" s="53"/>
      <c r="B17" s="218" t="s">
        <v>505</v>
      </c>
      <c r="C17" s="218"/>
    </row>
    <row r="18" spans="1:4" s="184" customFormat="1" ht="60" x14ac:dyDescent="0.25">
      <c r="A18" s="53"/>
      <c r="B18" s="231" t="s">
        <v>489</v>
      </c>
      <c r="C18" s="228" t="s">
        <v>524</v>
      </c>
    </row>
    <row r="19" spans="1:4" s="184" customFormat="1" ht="30" x14ac:dyDescent="0.25">
      <c r="A19" s="53"/>
      <c r="B19" s="232" t="s">
        <v>490</v>
      </c>
      <c r="C19" s="229" t="s">
        <v>525</v>
      </c>
    </row>
    <row r="20" spans="1:4" s="184" customFormat="1" ht="45" x14ac:dyDescent="0.25">
      <c r="A20" s="53"/>
      <c r="B20" s="232" t="s">
        <v>491</v>
      </c>
      <c r="C20" s="229" t="s">
        <v>537</v>
      </c>
    </row>
    <row r="21" spans="1:4" s="184" customFormat="1" ht="45" x14ac:dyDescent="0.25">
      <c r="A21" s="53"/>
      <c r="B21" s="232" t="s">
        <v>492</v>
      </c>
      <c r="C21" s="229" t="s">
        <v>500</v>
      </c>
    </row>
    <row r="22" spans="1:4" s="184" customFormat="1" ht="30" x14ac:dyDescent="0.25">
      <c r="A22" s="53"/>
      <c r="B22" s="233" t="s">
        <v>493</v>
      </c>
      <c r="C22" s="230" t="s">
        <v>526</v>
      </c>
    </row>
    <row r="23" spans="1:4" s="184" customFormat="1" x14ac:dyDescent="0.25">
      <c r="A23" s="53"/>
      <c r="B23" s="234"/>
      <c r="C23" s="235"/>
    </row>
    <row r="24" spans="1:4" s="184" customFormat="1" ht="22.5" x14ac:dyDescent="0.25">
      <c r="A24" s="252" t="s">
        <v>528</v>
      </c>
      <c r="B24" s="253"/>
      <c r="C24" s="253"/>
      <c r="D24" s="254"/>
    </row>
    <row r="25" spans="1:4" s="184" customFormat="1" ht="11.25" customHeight="1" x14ac:dyDescent="0.25">
      <c r="A25" s="244"/>
      <c r="B25" s="251"/>
      <c r="C25" s="251"/>
      <c r="D25" s="243"/>
    </row>
    <row r="26" spans="1:4" s="184" customFormat="1" x14ac:dyDescent="0.25">
      <c r="A26" s="186" t="str">
        <f>'Basic Project Info'!A2</f>
        <v>Section 1: Project Details</v>
      </c>
      <c r="B26" s="217"/>
      <c r="C26" s="187"/>
    </row>
    <row r="27" spans="1:4" s="184" customFormat="1" ht="45" x14ac:dyDescent="0.25">
      <c r="A27" s="37" t="s">
        <v>417</v>
      </c>
      <c r="B27" s="185" t="str">
        <f>_xlfn.XLOOKUP(A27,'Basic Project Info'!$A$3:$L$3, 'Basic Project Info'!$A$4:$L$4)</f>
        <v>Project ID</v>
      </c>
      <c r="C27" s="216" t="str">
        <f>C44</f>
        <v>Automatically generated and uneditable. Each project is assigned a unique ID for tracking throughout its lifecycle. The ID displayed here is the ID for the construction portion of the project.</v>
      </c>
    </row>
    <row r="28" spans="1:4" s="184" customFormat="1" ht="30" x14ac:dyDescent="0.25">
      <c r="A28" s="37" t="str">
        <f>"Col " &amp; ROW() -ROW($A$27)+1</f>
        <v>Col 2</v>
      </c>
      <c r="B28" s="185" t="str">
        <f>_xlfn.XLOOKUP(A28,'Basic Project Info'!$A$3:$L$3, 'Basic Project Info'!$A$4:$L$4)</f>
        <v>Project Name</v>
      </c>
      <c r="C28" s="216" t="s">
        <v>529</v>
      </c>
    </row>
    <row r="29" spans="1:4" s="184" customFormat="1" ht="60" x14ac:dyDescent="0.25">
      <c r="A29" s="37" t="str">
        <f>"Col " &amp; ROW() -ROW($A$27)+1</f>
        <v>Col 3</v>
      </c>
      <c r="B29" s="185" t="str">
        <f>_xlfn.XLOOKUP(A29,'Basic Project Info'!$A$3:$L$3, 'Basic Project Info'!$A$4:$L$4)</f>
        <v>Official School Name</v>
      </c>
      <c r="C29" s="216" t="s">
        <v>538</v>
      </c>
    </row>
    <row r="30" spans="1:4" s="184" customFormat="1" ht="30" x14ac:dyDescent="0.25">
      <c r="A30" s="37" t="str">
        <f>"Col " &amp; ROW() -ROW($A$27)+1</f>
        <v>Col 4</v>
      </c>
      <c r="B30" s="185" t="str">
        <f>_xlfn.XLOOKUP(A30,'Basic Project Info'!$A$3:$L$3, 'Basic Project Info'!$A$4:$L$4)</f>
        <v>Project Type</v>
      </c>
      <c r="C30" s="216" t="str">
        <f>C47</f>
        <v>Automatically generated and uneditable. Project types potentially included in this tracker are: New Construction, Retrofit, Addition, and Purchase.</v>
      </c>
    </row>
    <row r="31" spans="1:4" s="184" customFormat="1" ht="45" x14ac:dyDescent="0.25">
      <c r="A31" s="37" t="str">
        <f>"Col " &amp; ROW() -ROW($A$27)+1</f>
        <v>Col 5</v>
      </c>
      <c r="B31" s="185" t="str">
        <f>_xlfn.XLOOKUP(A31,'Basic Project Info'!$A$3:$L$3, 'Basic Project Info'!$A$4:$L$4)</f>
        <v xml:space="preserve">Project Category </v>
      </c>
      <c r="C31" s="216" t="str">
        <f>C48</f>
        <v>Automatically generated and uneditable. This field identifies the need that is met by the project. Potential project categories that could be included on this tracker are: Accommodation Pressure, Child Care, Facility Condition, Consolidation, and French Language Access.</v>
      </c>
    </row>
    <row r="32" spans="1:4" s="184" customFormat="1" x14ac:dyDescent="0.25">
      <c r="A32" s="37" t="str">
        <f>"Col " &amp; ROW() -ROW($A$27)+1</f>
        <v>Col 6</v>
      </c>
      <c r="B32" s="185" t="str">
        <f>_xlfn.XLOOKUP(A32,'Basic Project Info'!$A$3:$L$3, 'Basic Project Info'!$A$4:$L$4)</f>
        <v>Address</v>
      </c>
      <c r="C32" s="216" t="s">
        <v>512</v>
      </c>
    </row>
    <row r="33" spans="1:4" s="184" customFormat="1" ht="45" x14ac:dyDescent="0.25">
      <c r="A33" s="37" t="str">
        <f>"Col " &amp; ROW() -ROW($A$27)+1</f>
        <v>Col 7</v>
      </c>
      <c r="B33" s="185" t="str">
        <f>_xlfn.XLOOKUP(A33,'Basic Project Info'!$A$3:$L$3, 'Basic Project Info'!$A$4:$L$4)</f>
        <v xml:space="preserve">City </v>
      </c>
      <c r="C33" s="216" t="s">
        <v>530</v>
      </c>
    </row>
    <row r="34" spans="1:4" s="184" customFormat="1" x14ac:dyDescent="0.25">
      <c r="A34" s="37" t="str">
        <f>"Col " &amp; ROW() -ROW($A$27)+1</f>
        <v>Col 8</v>
      </c>
      <c r="B34" s="185" t="str">
        <f>_xlfn.XLOOKUP(A34,'Basic Project Info'!$A$3:$L$3, 'Basic Project Info'!$A$4:$L$4)</f>
        <v>Postal Code</v>
      </c>
      <c r="C34" s="216" t="s">
        <v>511</v>
      </c>
    </row>
    <row r="35" spans="1:4" s="184" customFormat="1" ht="30" x14ac:dyDescent="0.25">
      <c r="A35" s="37" t="str">
        <f>"Col " &amp; ROW() -ROW($A$27)+1</f>
        <v>Col 9</v>
      </c>
      <c r="B35" s="185" t="str">
        <f>_xlfn.XLOOKUP(A35,'Basic Project Info'!$A$3:$L$3, 'Basic Project Info'!$A$4:$L$4)</f>
        <v>Latitude</v>
      </c>
      <c r="C35" s="216" t="s">
        <v>514</v>
      </c>
    </row>
    <row r="36" spans="1:4" s="184" customFormat="1" ht="30" x14ac:dyDescent="0.25">
      <c r="A36" s="37" t="str">
        <f>"Col " &amp; ROW() -ROW($A$27)+1</f>
        <v>Col 10</v>
      </c>
      <c r="B36" s="185" t="str">
        <f>_xlfn.XLOOKUP(A36,'Basic Project Info'!$A$3:$L$3, 'Basic Project Info'!$A$4:$L$4)</f>
        <v>Longitude</v>
      </c>
      <c r="C36" s="216" t="s">
        <v>513</v>
      </c>
    </row>
    <row r="37" spans="1:4" s="184" customFormat="1" x14ac:dyDescent="0.25">
      <c r="A37" s="186" t="str">
        <f>'Basic Project Info'!K2</f>
        <v>Section 2: Communications Issues</v>
      </c>
      <c r="B37" s="217"/>
      <c r="C37" s="187"/>
    </row>
    <row r="38" spans="1:4" s="184" customFormat="1" x14ac:dyDescent="0.25">
      <c r="A38" s="37" t="str">
        <f>"Col " &amp; ROW() -ROW($A$27)</f>
        <v>Col 11</v>
      </c>
      <c r="B38" s="185" t="str">
        <f>_xlfn.XLOOKUP(A38,'Basic Project Info'!$A$3:$L$3, 'Basic Project Info'!$A$4:$L$4)</f>
        <v>Sign Installed</v>
      </c>
      <c r="C38" s="216" t="s">
        <v>515</v>
      </c>
    </row>
    <row r="39" spans="1:4" s="184" customFormat="1" ht="30" x14ac:dyDescent="0.25">
      <c r="A39" s="37" t="str">
        <f>"Col " &amp; ROW() -ROW($A$27)</f>
        <v>Col 12</v>
      </c>
      <c r="B39" s="185" t="str">
        <f>_xlfn.XLOOKUP(A39,'Basic Project Info'!$A$3:$L$3, 'Basic Project Info'!$A$4:$L$4)</f>
        <v>Opening Ceremony - Date</v>
      </c>
      <c r="C39" s="216" t="s">
        <v>539</v>
      </c>
    </row>
    <row r="41" spans="1:4" s="184" customFormat="1" ht="22.5" x14ac:dyDescent="0.25">
      <c r="A41" s="252" t="s">
        <v>527</v>
      </c>
      <c r="B41" s="253"/>
      <c r="C41" s="253"/>
      <c r="D41" s="254"/>
    </row>
    <row r="42" spans="1:4" s="184" customFormat="1" ht="11.25" customHeight="1" x14ac:dyDescent="0.25">
      <c r="A42" s="244"/>
      <c r="B42" s="251"/>
      <c r="C42" s="251"/>
      <c r="D42" s="243"/>
    </row>
    <row r="43" spans="1:4" x14ac:dyDescent="0.25">
      <c r="A43" s="186" t="str">
        <f>'Monthly Update'!A5</f>
        <v>Section 1: Project Details</v>
      </c>
      <c r="B43" s="217"/>
      <c r="C43" s="187"/>
    </row>
    <row r="44" spans="1:4" ht="45" x14ac:dyDescent="0.25">
      <c r="A44" s="37" t="s">
        <v>417</v>
      </c>
      <c r="B44" s="71" t="str">
        <f>_xlfn.XLOOKUP(A44, 'Monthly Update'!$A$6:$AU$6, 'Monthly Update'!$A$7:$AU$7)</f>
        <v>Project ID</v>
      </c>
      <c r="C44" s="216" t="s">
        <v>540</v>
      </c>
    </row>
    <row r="45" spans="1:4" ht="45" x14ac:dyDescent="0.25">
      <c r="A45" s="37" t="s">
        <v>418</v>
      </c>
      <c r="B45" s="185" t="str">
        <f>_xlfn.XLOOKUP(A45, 'Monthly Update'!$A$6:$AU$6, 'Monthly Update'!$A$7:$AU$7)</f>
        <v>Project Name</v>
      </c>
      <c r="C45" s="216" t="s">
        <v>541</v>
      </c>
    </row>
    <row r="46" spans="1:4" x14ac:dyDescent="0.25">
      <c r="A46" s="37" t="s">
        <v>419</v>
      </c>
      <c r="B46" s="185" t="str">
        <f>_xlfn.XLOOKUP(A46, 'Monthly Update'!$A$6:$AU$6, 'Monthly Update'!$A$7:$AU$7)</f>
        <v>Meeting Minutes</v>
      </c>
      <c r="C46" s="216" t="s">
        <v>462</v>
      </c>
    </row>
    <row r="47" spans="1:4" ht="30" x14ac:dyDescent="0.25">
      <c r="A47" s="37" t="s">
        <v>420</v>
      </c>
      <c r="B47" s="185" t="str">
        <f>_xlfn.XLOOKUP(A47, 'Monthly Update'!$A$6:$AU$6, 'Monthly Update'!$A$7:$AU$7)</f>
        <v>Project Type</v>
      </c>
      <c r="C47" s="216" t="s">
        <v>478</v>
      </c>
    </row>
    <row r="48" spans="1:4" ht="60" x14ac:dyDescent="0.25">
      <c r="A48" s="37" t="s">
        <v>421</v>
      </c>
      <c r="B48" s="185" t="str">
        <f>_xlfn.XLOOKUP(A48, 'Monthly Update'!$A$6:$AU$6, 'Monthly Update'!$A$7:$AU$7)</f>
        <v xml:space="preserve">Project Category </v>
      </c>
      <c r="C48" s="216" t="s">
        <v>479</v>
      </c>
    </row>
    <row r="49" spans="1:3" ht="60" x14ac:dyDescent="0.25">
      <c r="A49" s="37" t="s">
        <v>422</v>
      </c>
      <c r="B49" s="185" t="str">
        <f>_xlfn.XLOOKUP(A49, 'Monthly Update'!$A$6:$AU$6, 'Monthly Update'!$A$7:$AU$7)</f>
        <v>Record Status</v>
      </c>
      <c r="C49" s="216" t="s">
        <v>531</v>
      </c>
    </row>
    <row r="50" spans="1:3" ht="60" x14ac:dyDescent="0.25">
      <c r="A50" s="37" t="s">
        <v>423</v>
      </c>
      <c r="B50" s="185" t="str">
        <f>_xlfn.XLOOKUP(A50, 'Monthly Update'!$A$6:$AU$6, 'Monthly Update'!$A$7:$AU$7)</f>
        <v>Construction Status</v>
      </c>
      <c r="C50" s="216" t="s">
        <v>463</v>
      </c>
    </row>
    <row r="51" spans="1:3" x14ac:dyDescent="0.25">
      <c r="A51" s="186" t="str">
        <f>'Monthly Update'!H5</f>
        <v>Section 2: Project Commitment Progress</v>
      </c>
      <c r="B51" s="217"/>
      <c r="C51" s="187"/>
    </row>
    <row r="52" spans="1:3" ht="30" x14ac:dyDescent="0.25">
      <c r="A52" s="37" t="s">
        <v>424</v>
      </c>
      <c r="B52" s="185" t="str">
        <f>_xlfn.XLOOKUP(A52, 'Monthly Update'!$A$6:$AU$6, 'Monthly Update'!$A$7:$AU$7)</f>
        <v>Pre-Tender Submission Date</v>
      </c>
      <c r="C52" s="216" t="s">
        <v>484</v>
      </c>
    </row>
    <row r="53" spans="1:3" ht="30" x14ac:dyDescent="0.25">
      <c r="A53" s="37" t="s">
        <v>397</v>
      </c>
      <c r="B53" s="185" t="str">
        <f>_xlfn.XLOOKUP(A53, 'Monthly Update'!$A$6:$AU$6, 'Monthly Update'!$A$7:$AU$7)</f>
        <v>Pre-Tender Package Type</v>
      </c>
      <c r="C53" s="216" t="s">
        <v>464</v>
      </c>
    </row>
    <row r="54" spans="1:3" s="6" customFormat="1" ht="45" x14ac:dyDescent="0.25">
      <c r="A54" s="37" t="s">
        <v>425</v>
      </c>
      <c r="B54" s="185" t="str">
        <f>_xlfn.XLOOKUP(A54, 'Monthly Update'!$A$6:$AU$6, 'Monthly Update'!$A$7:$AU$7)</f>
        <v>Pre-Tender Package Complete</v>
      </c>
      <c r="C54" s="216" t="s">
        <v>542</v>
      </c>
    </row>
    <row r="55" spans="1:3" ht="30" x14ac:dyDescent="0.25">
      <c r="A55" s="37" t="s">
        <v>398</v>
      </c>
      <c r="B55" s="185" t="str">
        <f>_xlfn.XLOOKUP(A55, 'Monthly Update'!$A$6:$AU$6, 'Monthly Update'!$A$7:$AU$7)</f>
        <v>CA Reviewed All Pre-Tender Documents</v>
      </c>
      <c r="C55" s="216" t="s">
        <v>467</v>
      </c>
    </row>
    <row r="56" spans="1:3" ht="30" x14ac:dyDescent="0.25">
      <c r="A56" s="37" t="s">
        <v>399</v>
      </c>
      <c r="B56" s="185" t="str">
        <f>_xlfn.XLOOKUP(A56, 'Monthly Update'!$A$6:$AU$6, 'Monthly Update'!$A$7:$AU$7)</f>
        <v>Post-Tender Submission Date</v>
      </c>
      <c r="C56" s="216" t="s">
        <v>485</v>
      </c>
    </row>
    <row r="57" spans="1:3" ht="30" x14ac:dyDescent="0.25">
      <c r="A57" s="37" t="s">
        <v>426</v>
      </c>
      <c r="B57" s="185" t="str">
        <f>_xlfn.XLOOKUP(A57, 'Monthly Update'!$A$6:$AU$6, 'Monthly Update'!$A$7:$AU$7)</f>
        <v>Post-Tender Package Type</v>
      </c>
      <c r="C57" s="216" t="s">
        <v>465</v>
      </c>
    </row>
    <row r="58" spans="1:3" ht="45" x14ac:dyDescent="0.25">
      <c r="A58" s="37" t="s">
        <v>427</v>
      </c>
      <c r="B58" s="185" t="str">
        <f>_xlfn.XLOOKUP(A58, 'Monthly Update'!$A$6:$AU$6, 'Monthly Update'!$A$7:$AU$7)</f>
        <v>Post-Tender Package Complete</v>
      </c>
      <c r="C58" s="216" t="s">
        <v>543</v>
      </c>
    </row>
    <row r="59" spans="1:3" ht="30" x14ac:dyDescent="0.25">
      <c r="A59" s="37" t="s">
        <v>428</v>
      </c>
      <c r="B59" s="185" t="str">
        <f>_xlfn.XLOOKUP(A59, 'Monthly Update'!$A$6:$AU$6, 'Monthly Update'!$A$7:$AU$7)</f>
        <v>CA Reviewed All Post-Tender Documents</v>
      </c>
      <c r="C59" s="216" t="s">
        <v>466</v>
      </c>
    </row>
    <row r="60" spans="1:3" x14ac:dyDescent="0.25">
      <c r="A60" s="186" t="str">
        <f>'Monthly Update'!P5</f>
        <v xml:space="preserve">Section 3: Pre-Tender </v>
      </c>
      <c r="B60" s="217"/>
      <c r="C60" s="187"/>
    </row>
    <row r="61" spans="1:3" ht="30" x14ac:dyDescent="0.25">
      <c r="A61" s="37" t="s">
        <v>429</v>
      </c>
      <c r="B61" s="185" t="str">
        <f>_xlfn.XLOOKUP(A61, 'Monthly Update'!$A$6:$AU$6, 'Monthly Update'!$A$7:$AU$7)</f>
        <v>Site Ownership Status</v>
      </c>
      <c r="C61" s="216" t="s">
        <v>468</v>
      </c>
    </row>
    <row r="62" spans="1:3" ht="30" x14ac:dyDescent="0.25">
      <c r="A62" s="37" t="s">
        <v>430</v>
      </c>
      <c r="B62" s="185" t="str">
        <f>_xlfn.XLOOKUP(A62, 'Monthly Update'!$A$6:$AU$6, 'Monthly Update'!$A$7:$AU$7)</f>
        <v>Site Purchase Date</v>
      </c>
      <c r="C62" s="216" t="s">
        <v>480</v>
      </c>
    </row>
    <row r="63" spans="1:3" x14ac:dyDescent="0.25">
      <c r="A63" s="37" t="s">
        <v>431</v>
      </c>
      <c r="B63" s="185" t="str">
        <f>_xlfn.XLOOKUP(A63, 'Monthly Update'!$A$6:$AU$6, 'Monthly Update'!$A$7:$AU$7)</f>
        <v xml:space="preserve">Design Status </v>
      </c>
      <c r="C63" s="216" t="s">
        <v>469</v>
      </c>
    </row>
    <row r="64" spans="1:3" ht="30" x14ac:dyDescent="0.25">
      <c r="A64" s="37" t="s">
        <v>432</v>
      </c>
      <c r="B64" s="185" t="str">
        <f>_xlfn.XLOOKUP(A64, 'Monthly Update'!$A$6:$AU$6, 'Monthly Update'!$A$7:$AU$7)</f>
        <v>Space Template Approval Date</v>
      </c>
      <c r="C64" s="216" t="s">
        <v>481</v>
      </c>
    </row>
    <row r="65" spans="1:3" ht="30" x14ac:dyDescent="0.25">
      <c r="A65" s="37" t="s">
        <v>433</v>
      </c>
      <c r="B65" s="185" t="str">
        <f>_xlfn.XLOOKUP(A65, 'Monthly Update'!$A$6:$AU$6, 'Monthly Update'!$A$7:$AU$7)</f>
        <v xml:space="preserve">Child Care Floorplan Approval Date </v>
      </c>
      <c r="C65" s="216" t="s">
        <v>482</v>
      </c>
    </row>
    <row r="66" spans="1:3" ht="30" x14ac:dyDescent="0.25">
      <c r="A66" s="37" t="s">
        <v>434</v>
      </c>
      <c r="B66" s="185" t="str">
        <f>_xlfn.XLOOKUP(A66, 'Monthly Update'!$A$6:$AU$6, 'Monthly Update'!$A$7:$AU$7)</f>
        <v>Initial Site Plan Submission Date</v>
      </c>
      <c r="C66" s="216" t="s">
        <v>472</v>
      </c>
    </row>
    <row r="67" spans="1:3" x14ac:dyDescent="0.25">
      <c r="A67" s="37" t="s">
        <v>435</v>
      </c>
      <c r="B67" s="185" t="str">
        <f>_xlfn.XLOOKUP(A67, 'Monthly Update'!$A$6:$AU$6, 'Monthly Update'!$A$7:$AU$7)</f>
        <v>Site Plan Approval Date</v>
      </c>
      <c r="C67" s="216" t="s">
        <v>471</v>
      </c>
    </row>
    <row r="68" spans="1:3" ht="45" x14ac:dyDescent="0.25">
      <c r="A68" s="37" t="s">
        <v>436</v>
      </c>
      <c r="B68" s="185" t="str">
        <f>_xlfn.XLOOKUP(A68, 'Monthly Update'!$A$6:$AU$6, 'Monthly Update'!$A$7:$AU$7)</f>
        <v>Site Plan Approval Date Error Explanation</v>
      </c>
      <c r="C68" s="216" t="str">
        <f>"Use the field only if "&amp; A67&amp; " ("&amp;B67&amp;") indicates an error (cell is highlighted in purple) but you believe the information is correct, explain the descrpancy in this cell and it will remove the error formatting in "&amp;A67&amp;"."</f>
        <v>Use the field only if Col 22 (Site Plan Approval Date) indicates an error (cell is highlighted in purple) but you believe the information is correct, explain the descrpancy in this cell and it will remove the error formatting in Col 22.</v>
      </c>
    </row>
    <row r="69" spans="1:3" ht="30" x14ac:dyDescent="0.25">
      <c r="A69" s="37" t="s">
        <v>437</v>
      </c>
      <c r="B69" s="185" t="str">
        <f>_xlfn.XLOOKUP(A69, 'Monthly Update'!$A$6:$AU$6, 'Monthly Update'!$A$7:$AU$7)</f>
        <v>Build Permit Obtained Date</v>
      </c>
      <c r="C69" s="216" t="s">
        <v>473</v>
      </c>
    </row>
    <row r="70" spans="1:3" ht="45" x14ac:dyDescent="0.25">
      <c r="A70" s="37" t="s">
        <v>438</v>
      </c>
      <c r="B70" s="185" t="str">
        <f>_xlfn.XLOOKUP(A70, 'Monthly Update'!$A$6:$AU$6, 'Monthly Update'!$A$7:$AU$7)</f>
        <v>Build Permit Obtained Date Error Explanation</v>
      </c>
      <c r="C70" s="216" t="str">
        <f>"Use the field only if "&amp; A69&amp; " ("&amp;B69&amp;") indicates an error (cell is highlighted in purple) but you believe the information is correct, explain the descrpancy in this cell and it will remove the error formatting in "&amp;A69&amp;"."</f>
        <v>Use the field only if Col 24 (Build Permit Obtained Date) indicates an error (cell is highlighted in purple) but you believe the information is correct, explain the descrpancy in this cell and it will remove the error formatting in Col 24.</v>
      </c>
    </row>
    <row r="71" spans="1:3" ht="30" x14ac:dyDescent="0.25">
      <c r="A71" s="37" t="s">
        <v>439</v>
      </c>
      <c r="B71" s="185" t="str">
        <f>_xlfn.XLOOKUP(A71, 'Monthly Update'!$A$6:$AU$6, 'Monthly Update'!$A$7:$AU$7)</f>
        <v xml:space="preserve">Tender Issued Date </v>
      </c>
      <c r="C71" s="216" t="s">
        <v>474</v>
      </c>
    </row>
    <row r="72" spans="1:3" ht="30" x14ac:dyDescent="0.25">
      <c r="A72" s="37" t="s">
        <v>440</v>
      </c>
      <c r="B72" s="185" t="str">
        <f>_xlfn.XLOOKUP(A72, 'Monthly Update'!$A$6:$AU$6, 'Monthly Update'!$A$7:$AU$7)</f>
        <v>Tender Closed Date</v>
      </c>
      <c r="C72" s="216" t="s">
        <v>475</v>
      </c>
    </row>
    <row r="73" spans="1:3" x14ac:dyDescent="0.25">
      <c r="A73" s="186" t="str">
        <f>'Monthly Update'!AB5</f>
        <v>Section 4: Construction</v>
      </c>
      <c r="B73" s="217"/>
      <c r="C73" s="187"/>
    </row>
    <row r="74" spans="1:3" ht="30" x14ac:dyDescent="0.25">
      <c r="A74" s="37" t="s">
        <v>441</v>
      </c>
      <c r="B74" s="185" t="str">
        <f>_xlfn.XLOOKUP(A74, 'Monthly Update'!$A$6:$AU$6, 'Monthly Update'!$A$7:$AU$7)</f>
        <v>Contract Awarded Date</v>
      </c>
      <c r="C74" s="216" t="s">
        <v>510</v>
      </c>
    </row>
    <row r="75" spans="1:3" ht="45" x14ac:dyDescent="0.25">
      <c r="A75" s="37" t="s">
        <v>442</v>
      </c>
      <c r="B75" s="185" t="str">
        <f>_xlfn.XLOOKUP(A75, 'Monthly Update'!$A$6:$AU$6, 'Monthly Update'!$A$7:$AU$7)</f>
        <v>Construction Start Date</v>
      </c>
      <c r="C75" s="216" t="s">
        <v>532</v>
      </c>
    </row>
    <row r="76" spans="1:3" ht="45" x14ac:dyDescent="0.25">
      <c r="A76" s="37" t="s">
        <v>443</v>
      </c>
      <c r="B76" s="185" t="str">
        <f>_xlfn.XLOOKUP(A76, 'Monthly Update'!$A$6:$AU$6, 'Monthly Update'!$A$7:$AU$7)</f>
        <v>Construction Start Date Error Explanation</v>
      </c>
      <c r="C76" s="216" t="str">
        <f>"Use the field only if "&amp; A75&amp; " ("&amp;B75&amp;") indicates an error (cell is highlighted in purple) but you believe the information is correct, explain the descrpancy in this cell and it will remove the error formatting in "&amp;A75&amp;"."</f>
        <v>Use the field only if Col 29 (Construction Start Date) indicates an error (cell is highlighted in purple) but you believe the information is correct, explain the descrpancy in this cell and it will remove the error formatting in Col 29.</v>
      </c>
    </row>
    <row r="77" spans="1:3" ht="60" x14ac:dyDescent="0.25">
      <c r="A77" s="37" t="s">
        <v>444</v>
      </c>
      <c r="B77" s="185" t="str">
        <f>_xlfn.XLOOKUP(A77, 'Monthly Update'!$A$6:$AU$6, 'Monthly Update'!$A$7:$AU$7)</f>
        <v>Substantial Completion Date</v>
      </c>
      <c r="C77" s="216" t="s">
        <v>544</v>
      </c>
    </row>
    <row r="78" spans="1:3" ht="45" x14ac:dyDescent="0.25">
      <c r="A78" s="37" t="s">
        <v>445</v>
      </c>
      <c r="B78" s="185" t="str">
        <f>_xlfn.XLOOKUP(A78, 'Monthly Update'!$A$6:$AU$6, 'Monthly Update'!$A$7:$AU$7)</f>
        <v>Substantial Completion Date Error Explanation</v>
      </c>
      <c r="C78" s="216" t="str">
        <f>"Use the field only if "&amp; A77&amp; " ("&amp;B77&amp;") indicates an error (cell is highlighted in purple) but you believe the information is correct, explain the descrpancy in this cell and it will remove the error formatting in "&amp;A77&amp;"."</f>
        <v>Use the field only if Col 31 (Substantial Completion Date) indicates an error (cell is highlighted in purple) but you believe the information is correct, explain the descrpancy in this cell and it will remove the error formatting in Col 31.</v>
      </c>
    </row>
    <row r="79" spans="1:3" x14ac:dyDescent="0.25">
      <c r="A79" s="186" t="str">
        <f>'Monthly Update'!AG5</f>
        <v>Section 5: Project Completion</v>
      </c>
      <c r="B79" s="217"/>
      <c r="C79" s="187"/>
    </row>
    <row r="80" spans="1:3" ht="29.45" customHeight="1" x14ac:dyDescent="0.25">
      <c r="A80" s="37" t="s">
        <v>446</v>
      </c>
      <c r="B80" s="185" t="str">
        <f>_xlfn.XLOOKUP(A80, 'Monthly Update'!$A$6:$AU$6, 'Monthly Update'!$A$7:$AU$7)</f>
        <v xml:space="preserve">School Opening Date </v>
      </c>
      <c r="C80" s="216" t="s">
        <v>545</v>
      </c>
    </row>
    <row r="81" spans="1:3" ht="45" x14ac:dyDescent="0.25">
      <c r="A81" s="37" t="s">
        <v>447</v>
      </c>
      <c r="B81" s="185" t="str">
        <f>_xlfn.XLOOKUP(A81, 'Monthly Update'!$A$6:$AU$6, 'Monthly Update'!$A$7:$AU$7)</f>
        <v>School Opening Date  Error Explanation</v>
      </c>
      <c r="C81" s="216" t="str">
        <f>"Use the field only if "&amp; A80&amp; " ("&amp;B80&amp;") indicates an error (cell is highlighted in purple) but you believe the information is correct, explain the descrpancy in this cell and it will remove the error formatting in "&amp;A80&amp;"."</f>
        <v>Use the field only if Col 33 (School Opening Date ) indicates an error (cell is highlighted in purple) but you believe the information is correct, explain the descrpancy in this cell and it will remove the error formatting in Col 33.</v>
      </c>
    </row>
    <row r="82" spans="1:3" ht="45" x14ac:dyDescent="0.25">
      <c r="A82" s="37" t="s">
        <v>448</v>
      </c>
      <c r="B82" s="185" t="str">
        <f>_xlfn.XLOOKUP(A82, 'Monthly Update'!$A$6:$AU$6, 'Monthly Update'!$A$7:$AU$7)</f>
        <v>Child Care Opening Date</v>
      </c>
      <c r="C82" s="216" t="s">
        <v>546</v>
      </c>
    </row>
    <row r="83" spans="1:3" ht="45" x14ac:dyDescent="0.25">
      <c r="A83" s="37" t="s">
        <v>449</v>
      </c>
      <c r="B83" s="185" t="str">
        <f>_xlfn.XLOOKUP(A83, 'Monthly Update'!$A$6:$AU$6, 'Monthly Update'!$A$7:$AU$7)</f>
        <v>Child Care Opening Date Error Explanation</v>
      </c>
      <c r="C83" s="216" t="str">
        <f>"Use the field only if "&amp; A82&amp; " ("&amp;B82&amp;") indicates an error (cell is highlighted in purple) but you believe the information is correct, explain the descrpancy in this cell and it will remove the error formatting in "&amp;A82&amp;"."</f>
        <v>Use the field only if Col 35 (Child Care Opening Date) indicates an error (cell is highlighted in purple) but you believe the information is correct, explain the descrpancy in this cell and it will remove the error formatting in Col 35.</v>
      </c>
    </row>
    <row r="84" spans="1:3" ht="60" x14ac:dyDescent="0.25">
      <c r="A84" s="37" t="s">
        <v>450</v>
      </c>
      <c r="B84" s="185" t="str">
        <f>_xlfn.XLOOKUP(A84, 'Monthly Update'!$A$6:$AU$6, 'Monthly Update'!$A$7:$AU$7)</f>
        <v>Financial Close-Out Date</v>
      </c>
      <c r="C84" s="216" t="s">
        <v>547</v>
      </c>
    </row>
    <row r="85" spans="1:3" x14ac:dyDescent="0.25">
      <c r="A85" s="186" t="str">
        <f>'Monthly Update'!AL5</f>
        <v>Section 6: Approved Project Funding</v>
      </c>
      <c r="B85" s="217"/>
      <c r="C85" s="187"/>
    </row>
    <row r="86" spans="1:3" ht="28.5" x14ac:dyDescent="0.25">
      <c r="A86" s="37" t="s">
        <v>451</v>
      </c>
      <c r="B86" s="185" t="str">
        <f>_xlfn.XLOOKUP(A86, 'Monthly Update'!$A$6:$AU$6, 'Monthly Update'!$A$7:$AU$7)</f>
        <v>Funding - All Associated Projects</v>
      </c>
      <c r="C86" s="216" t="s">
        <v>461</v>
      </c>
    </row>
    <row r="87" spans="1:3" x14ac:dyDescent="0.25">
      <c r="A87" s="37" t="s">
        <v>452</v>
      </c>
      <c r="B87" s="185" t="str">
        <f>_xlfn.XLOOKUP(A87, 'Monthly Update'!$A$6:$AU$6, 'Monthly Update'!$A$7:$AU$7)</f>
        <v>Funding - Construction Project</v>
      </c>
      <c r="C87" s="216" t="s">
        <v>461</v>
      </c>
    </row>
    <row r="88" spans="1:3" x14ac:dyDescent="0.25">
      <c r="A88" s="37" t="s">
        <v>453</v>
      </c>
      <c r="B88" s="185" t="str">
        <f>_xlfn.XLOOKUP(A88, 'Monthly Update'!$A$6:$AU$6, 'Monthly Update'!$A$7:$AU$7)</f>
        <v>Funding - Site Acquisition</v>
      </c>
      <c r="C88" s="216" t="s">
        <v>461</v>
      </c>
    </row>
    <row r="89" spans="1:3" x14ac:dyDescent="0.25">
      <c r="A89" s="37" t="s">
        <v>454</v>
      </c>
      <c r="B89" s="185" t="str">
        <f>_xlfn.XLOOKUP(A89, 'Monthly Update'!$A$6:$AU$6, 'Monthly Update'!$A$7:$AU$7)</f>
        <v>Funding - Demolition</v>
      </c>
      <c r="C89" s="216" t="s">
        <v>461</v>
      </c>
    </row>
    <row r="90" spans="1:3" ht="28.5" x14ac:dyDescent="0.25">
      <c r="A90" s="37" t="s">
        <v>455</v>
      </c>
      <c r="B90" s="185" t="str">
        <f>_xlfn.XLOOKUP(A90, 'Monthly Update'!$A$6:$AU$6, 'Monthly Update'!$A$7:$AU$7)</f>
        <v>Funding - All Other Associated Projects</v>
      </c>
      <c r="C90" s="216" t="s">
        <v>461</v>
      </c>
    </row>
    <row r="91" spans="1:3" x14ac:dyDescent="0.25">
      <c r="A91" s="186" t="str">
        <f>'Monthly Update'!AQ5</f>
        <v xml:space="preserve">Section 7: Projected Cost </v>
      </c>
      <c r="B91" s="217"/>
      <c r="C91" s="187"/>
    </row>
    <row r="92" spans="1:3" x14ac:dyDescent="0.25">
      <c r="A92" s="37" t="s">
        <v>456</v>
      </c>
      <c r="B92" s="185" t="str">
        <f>_xlfn.XLOOKUP(A92, 'Monthly Update'!$A$6:$AU$6, 'Monthly Update'!$A$7:$AU$7)</f>
        <v xml:space="preserve">Basis of Cost Estimate </v>
      </c>
      <c r="C92" s="216" t="s">
        <v>533</v>
      </c>
    </row>
    <row r="93" spans="1:3" ht="45" x14ac:dyDescent="0.25">
      <c r="A93" s="37" t="s">
        <v>457</v>
      </c>
      <c r="B93" s="185" t="str">
        <f>_xlfn.XLOOKUP(A93, 'Monthly Update'!$A$6:$AU$6, 'Monthly Update'!$A$7:$AU$7)</f>
        <v>Estimated Cost - Construction Project</v>
      </c>
      <c r="C93" s="216" t="s">
        <v>534</v>
      </c>
    </row>
    <row r="94" spans="1:3" ht="30" x14ac:dyDescent="0.25">
      <c r="A94" s="37" t="s">
        <v>458</v>
      </c>
      <c r="B94" s="185" t="str">
        <f>_xlfn.XLOOKUP(A94, 'Monthly Update'!$A$6:$AU$6, 'Monthly Update'!$A$7:$AU$7)</f>
        <v>Estimated Cost - Land</v>
      </c>
      <c r="C94" s="216" t="s">
        <v>476</v>
      </c>
    </row>
    <row r="95" spans="1:3" ht="45" x14ac:dyDescent="0.25">
      <c r="A95" s="37" t="s">
        <v>459</v>
      </c>
      <c r="B95" s="185" t="str">
        <f>_xlfn.XLOOKUP(A95, 'Monthly Update'!$A$6:$AU$6, 'Monthly Update'!$A$7:$AU$7)</f>
        <v>Estimated Cost - Demolition</v>
      </c>
      <c r="C95" s="216" t="s">
        <v>477</v>
      </c>
    </row>
    <row r="96" spans="1:3" ht="30" x14ac:dyDescent="0.25">
      <c r="A96" s="37" t="s">
        <v>460</v>
      </c>
      <c r="B96" s="185" t="str">
        <f>_xlfn.XLOOKUP(A96, 'Monthly Update'!$A$6:$AU$6, 'Monthly Update'!$A$7:$AU$7)</f>
        <v>Estimated Cost - All Other Associated Projects</v>
      </c>
      <c r="C96" s="216" t="s">
        <v>535</v>
      </c>
    </row>
  </sheetData>
  <mergeCells count="16">
    <mergeCell ref="A26:C26"/>
    <mergeCell ref="A37:C37"/>
    <mergeCell ref="B6:C6"/>
    <mergeCell ref="B17:C17"/>
    <mergeCell ref="B11:C11"/>
    <mergeCell ref="A1:D1"/>
    <mergeCell ref="A15:D15"/>
    <mergeCell ref="A24:D24"/>
    <mergeCell ref="A43:C43"/>
    <mergeCell ref="A51:C51"/>
    <mergeCell ref="A41:D41"/>
    <mergeCell ref="A91:C91"/>
    <mergeCell ref="A85:C85"/>
    <mergeCell ref="A79:C79"/>
    <mergeCell ref="A73:C73"/>
    <mergeCell ref="A60:C6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87A5-FB4E-4910-9735-DDAC46808C30}">
  <sheetPr codeName="Sheet4"/>
  <dimension ref="A1:E29"/>
  <sheetViews>
    <sheetView workbookViewId="0">
      <selection sqref="A1:B1"/>
    </sheetView>
  </sheetViews>
  <sheetFormatPr defaultRowHeight="15" x14ac:dyDescent="0.25"/>
  <cols>
    <col min="1" max="1" width="47.5703125" customWidth="1"/>
    <col min="2" max="2" width="35.28515625" customWidth="1"/>
    <col min="3" max="3" width="28.28515625" customWidth="1"/>
    <col min="4" max="4" width="27" customWidth="1"/>
    <col min="5" max="5" width="35.28515625" customWidth="1"/>
  </cols>
  <sheetData>
    <row r="1" spans="1:5" ht="25.5" x14ac:dyDescent="0.25">
      <c r="A1" s="188" t="s">
        <v>338</v>
      </c>
      <c r="B1" s="188"/>
    </row>
    <row r="4" spans="1:5" x14ac:dyDescent="0.25">
      <c r="A4" t="s">
        <v>96</v>
      </c>
      <c r="B4" t="s">
        <v>381</v>
      </c>
      <c r="C4" t="s">
        <v>97</v>
      </c>
      <c r="D4" t="s">
        <v>98</v>
      </c>
      <c r="E4" t="s">
        <v>99</v>
      </c>
    </row>
    <row r="5" spans="1:5" x14ac:dyDescent="0.25">
      <c r="A5" s="78" t="s">
        <v>342</v>
      </c>
      <c r="B5" s="78" t="s">
        <v>382</v>
      </c>
      <c r="C5" s="78" t="s">
        <v>343</v>
      </c>
      <c r="D5" s="78" t="s">
        <v>344</v>
      </c>
      <c r="E5" s="78" t="s">
        <v>345</v>
      </c>
    </row>
    <row r="6" spans="1:5" x14ac:dyDescent="0.25">
      <c r="A6" s="78"/>
      <c r="B6" s="78"/>
      <c r="C6" s="78"/>
      <c r="D6" s="78"/>
      <c r="E6" s="78"/>
    </row>
    <row r="7" spans="1:5" x14ac:dyDescent="0.25">
      <c r="A7" s="78"/>
      <c r="B7" s="78"/>
      <c r="C7" s="78"/>
      <c r="D7" s="78"/>
      <c r="E7" s="78"/>
    </row>
    <row r="8" spans="1:5" x14ac:dyDescent="0.25">
      <c r="A8" s="78"/>
      <c r="B8" s="78"/>
      <c r="C8" s="78"/>
      <c r="D8" s="78"/>
      <c r="E8" s="78"/>
    </row>
    <row r="9" spans="1:5" x14ac:dyDescent="0.25">
      <c r="A9" s="78"/>
      <c r="B9" s="78"/>
      <c r="C9" s="78"/>
      <c r="D9" s="78"/>
      <c r="E9" s="78"/>
    </row>
    <row r="10" spans="1:5" x14ac:dyDescent="0.25">
      <c r="A10" s="78"/>
      <c r="B10" s="78"/>
      <c r="C10" s="78"/>
      <c r="D10" s="78"/>
      <c r="E10" s="78"/>
    </row>
    <row r="11" spans="1:5" x14ac:dyDescent="0.25">
      <c r="A11" s="78"/>
      <c r="B11" s="78"/>
      <c r="C11" s="78"/>
      <c r="D11" s="78"/>
      <c r="E11" s="78"/>
    </row>
    <row r="12" spans="1:5" x14ac:dyDescent="0.25">
      <c r="A12" s="78"/>
      <c r="B12" s="78"/>
      <c r="C12" s="78"/>
      <c r="D12" s="78"/>
      <c r="E12" s="78"/>
    </row>
    <row r="13" spans="1:5" x14ac:dyDescent="0.25">
      <c r="A13" s="78"/>
      <c r="B13" s="78"/>
      <c r="C13" s="78"/>
      <c r="D13" s="78"/>
      <c r="E13" s="78"/>
    </row>
    <row r="14" spans="1:5" x14ac:dyDescent="0.25">
      <c r="A14" s="78"/>
      <c r="B14" s="78"/>
      <c r="C14" s="78"/>
      <c r="D14" s="78"/>
      <c r="E14" s="78"/>
    </row>
    <row r="15" spans="1:5" x14ac:dyDescent="0.25">
      <c r="A15" s="78"/>
      <c r="B15" s="78"/>
      <c r="C15" s="78"/>
      <c r="D15" s="78"/>
      <c r="E15" s="78"/>
    </row>
    <row r="16" spans="1:5" x14ac:dyDescent="0.25">
      <c r="A16" s="78"/>
      <c r="B16" s="78"/>
      <c r="C16" s="78"/>
      <c r="D16" s="78"/>
      <c r="E16" s="78"/>
    </row>
    <row r="17" spans="1:5" x14ac:dyDescent="0.25">
      <c r="A17" s="78"/>
      <c r="B17" s="78"/>
      <c r="C17" s="78"/>
      <c r="D17" s="78"/>
      <c r="E17" s="78"/>
    </row>
    <row r="18" spans="1:5" x14ac:dyDescent="0.25">
      <c r="A18" s="78"/>
      <c r="B18" s="78"/>
      <c r="C18" s="78"/>
      <c r="D18" s="78"/>
      <c r="E18" s="78"/>
    </row>
    <row r="19" spans="1:5" x14ac:dyDescent="0.25">
      <c r="A19" s="78"/>
      <c r="B19" s="78"/>
      <c r="C19" s="78"/>
      <c r="D19" s="78"/>
      <c r="E19" s="78"/>
    </row>
    <row r="20" spans="1:5" x14ac:dyDescent="0.25">
      <c r="A20" s="78"/>
      <c r="B20" s="78"/>
      <c r="C20" s="78"/>
      <c r="D20" s="78"/>
      <c r="E20" s="78"/>
    </row>
    <row r="21" spans="1:5" x14ac:dyDescent="0.25">
      <c r="A21" s="78"/>
      <c r="B21" s="78"/>
      <c r="C21" s="78"/>
      <c r="D21" s="78"/>
      <c r="E21" s="78"/>
    </row>
    <row r="22" spans="1:5" x14ac:dyDescent="0.25">
      <c r="A22" s="78"/>
      <c r="B22" s="78"/>
      <c r="C22" s="78"/>
      <c r="D22" s="78"/>
      <c r="E22" s="78"/>
    </row>
    <row r="23" spans="1:5" x14ac:dyDescent="0.25">
      <c r="A23" s="78"/>
      <c r="B23" s="78"/>
      <c r="C23" s="78"/>
      <c r="D23" s="78"/>
      <c r="E23" s="78"/>
    </row>
    <row r="24" spans="1:5" x14ac:dyDescent="0.25">
      <c r="A24" s="78"/>
      <c r="B24" s="78"/>
      <c r="C24" s="78"/>
      <c r="D24" s="78"/>
      <c r="E24" s="78"/>
    </row>
    <row r="25" spans="1:5" x14ac:dyDescent="0.25">
      <c r="A25" s="78"/>
      <c r="B25" s="78"/>
      <c r="C25" s="78"/>
      <c r="D25" s="78"/>
      <c r="E25" s="78"/>
    </row>
    <row r="26" spans="1:5" x14ac:dyDescent="0.25">
      <c r="A26" s="78"/>
      <c r="B26" s="78"/>
      <c r="C26" s="78"/>
      <c r="D26" s="78"/>
      <c r="E26" s="78"/>
    </row>
    <row r="27" spans="1:5" x14ac:dyDescent="0.25">
      <c r="A27" s="78"/>
      <c r="B27" s="78"/>
      <c r="C27" s="78"/>
      <c r="D27" s="78"/>
      <c r="E27" s="78"/>
    </row>
    <row r="28" spans="1:5" x14ac:dyDescent="0.25">
      <c r="A28" s="78"/>
      <c r="B28" s="78"/>
      <c r="C28" s="78"/>
      <c r="D28" s="78"/>
      <c r="E28" s="78"/>
    </row>
    <row r="29" spans="1:5" x14ac:dyDescent="0.25">
      <c r="A29" s="78"/>
      <c r="B29" s="78"/>
      <c r="C29" s="78"/>
      <c r="D29" s="78"/>
      <c r="E29" s="78"/>
    </row>
  </sheetData>
  <sheetProtection formatColumns="0" formatRows="0"/>
  <mergeCells count="1">
    <mergeCell ref="A1:B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2339-DB27-40BC-B3A6-1CB12E8DDF2E}">
  <sheetPr codeName="Sheet7"/>
  <dimension ref="A1:QX116"/>
  <sheetViews>
    <sheetView workbookViewId="0">
      <selection activeCell="B4" sqref="B4"/>
    </sheetView>
  </sheetViews>
  <sheetFormatPr defaultColWidth="10.42578125" defaultRowHeight="14.25" customHeight="1" x14ac:dyDescent="0.25"/>
  <cols>
    <col min="1" max="1" width="13.42578125" style="2" customWidth="1"/>
    <col min="2" max="2" width="54.7109375" style="2" bestFit="1" customWidth="1"/>
    <col min="3" max="3" width="54.7109375" style="2" customWidth="1"/>
    <col min="4" max="4" width="25" style="2" customWidth="1"/>
    <col min="5" max="5" width="29.7109375" style="2" customWidth="1"/>
    <col min="6" max="8" width="14.42578125" style="2" customWidth="1"/>
    <col min="9" max="9" width="21.85546875" style="2" customWidth="1"/>
    <col min="10" max="10" width="14.42578125" style="2" customWidth="1"/>
    <col min="11" max="11" width="25" style="2" customWidth="1"/>
    <col min="12" max="12" width="20.5703125" style="2" customWidth="1"/>
    <col min="467" max="16384" width="10.42578125" style="2"/>
  </cols>
  <sheetData>
    <row r="1" spans="1:466" s="23" customFormat="1" ht="43.5" customHeight="1" thickTop="1" thickBot="1" x14ac:dyDescent="0.3">
      <c r="A1" s="205" t="s">
        <v>377</v>
      </c>
      <c r="B1" s="206"/>
      <c r="E1" s="22"/>
      <c r="F1" s="59"/>
      <c r="G1" s="62"/>
      <c r="H1" s="62"/>
      <c r="I1" s="62"/>
      <c r="J1" s="62"/>
      <c r="K1" s="54"/>
      <c r="L1" s="54"/>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row>
    <row r="2" spans="1:466" s="24" customFormat="1" ht="24.75" customHeight="1" thickTop="1" thickBot="1" x14ac:dyDescent="0.3">
      <c r="A2" s="63" t="str">
        <f>Translation!A5</f>
        <v>Section 1: Project Details</v>
      </c>
      <c r="B2" s="64"/>
      <c r="C2" s="64"/>
      <c r="D2" s="64"/>
      <c r="E2" s="64"/>
      <c r="F2" s="64"/>
      <c r="G2" s="64"/>
      <c r="H2" s="64"/>
      <c r="I2" s="64"/>
      <c r="J2" s="64"/>
      <c r="K2" s="203" t="s">
        <v>499</v>
      </c>
      <c r="L2" s="204"/>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row>
    <row r="3" spans="1:466" s="1" customFormat="1" ht="15" x14ac:dyDescent="0.25">
      <c r="A3" s="37" t="str">
        <f>"Col "&amp;COLUMN()</f>
        <v>Col 1</v>
      </c>
      <c r="B3" s="37" t="str">
        <f t="shared" ref="B3:L3" si="0">"Col "&amp;COLUMN()</f>
        <v>Col 2</v>
      </c>
      <c r="C3" s="37" t="str">
        <f t="shared" si="0"/>
        <v>Col 3</v>
      </c>
      <c r="D3" s="37" t="str">
        <f t="shared" si="0"/>
        <v>Col 4</v>
      </c>
      <c r="E3" s="37" t="str">
        <f t="shared" si="0"/>
        <v>Col 5</v>
      </c>
      <c r="F3" s="37" t="str">
        <f t="shared" si="0"/>
        <v>Col 6</v>
      </c>
      <c r="G3" s="37" t="str">
        <f t="shared" si="0"/>
        <v>Col 7</v>
      </c>
      <c r="H3" s="37" t="str">
        <f t="shared" si="0"/>
        <v>Col 8</v>
      </c>
      <c r="I3" s="37" t="str">
        <f t="shared" si="0"/>
        <v>Col 9</v>
      </c>
      <c r="J3" s="37" t="str">
        <f t="shared" si="0"/>
        <v>Col 10</v>
      </c>
      <c r="K3" s="37" t="str">
        <f t="shared" si="0"/>
        <v>Col 11</v>
      </c>
      <c r="L3" s="37" t="str">
        <f t="shared" si="0"/>
        <v>Col 12</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row>
    <row r="4" spans="1:466" s="42" customFormat="1" ht="60.75" customHeight="1" x14ac:dyDescent="0.25">
      <c r="A4" s="39" t="str">
        <f>Translation!A6</f>
        <v>Project ID</v>
      </c>
      <c r="B4" s="39" t="str">
        <f>Translation!A7</f>
        <v>Project Name</v>
      </c>
      <c r="C4" s="39" t="s">
        <v>267</v>
      </c>
      <c r="D4" s="39" t="str">
        <f>Translation!A11</f>
        <v>Project Type</v>
      </c>
      <c r="E4" s="39" t="str">
        <f>Translation!A13</f>
        <v xml:space="preserve">Project Category </v>
      </c>
      <c r="F4" s="39" t="str">
        <f>Translation!A8</f>
        <v>Address</v>
      </c>
      <c r="G4" s="39" t="str">
        <f>Translation!A9</f>
        <v xml:space="preserve">City </v>
      </c>
      <c r="H4" s="39" t="str">
        <f>Translation!A10</f>
        <v>Postal Code</v>
      </c>
      <c r="I4" s="39" t="s">
        <v>334</v>
      </c>
      <c r="J4" s="39" t="s">
        <v>259</v>
      </c>
      <c r="K4" s="39" t="s">
        <v>260</v>
      </c>
      <c r="L4" s="39" t="str">
        <f>Translation!A70</f>
        <v>Opening Ceremony - Date</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row>
    <row r="5" spans="1:466" ht="62.25" hidden="1" customHeight="1" x14ac:dyDescent="0.25">
      <c r="A5" s="27" t="s">
        <v>3</v>
      </c>
      <c r="B5" s="28" t="s">
        <v>4</v>
      </c>
      <c r="C5" s="28"/>
      <c r="D5" s="28" t="s">
        <v>105</v>
      </c>
      <c r="E5" s="29" t="s">
        <v>106</v>
      </c>
      <c r="F5" s="28"/>
      <c r="G5" s="28"/>
      <c r="H5" s="28"/>
      <c r="I5" s="28"/>
      <c r="J5" s="28"/>
      <c r="K5" s="31"/>
      <c r="L5" s="31"/>
    </row>
    <row r="6" spans="1:466" ht="5.25" customHeight="1" x14ac:dyDescent="0.25">
      <c r="A6" s="11"/>
      <c r="B6" s="12"/>
      <c r="C6" s="12"/>
      <c r="D6" s="12"/>
      <c r="E6" s="13"/>
      <c r="F6" s="12"/>
      <c r="G6" s="12"/>
      <c r="H6" s="12"/>
      <c r="I6" s="12"/>
      <c r="J6" s="12"/>
      <c r="K6" s="11"/>
      <c r="L6" s="12"/>
    </row>
    <row r="7" spans="1:466" ht="15.6" customHeight="1" x14ac:dyDescent="0.25">
      <c r="A7" s="15" t="s">
        <v>316</v>
      </c>
      <c r="B7" s="55" t="s">
        <v>307</v>
      </c>
      <c r="C7" s="66" t="s">
        <v>317</v>
      </c>
      <c r="D7" s="36" t="s">
        <v>274</v>
      </c>
      <c r="E7" s="36" t="s">
        <v>275</v>
      </c>
      <c r="F7" s="66" t="s">
        <v>318</v>
      </c>
      <c r="G7" s="66" t="s">
        <v>335</v>
      </c>
      <c r="H7" s="66" t="s">
        <v>319</v>
      </c>
      <c r="I7" s="66" t="s">
        <v>333</v>
      </c>
      <c r="J7" s="66" t="s">
        <v>320</v>
      </c>
      <c r="K7" s="66" t="s">
        <v>321</v>
      </c>
      <c r="L7" s="66" t="s">
        <v>322</v>
      </c>
    </row>
    <row r="8" spans="1:466" s="105" customFormat="1" ht="15.6" customHeight="1" x14ac:dyDescent="0.25">
      <c r="A8" s="81"/>
      <c r="B8" s="56"/>
      <c r="C8" s="56"/>
      <c r="D8" s="82"/>
      <c r="E8" s="82"/>
      <c r="F8" s="56"/>
      <c r="G8" s="57"/>
      <c r="H8" s="56"/>
      <c r="I8" s="56"/>
      <c r="J8" s="56"/>
      <c r="K8" s="104"/>
      <c r="L8" s="56"/>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c r="GQ8" s="83"/>
      <c r="GR8" s="83"/>
      <c r="GS8" s="83"/>
      <c r="GT8" s="83"/>
      <c r="GU8" s="83"/>
      <c r="GV8" s="83"/>
      <c r="GW8" s="83"/>
      <c r="GX8" s="83"/>
      <c r="GY8" s="83"/>
      <c r="GZ8" s="83"/>
      <c r="HA8" s="83"/>
      <c r="HB8" s="83"/>
      <c r="HC8" s="83"/>
      <c r="HD8" s="83"/>
      <c r="HE8" s="83"/>
      <c r="HF8" s="83"/>
      <c r="HG8" s="83"/>
      <c r="HH8" s="83"/>
      <c r="HI8" s="83"/>
      <c r="HJ8" s="83"/>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c r="IM8" s="83"/>
      <c r="IN8" s="83"/>
      <c r="IO8" s="83"/>
      <c r="IP8" s="83"/>
      <c r="IQ8" s="83"/>
      <c r="IR8" s="83"/>
      <c r="IS8" s="83"/>
      <c r="IT8" s="83"/>
      <c r="IU8" s="83"/>
      <c r="IV8" s="83"/>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c r="NT8" s="83"/>
      <c r="NU8" s="83"/>
      <c r="NV8" s="83"/>
      <c r="NW8" s="83"/>
      <c r="NX8" s="83"/>
      <c r="NY8" s="83"/>
      <c r="NZ8" s="83"/>
      <c r="OA8" s="83"/>
      <c r="OB8" s="83"/>
      <c r="OC8" s="83"/>
      <c r="OD8" s="83"/>
      <c r="OE8" s="83"/>
      <c r="OF8" s="83"/>
      <c r="OG8" s="83"/>
      <c r="OH8" s="83"/>
      <c r="OI8" s="83"/>
      <c r="OJ8" s="83"/>
      <c r="OK8" s="83"/>
      <c r="OL8" s="83"/>
      <c r="OM8" s="83"/>
      <c r="ON8" s="83"/>
      <c r="OO8" s="83"/>
      <c r="OP8" s="83"/>
      <c r="OQ8" s="83"/>
      <c r="OR8" s="83"/>
      <c r="OS8" s="83"/>
      <c r="OT8" s="83"/>
      <c r="OU8" s="83"/>
      <c r="OV8" s="83"/>
      <c r="OW8" s="83"/>
      <c r="OX8" s="83"/>
      <c r="OY8" s="83"/>
      <c r="OZ8" s="83"/>
      <c r="PA8" s="83"/>
      <c r="PB8" s="83"/>
      <c r="PC8" s="83"/>
      <c r="PD8" s="83"/>
      <c r="PE8" s="83"/>
      <c r="PF8" s="83"/>
      <c r="PG8" s="83"/>
      <c r="PH8" s="83"/>
      <c r="PI8" s="83"/>
      <c r="PJ8" s="83"/>
      <c r="PK8" s="83"/>
      <c r="PL8" s="83"/>
      <c r="PM8" s="83"/>
      <c r="PN8" s="83"/>
      <c r="PO8" s="83"/>
      <c r="PP8" s="83"/>
      <c r="PQ8" s="83"/>
      <c r="PR8" s="83"/>
      <c r="PS8" s="83"/>
      <c r="PT8" s="83"/>
      <c r="PU8" s="83"/>
      <c r="PV8" s="83"/>
      <c r="PW8" s="83"/>
      <c r="PX8" s="83"/>
      <c r="PY8" s="83"/>
      <c r="PZ8" s="83"/>
      <c r="QA8" s="83"/>
      <c r="QB8" s="83"/>
      <c r="QC8" s="83"/>
      <c r="QD8" s="83"/>
      <c r="QE8" s="83"/>
      <c r="QF8" s="83"/>
      <c r="QG8" s="83"/>
      <c r="QH8" s="83"/>
      <c r="QI8" s="83"/>
      <c r="QJ8" s="83"/>
      <c r="QK8" s="83"/>
      <c r="QL8" s="83"/>
      <c r="QM8" s="83"/>
      <c r="QN8" s="83"/>
      <c r="QO8" s="83"/>
      <c r="QP8" s="83"/>
      <c r="QQ8" s="83"/>
      <c r="QR8" s="83"/>
      <c r="QS8" s="83"/>
      <c r="QT8" s="83"/>
      <c r="QU8" s="83"/>
      <c r="QV8" s="83"/>
      <c r="QW8" s="83"/>
      <c r="QX8" s="83"/>
    </row>
    <row r="9" spans="1:466" s="105" customFormat="1" ht="15.6" customHeight="1" x14ac:dyDescent="0.25">
      <c r="A9" s="81"/>
      <c r="B9" s="56"/>
      <c r="C9" s="56"/>
      <c r="D9" s="82"/>
      <c r="E9" s="82"/>
      <c r="F9" s="56"/>
      <c r="G9" s="57"/>
      <c r="H9" s="56"/>
      <c r="I9" s="56"/>
      <c r="J9" s="56"/>
      <c r="K9" s="56"/>
      <c r="L9" s="56"/>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c r="ED9" s="83"/>
      <c r="EE9" s="83"/>
      <c r="EF9" s="83"/>
      <c r="EG9" s="83"/>
      <c r="EH9" s="83"/>
      <c r="EI9" s="83"/>
      <c r="EJ9" s="83"/>
      <c r="EK9" s="83"/>
      <c r="EL9" s="83"/>
      <c r="EM9" s="83"/>
      <c r="EN9" s="83"/>
      <c r="EO9" s="83"/>
      <c r="EP9" s="83"/>
      <c r="EQ9" s="83"/>
      <c r="ER9" s="83"/>
      <c r="ES9" s="83"/>
      <c r="ET9" s="83"/>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c r="GL9" s="83"/>
      <c r="GM9" s="83"/>
      <c r="GN9" s="83"/>
      <c r="GO9" s="83"/>
      <c r="GP9" s="83"/>
      <c r="GQ9" s="83"/>
      <c r="GR9" s="83"/>
      <c r="GS9" s="83"/>
      <c r="GT9" s="83"/>
      <c r="GU9" s="83"/>
      <c r="GV9" s="83"/>
      <c r="GW9" s="83"/>
      <c r="GX9" s="83"/>
      <c r="GY9" s="83"/>
      <c r="GZ9" s="83"/>
      <c r="HA9" s="83"/>
      <c r="HB9" s="83"/>
      <c r="HC9" s="83"/>
      <c r="HD9" s="83"/>
      <c r="HE9" s="83"/>
      <c r="HF9" s="83"/>
      <c r="HG9" s="83"/>
      <c r="HH9" s="83"/>
      <c r="HI9" s="83"/>
      <c r="HJ9" s="83"/>
      <c r="HK9" s="83"/>
      <c r="HL9" s="83"/>
      <c r="HM9" s="83"/>
      <c r="HN9" s="83"/>
      <c r="HO9" s="83"/>
      <c r="HP9" s="83"/>
      <c r="HQ9" s="83"/>
      <c r="HR9" s="83"/>
      <c r="HS9" s="83"/>
      <c r="HT9" s="83"/>
      <c r="HU9" s="83"/>
      <c r="HV9" s="83"/>
      <c r="HW9" s="83"/>
      <c r="HX9" s="83"/>
      <c r="HY9" s="83"/>
      <c r="HZ9" s="83"/>
      <c r="IA9" s="83"/>
      <c r="IB9" s="83"/>
      <c r="IC9" s="83"/>
      <c r="ID9" s="83"/>
      <c r="IE9" s="83"/>
      <c r="IF9" s="83"/>
      <c r="IG9" s="83"/>
      <c r="IH9" s="83"/>
      <c r="II9" s="83"/>
      <c r="IJ9" s="83"/>
      <c r="IK9" s="83"/>
      <c r="IL9" s="83"/>
      <c r="IM9" s="83"/>
      <c r="IN9" s="83"/>
      <c r="IO9" s="83"/>
      <c r="IP9" s="83"/>
      <c r="IQ9" s="83"/>
      <c r="IR9" s="83"/>
      <c r="IS9" s="83"/>
      <c r="IT9" s="83"/>
      <c r="IU9" s="83"/>
      <c r="IV9" s="83"/>
      <c r="IW9" s="83"/>
      <c r="IX9" s="83"/>
      <c r="IY9" s="83"/>
      <c r="IZ9" s="83"/>
      <c r="JA9" s="83"/>
      <c r="JB9" s="83"/>
      <c r="JC9" s="83"/>
      <c r="JD9" s="83"/>
      <c r="JE9" s="83"/>
      <c r="JF9" s="83"/>
      <c r="JG9" s="83"/>
      <c r="JH9" s="83"/>
      <c r="JI9" s="83"/>
      <c r="JJ9" s="83"/>
      <c r="JK9" s="83"/>
      <c r="JL9" s="83"/>
      <c r="JM9" s="83"/>
      <c r="JN9" s="83"/>
      <c r="JO9" s="83"/>
      <c r="JP9" s="83"/>
      <c r="JQ9" s="83"/>
      <c r="JR9" s="83"/>
      <c r="JS9" s="83"/>
      <c r="JT9" s="83"/>
      <c r="JU9" s="83"/>
      <c r="JV9" s="83"/>
      <c r="JW9" s="83"/>
      <c r="JX9" s="83"/>
      <c r="JY9" s="83"/>
      <c r="JZ9" s="83"/>
      <c r="KA9" s="83"/>
      <c r="KB9" s="83"/>
      <c r="KC9" s="83"/>
      <c r="KD9" s="83"/>
      <c r="KE9" s="83"/>
      <c r="KF9" s="83"/>
      <c r="KG9" s="83"/>
      <c r="KH9" s="83"/>
      <c r="KI9" s="83"/>
      <c r="KJ9" s="83"/>
      <c r="KK9" s="83"/>
      <c r="KL9" s="83"/>
      <c r="KM9" s="83"/>
      <c r="KN9" s="83"/>
      <c r="KO9" s="83"/>
      <c r="KP9" s="83"/>
      <c r="KQ9" s="83"/>
      <c r="KR9" s="83"/>
      <c r="KS9" s="83"/>
      <c r="KT9" s="83"/>
      <c r="KU9" s="83"/>
      <c r="KV9" s="83"/>
      <c r="KW9" s="83"/>
      <c r="KX9" s="83"/>
      <c r="KY9" s="83"/>
      <c r="KZ9" s="83"/>
      <c r="LA9" s="83"/>
      <c r="LB9" s="83"/>
      <c r="LC9" s="83"/>
      <c r="LD9" s="83"/>
      <c r="LE9" s="83"/>
      <c r="LF9" s="83"/>
      <c r="LG9" s="83"/>
      <c r="LH9" s="83"/>
      <c r="LI9" s="83"/>
      <c r="LJ9" s="83"/>
      <c r="LK9" s="83"/>
      <c r="LL9" s="83"/>
      <c r="LM9" s="83"/>
      <c r="LN9" s="83"/>
      <c r="LO9" s="83"/>
      <c r="LP9" s="83"/>
      <c r="LQ9" s="83"/>
      <c r="LR9" s="83"/>
      <c r="LS9" s="83"/>
      <c r="LT9" s="83"/>
      <c r="LU9" s="83"/>
      <c r="LV9" s="83"/>
      <c r="LW9" s="83"/>
      <c r="LX9" s="83"/>
      <c r="LY9" s="83"/>
      <c r="LZ9" s="83"/>
      <c r="MA9" s="83"/>
      <c r="MB9" s="83"/>
      <c r="MC9" s="83"/>
      <c r="MD9" s="83"/>
      <c r="ME9" s="83"/>
      <c r="MF9" s="83"/>
      <c r="MG9" s="83"/>
      <c r="MH9" s="83"/>
      <c r="MI9" s="83"/>
      <c r="MJ9" s="83"/>
      <c r="MK9" s="83"/>
      <c r="ML9" s="83"/>
      <c r="MM9" s="83"/>
      <c r="MN9" s="83"/>
      <c r="MO9" s="83"/>
      <c r="MP9" s="83"/>
      <c r="MQ9" s="83"/>
      <c r="MR9" s="83"/>
      <c r="MS9" s="83"/>
      <c r="MT9" s="83"/>
      <c r="MU9" s="83"/>
      <c r="MV9" s="83"/>
      <c r="MW9" s="83"/>
      <c r="MX9" s="83"/>
      <c r="MY9" s="83"/>
      <c r="MZ9" s="83"/>
      <c r="NA9" s="83"/>
      <c r="NB9" s="83"/>
      <c r="NC9" s="83"/>
      <c r="ND9" s="83"/>
      <c r="NE9" s="83"/>
      <c r="NF9" s="83"/>
      <c r="NG9" s="83"/>
      <c r="NH9" s="83"/>
      <c r="NI9" s="83"/>
      <c r="NJ9" s="83"/>
      <c r="NK9" s="83"/>
      <c r="NL9" s="83"/>
      <c r="NM9" s="83"/>
      <c r="NN9" s="83"/>
      <c r="NO9" s="83"/>
      <c r="NP9" s="83"/>
      <c r="NQ9" s="83"/>
      <c r="NR9" s="83"/>
      <c r="NS9" s="83"/>
      <c r="NT9" s="83"/>
      <c r="NU9" s="83"/>
      <c r="NV9" s="83"/>
      <c r="NW9" s="83"/>
      <c r="NX9" s="83"/>
      <c r="NY9" s="83"/>
      <c r="NZ9" s="83"/>
      <c r="OA9" s="83"/>
      <c r="OB9" s="83"/>
      <c r="OC9" s="83"/>
      <c r="OD9" s="83"/>
      <c r="OE9" s="83"/>
      <c r="OF9" s="83"/>
      <c r="OG9" s="83"/>
      <c r="OH9" s="83"/>
      <c r="OI9" s="83"/>
      <c r="OJ9" s="83"/>
      <c r="OK9" s="83"/>
      <c r="OL9" s="83"/>
      <c r="OM9" s="83"/>
      <c r="ON9" s="83"/>
      <c r="OO9" s="83"/>
      <c r="OP9" s="83"/>
      <c r="OQ9" s="83"/>
      <c r="OR9" s="83"/>
      <c r="OS9" s="83"/>
      <c r="OT9" s="83"/>
      <c r="OU9" s="83"/>
      <c r="OV9" s="83"/>
      <c r="OW9" s="83"/>
      <c r="OX9" s="83"/>
      <c r="OY9" s="83"/>
      <c r="OZ9" s="83"/>
      <c r="PA9" s="83"/>
      <c r="PB9" s="83"/>
      <c r="PC9" s="83"/>
      <c r="PD9" s="83"/>
      <c r="PE9" s="83"/>
      <c r="PF9" s="83"/>
      <c r="PG9" s="83"/>
      <c r="PH9" s="83"/>
      <c r="PI9" s="83"/>
      <c r="PJ9" s="83"/>
      <c r="PK9" s="83"/>
      <c r="PL9" s="83"/>
      <c r="PM9" s="83"/>
      <c r="PN9" s="83"/>
      <c r="PO9" s="83"/>
      <c r="PP9" s="83"/>
      <c r="PQ9" s="83"/>
      <c r="PR9" s="83"/>
      <c r="PS9" s="83"/>
      <c r="PT9" s="83"/>
      <c r="PU9" s="83"/>
      <c r="PV9" s="83"/>
      <c r="PW9" s="83"/>
      <c r="PX9" s="83"/>
      <c r="PY9" s="83"/>
      <c r="PZ9" s="83"/>
      <c r="QA9" s="83"/>
      <c r="QB9" s="83"/>
      <c r="QC9" s="83"/>
      <c r="QD9" s="83"/>
      <c r="QE9" s="83"/>
      <c r="QF9" s="83"/>
      <c r="QG9" s="83"/>
      <c r="QH9" s="83"/>
      <c r="QI9" s="83"/>
      <c r="QJ9" s="83"/>
      <c r="QK9" s="83"/>
      <c r="QL9" s="83"/>
      <c r="QM9" s="83"/>
      <c r="QN9" s="83"/>
      <c r="QO9" s="83"/>
      <c r="QP9" s="83"/>
      <c r="QQ9" s="83"/>
      <c r="QR9" s="83"/>
      <c r="QS9" s="83"/>
      <c r="QT9" s="83"/>
      <c r="QU9" s="83"/>
      <c r="QV9" s="83"/>
      <c r="QW9" s="83"/>
      <c r="QX9" s="83"/>
    </row>
    <row r="10" spans="1:466" s="105" customFormat="1" ht="15.6" customHeight="1" x14ac:dyDescent="0.25">
      <c r="A10" s="81"/>
      <c r="B10" s="56"/>
      <c r="C10" s="56"/>
      <c r="D10" s="82"/>
      <c r="E10" s="82"/>
      <c r="F10" s="56"/>
      <c r="G10" s="57"/>
      <c r="H10" s="56"/>
      <c r="I10" s="56"/>
      <c r="J10" s="56"/>
      <c r="K10" s="56"/>
      <c r="L10" s="56"/>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c r="GV10" s="83"/>
      <c r="GW10" s="83"/>
      <c r="GX10" s="83"/>
      <c r="GY10" s="83"/>
      <c r="GZ10" s="83"/>
      <c r="HA10" s="83"/>
      <c r="HB10" s="83"/>
      <c r="HC10" s="83"/>
      <c r="HD10" s="83"/>
      <c r="HE10" s="83"/>
      <c r="HF10" s="83"/>
      <c r="HG10" s="83"/>
      <c r="HH10" s="83"/>
      <c r="HI10" s="83"/>
      <c r="HJ10" s="83"/>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c r="IW10" s="83"/>
      <c r="IX10" s="83"/>
      <c r="IY10" s="83"/>
      <c r="IZ10" s="83"/>
      <c r="JA10" s="83"/>
      <c r="JB10" s="83"/>
      <c r="JC10" s="83"/>
      <c r="JD10" s="83"/>
      <c r="JE10" s="83"/>
      <c r="JF10" s="83"/>
      <c r="JG10" s="83"/>
      <c r="JH10" s="83"/>
      <c r="JI10" s="83"/>
      <c r="JJ10" s="83"/>
      <c r="JK10" s="83"/>
      <c r="JL10" s="83"/>
      <c r="JM10" s="83"/>
      <c r="JN10" s="83"/>
      <c r="JO10" s="83"/>
      <c r="JP10" s="83"/>
      <c r="JQ10" s="83"/>
      <c r="JR10" s="83"/>
      <c r="JS10" s="83"/>
      <c r="JT10" s="83"/>
      <c r="JU10" s="83"/>
      <c r="JV10" s="83"/>
      <c r="JW10" s="83"/>
      <c r="JX10" s="83"/>
      <c r="JY10" s="83"/>
      <c r="JZ10" s="83"/>
      <c r="KA10" s="83"/>
      <c r="KB10" s="83"/>
      <c r="KC10" s="83"/>
      <c r="KD10" s="83"/>
      <c r="KE10" s="83"/>
      <c r="KF10" s="83"/>
      <c r="KG10" s="83"/>
      <c r="KH10" s="83"/>
      <c r="KI10" s="83"/>
      <c r="KJ10" s="83"/>
      <c r="KK10" s="83"/>
      <c r="KL10" s="83"/>
      <c r="KM10" s="83"/>
      <c r="KN10" s="83"/>
      <c r="KO10" s="83"/>
      <c r="KP10" s="83"/>
      <c r="KQ10" s="83"/>
      <c r="KR10" s="83"/>
      <c r="KS10" s="83"/>
      <c r="KT10" s="83"/>
      <c r="KU10" s="83"/>
      <c r="KV10" s="83"/>
      <c r="KW10" s="83"/>
      <c r="KX10" s="83"/>
      <c r="KY10" s="83"/>
      <c r="KZ10" s="83"/>
      <c r="LA10" s="83"/>
      <c r="LB10" s="83"/>
      <c r="LC10" s="83"/>
      <c r="LD10" s="83"/>
      <c r="LE10" s="83"/>
      <c r="LF10" s="83"/>
      <c r="LG10" s="83"/>
      <c r="LH10" s="83"/>
      <c r="LI10" s="83"/>
      <c r="LJ10" s="83"/>
      <c r="LK10" s="83"/>
      <c r="LL10" s="83"/>
      <c r="LM10" s="83"/>
      <c r="LN10" s="83"/>
      <c r="LO10" s="83"/>
      <c r="LP10" s="83"/>
      <c r="LQ10" s="83"/>
      <c r="LR10" s="83"/>
      <c r="LS10" s="83"/>
      <c r="LT10" s="83"/>
      <c r="LU10" s="83"/>
      <c r="LV10" s="83"/>
      <c r="LW10" s="83"/>
      <c r="LX10" s="83"/>
      <c r="LY10" s="83"/>
      <c r="LZ10" s="83"/>
      <c r="MA10" s="83"/>
      <c r="MB10" s="83"/>
      <c r="MC10" s="83"/>
      <c r="MD10" s="83"/>
      <c r="ME10" s="83"/>
      <c r="MF10" s="83"/>
      <c r="MG10" s="83"/>
      <c r="MH10" s="83"/>
      <c r="MI10" s="83"/>
      <c r="MJ10" s="83"/>
      <c r="MK10" s="83"/>
      <c r="ML10" s="83"/>
      <c r="MM10" s="83"/>
      <c r="MN10" s="83"/>
      <c r="MO10" s="83"/>
      <c r="MP10" s="83"/>
      <c r="MQ10" s="83"/>
      <c r="MR10" s="83"/>
      <c r="MS10" s="83"/>
      <c r="MT10" s="83"/>
      <c r="MU10" s="83"/>
      <c r="MV10" s="83"/>
      <c r="MW10" s="83"/>
      <c r="MX10" s="83"/>
      <c r="MY10" s="83"/>
      <c r="MZ10" s="83"/>
      <c r="NA10" s="83"/>
      <c r="NB10" s="83"/>
      <c r="NC10" s="83"/>
      <c r="ND10" s="83"/>
      <c r="NE10" s="83"/>
      <c r="NF10" s="83"/>
      <c r="NG10" s="83"/>
      <c r="NH10" s="83"/>
      <c r="NI10" s="83"/>
      <c r="NJ10" s="83"/>
      <c r="NK10" s="83"/>
      <c r="NL10" s="83"/>
      <c r="NM10" s="83"/>
      <c r="NN10" s="83"/>
      <c r="NO10" s="83"/>
      <c r="NP10" s="83"/>
      <c r="NQ10" s="83"/>
      <c r="NR10" s="83"/>
      <c r="NS10" s="83"/>
      <c r="NT10" s="83"/>
      <c r="NU10" s="83"/>
      <c r="NV10" s="83"/>
      <c r="NW10" s="83"/>
      <c r="NX10" s="83"/>
      <c r="NY10" s="83"/>
      <c r="NZ10" s="83"/>
      <c r="OA10" s="83"/>
      <c r="OB10" s="83"/>
      <c r="OC10" s="83"/>
      <c r="OD10" s="83"/>
      <c r="OE10" s="83"/>
      <c r="OF10" s="83"/>
      <c r="OG10" s="83"/>
      <c r="OH10" s="83"/>
      <c r="OI10" s="83"/>
      <c r="OJ10" s="83"/>
      <c r="OK10" s="83"/>
      <c r="OL10" s="83"/>
      <c r="OM10" s="83"/>
      <c r="ON10" s="83"/>
      <c r="OO10" s="83"/>
      <c r="OP10" s="83"/>
      <c r="OQ10" s="83"/>
      <c r="OR10" s="83"/>
      <c r="OS10" s="83"/>
      <c r="OT10" s="83"/>
      <c r="OU10" s="83"/>
      <c r="OV10" s="83"/>
      <c r="OW10" s="83"/>
      <c r="OX10" s="83"/>
      <c r="OY10" s="83"/>
      <c r="OZ10" s="83"/>
      <c r="PA10" s="83"/>
      <c r="PB10" s="83"/>
      <c r="PC10" s="83"/>
      <c r="PD10" s="83"/>
      <c r="PE10" s="83"/>
      <c r="PF10" s="83"/>
      <c r="PG10" s="83"/>
      <c r="PH10" s="83"/>
      <c r="PI10" s="83"/>
      <c r="PJ10" s="83"/>
      <c r="PK10" s="83"/>
      <c r="PL10" s="83"/>
      <c r="PM10" s="83"/>
      <c r="PN10" s="83"/>
      <c r="PO10" s="83"/>
      <c r="PP10" s="83"/>
      <c r="PQ10" s="83"/>
      <c r="PR10" s="83"/>
      <c r="PS10" s="83"/>
      <c r="PT10" s="83"/>
      <c r="PU10" s="83"/>
      <c r="PV10" s="83"/>
      <c r="PW10" s="83"/>
      <c r="PX10" s="83"/>
      <c r="PY10" s="83"/>
      <c r="PZ10" s="83"/>
      <c r="QA10" s="83"/>
      <c r="QB10" s="83"/>
      <c r="QC10" s="83"/>
      <c r="QD10" s="83"/>
      <c r="QE10" s="83"/>
      <c r="QF10" s="83"/>
      <c r="QG10" s="83"/>
      <c r="QH10" s="83"/>
      <c r="QI10" s="83"/>
      <c r="QJ10" s="83"/>
      <c r="QK10" s="83"/>
      <c r="QL10" s="83"/>
      <c r="QM10" s="83"/>
      <c r="QN10" s="83"/>
      <c r="QO10" s="83"/>
      <c r="QP10" s="83"/>
      <c r="QQ10" s="83"/>
      <c r="QR10" s="83"/>
      <c r="QS10" s="83"/>
      <c r="QT10" s="83"/>
      <c r="QU10" s="83"/>
      <c r="QV10" s="83"/>
      <c r="QW10" s="83"/>
      <c r="QX10" s="83"/>
    </row>
    <row r="11" spans="1:466" ht="15.6" customHeight="1" x14ac:dyDescent="0.25">
      <c r="A11" s="7"/>
      <c r="B11" s="8"/>
      <c r="C11" s="8"/>
      <c r="D11" s="8"/>
      <c r="E11" s="8"/>
      <c r="F11" s="8"/>
      <c r="G11" s="8"/>
      <c r="H11" s="8"/>
      <c r="I11" s="8"/>
      <c r="J11" s="8"/>
      <c r="K11" s="8"/>
      <c r="L11" s="8"/>
    </row>
    <row r="12" spans="1:466" ht="15.6" customHeight="1" x14ac:dyDescent="0.25">
      <c r="A12" s="7"/>
      <c r="B12" s="8"/>
      <c r="C12" s="8"/>
      <c r="D12" s="8"/>
      <c r="E12" s="8"/>
      <c r="F12" s="8"/>
      <c r="G12" s="8"/>
      <c r="H12" s="8"/>
      <c r="I12" s="8"/>
      <c r="J12" s="8"/>
      <c r="K12" s="8"/>
      <c r="L12" s="8"/>
    </row>
    <row r="13" spans="1:466" ht="15.6" customHeight="1" x14ac:dyDescent="0.25">
      <c r="A13" s="7"/>
      <c r="B13" s="8"/>
      <c r="C13" s="8"/>
      <c r="D13" s="8"/>
      <c r="E13" s="8"/>
      <c r="F13" s="8"/>
      <c r="G13" s="8"/>
      <c r="H13" s="8"/>
      <c r="I13" s="8"/>
      <c r="J13" s="8"/>
      <c r="K13" s="8"/>
      <c r="L13" s="8"/>
    </row>
    <row r="14" spans="1:466" ht="15.6" customHeight="1" x14ac:dyDescent="0.25">
      <c r="A14" s="7"/>
      <c r="B14" s="8"/>
      <c r="C14" s="8"/>
      <c r="D14" s="8"/>
      <c r="E14" s="8"/>
      <c r="F14" s="8"/>
      <c r="G14" s="8"/>
      <c r="H14" s="8"/>
      <c r="I14" s="8"/>
      <c r="J14" s="8"/>
      <c r="K14" s="8"/>
      <c r="L14" s="8"/>
    </row>
    <row r="15" spans="1:466" ht="15.6" customHeight="1" x14ac:dyDescent="0.25">
      <c r="A15" s="7"/>
      <c r="B15" s="8"/>
      <c r="C15" s="8"/>
      <c r="D15" s="8"/>
      <c r="E15" s="8"/>
      <c r="F15" s="8"/>
      <c r="G15" s="8"/>
      <c r="H15" s="8"/>
      <c r="I15" s="8"/>
      <c r="J15" s="8"/>
      <c r="K15" s="8"/>
      <c r="L15" s="8"/>
    </row>
    <row r="16" spans="1:466" ht="15.6" customHeight="1" x14ac:dyDescent="0.25">
      <c r="A16" s="7"/>
      <c r="B16" s="8"/>
      <c r="C16" s="8"/>
      <c r="D16" s="8"/>
      <c r="E16" s="8"/>
      <c r="F16" s="8"/>
      <c r="G16" s="8"/>
      <c r="H16" s="8"/>
      <c r="I16" s="8"/>
      <c r="J16" s="8"/>
      <c r="K16" s="8"/>
      <c r="L16" s="8"/>
    </row>
    <row r="17" spans="1:12" ht="15.6" customHeight="1" x14ac:dyDescent="0.25">
      <c r="A17" s="7"/>
      <c r="B17" s="8"/>
      <c r="C17" s="8"/>
      <c r="D17" s="8"/>
      <c r="E17" s="8"/>
      <c r="F17" s="8"/>
      <c r="G17" s="8"/>
      <c r="H17" s="8"/>
      <c r="I17" s="8"/>
      <c r="J17" s="8"/>
      <c r="K17" s="8"/>
      <c r="L17" s="8"/>
    </row>
    <row r="18" spans="1:12" ht="15.6" customHeight="1" x14ac:dyDescent="0.25">
      <c r="A18" s="7"/>
      <c r="B18" s="8"/>
      <c r="C18" s="8"/>
      <c r="D18" s="8"/>
      <c r="E18" s="8"/>
      <c r="F18" s="8"/>
      <c r="G18" s="8"/>
      <c r="H18" s="8"/>
      <c r="I18" s="8"/>
      <c r="J18" s="8"/>
      <c r="K18" s="8"/>
      <c r="L18" s="8"/>
    </row>
    <row r="19" spans="1:12" ht="15.6" customHeight="1" x14ac:dyDescent="0.25">
      <c r="A19" s="7"/>
      <c r="B19" s="8"/>
      <c r="C19" s="8"/>
      <c r="D19" s="8"/>
      <c r="E19" s="8"/>
      <c r="F19" s="8"/>
      <c r="G19" s="8"/>
      <c r="H19" s="8"/>
      <c r="I19" s="8"/>
      <c r="J19" s="8"/>
      <c r="K19" s="8"/>
      <c r="L19" s="8"/>
    </row>
    <row r="20" spans="1:12" ht="15.6" customHeight="1" x14ac:dyDescent="0.25">
      <c r="A20" s="7"/>
      <c r="B20" s="8"/>
      <c r="C20" s="8"/>
      <c r="D20" s="8"/>
      <c r="E20" s="8"/>
      <c r="F20" s="8"/>
      <c r="G20" s="8"/>
      <c r="H20" s="8"/>
      <c r="I20" s="8"/>
      <c r="J20" s="8"/>
      <c r="K20" s="8"/>
      <c r="L20" s="8"/>
    </row>
    <row r="21" spans="1:12" ht="15.6" customHeight="1" x14ac:dyDescent="0.25">
      <c r="A21" s="7"/>
      <c r="B21" s="8"/>
      <c r="C21" s="8"/>
      <c r="D21" s="8"/>
      <c r="E21" s="8"/>
      <c r="F21" s="8"/>
      <c r="G21" s="8"/>
      <c r="H21" s="8"/>
      <c r="I21" s="8"/>
      <c r="J21" s="8"/>
      <c r="K21" s="8"/>
      <c r="L21" s="8"/>
    </row>
    <row r="22" spans="1:12" ht="15.6" customHeight="1" x14ac:dyDescent="0.25">
      <c r="A22" s="7"/>
      <c r="B22" s="8"/>
      <c r="C22" s="8"/>
      <c r="D22" s="8"/>
      <c r="E22" s="8"/>
      <c r="F22" s="8"/>
      <c r="G22" s="8"/>
      <c r="H22" s="8"/>
      <c r="I22" s="8"/>
      <c r="J22" s="8"/>
      <c r="K22" s="8"/>
      <c r="L22" s="8"/>
    </row>
    <row r="23" spans="1:12" ht="15.6" customHeight="1" x14ac:dyDescent="0.25">
      <c r="A23" s="7"/>
      <c r="B23" s="8"/>
      <c r="C23" s="8"/>
      <c r="D23" s="8"/>
      <c r="E23" s="8"/>
      <c r="F23" s="8"/>
      <c r="G23" s="8"/>
      <c r="H23" s="8"/>
      <c r="I23" s="8"/>
      <c r="J23" s="8"/>
      <c r="K23" s="8"/>
      <c r="L23" s="8"/>
    </row>
    <row r="24" spans="1:12" ht="15.6" customHeight="1" x14ac:dyDescent="0.25">
      <c r="A24" s="7"/>
      <c r="B24" s="8"/>
      <c r="C24" s="8"/>
      <c r="D24" s="8"/>
      <c r="E24" s="8"/>
      <c r="F24" s="8"/>
      <c r="G24" s="8"/>
      <c r="H24" s="8"/>
      <c r="I24" s="8"/>
      <c r="J24" s="8"/>
      <c r="K24" s="8"/>
      <c r="L24" s="8"/>
    </row>
    <row r="25" spans="1:12" ht="15.6" customHeight="1" x14ac:dyDescent="0.25">
      <c r="A25" s="7"/>
      <c r="B25" s="8"/>
      <c r="C25" s="8"/>
      <c r="D25" s="8"/>
      <c r="E25" s="8"/>
      <c r="F25" s="8"/>
      <c r="G25" s="8"/>
      <c r="H25" s="8"/>
      <c r="I25" s="8"/>
      <c r="J25" s="8"/>
      <c r="K25" s="8"/>
      <c r="L25" s="8"/>
    </row>
    <row r="26" spans="1:12" ht="15.6" customHeight="1" x14ac:dyDescent="0.25">
      <c r="A26" s="7"/>
      <c r="B26" s="8"/>
      <c r="C26" s="8"/>
      <c r="D26" s="8"/>
      <c r="E26" s="8"/>
      <c r="F26" s="8"/>
      <c r="G26" s="8"/>
      <c r="H26" s="8"/>
      <c r="I26" s="8"/>
      <c r="J26" s="8"/>
      <c r="K26" s="8"/>
      <c r="L26" s="8"/>
    </row>
    <row r="27" spans="1:12" ht="15.6" customHeight="1" x14ac:dyDescent="0.25">
      <c r="A27" s="7"/>
      <c r="B27" s="8"/>
      <c r="C27" s="8"/>
      <c r="D27" s="8"/>
      <c r="E27" s="8"/>
      <c r="F27" s="8"/>
      <c r="G27" s="8"/>
      <c r="H27" s="8"/>
      <c r="I27" s="8"/>
      <c r="J27" s="8"/>
      <c r="K27" s="8"/>
      <c r="L27" s="8"/>
    </row>
    <row r="28" spans="1:12" ht="15.6" customHeight="1" x14ac:dyDescent="0.25">
      <c r="A28" s="7"/>
      <c r="B28" s="8"/>
      <c r="C28" s="8"/>
      <c r="D28" s="8"/>
      <c r="E28" s="8"/>
      <c r="F28" s="8"/>
      <c r="G28" s="8"/>
      <c r="H28" s="8"/>
      <c r="I28" s="8"/>
      <c r="J28" s="8"/>
      <c r="K28" s="8"/>
      <c r="L28" s="8"/>
    </row>
    <row r="29" spans="1:12" ht="15.6" customHeight="1" x14ac:dyDescent="0.25">
      <c r="A29" s="7"/>
      <c r="B29" s="8"/>
      <c r="C29" s="8"/>
      <c r="D29" s="8"/>
      <c r="E29" s="8"/>
      <c r="F29" s="8"/>
      <c r="G29" s="8"/>
      <c r="H29" s="8"/>
      <c r="I29" s="8"/>
      <c r="J29" s="8"/>
      <c r="K29" s="8"/>
      <c r="L29" s="8"/>
    </row>
    <row r="30" spans="1:12" ht="15.6" customHeight="1" x14ac:dyDescent="0.25">
      <c r="A30" s="7"/>
      <c r="B30" s="8"/>
      <c r="C30" s="8"/>
      <c r="D30" s="8"/>
      <c r="E30" s="8"/>
      <c r="F30" s="8"/>
      <c r="G30" s="8"/>
      <c r="H30" s="8"/>
      <c r="I30" s="8"/>
      <c r="J30" s="8"/>
      <c r="K30" s="8"/>
      <c r="L30" s="8"/>
    </row>
    <row r="31" spans="1:12" ht="15.6" customHeight="1" x14ac:dyDescent="0.25">
      <c r="A31" s="7"/>
      <c r="B31" s="8"/>
      <c r="C31" s="8"/>
      <c r="D31" s="8"/>
      <c r="E31" s="8"/>
      <c r="F31" s="8"/>
      <c r="G31" s="8"/>
      <c r="H31" s="8"/>
      <c r="I31" s="8"/>
      <c r="J31" s="8"/>
      <c r="K31" s="8"/>
      <c r="L31" s="8"/>
    </row>
    <row r="32" spans="1:12" ht="15.6" customHeight="1" x14ac:dyDescent="0.25">
      <c r="A32" s="7"/>
      <c r="B32" s="8"/>
      <c r="C32" s="8"/>
      <c r="D32" s="8"/>
      <c r="E32" s="8"/>
      <c r="F32" s="8"/>
      <c r="G32" s="8"/>
      <c r="H32" s="8"/>
      <c r="I32" s="8"/>
      <c r="J32" s="8"/>
      <c r="K32" s="8"/>
      <c r="L32" s="8"/>
    </row>
    <row r="33" spans="1:12" ht="15.6" customHeight="1" x14ac:dyDescent="0.25">
      <c r="A33" s="7"/>
      <c r="B33" s="8"/>
      <c r="C33" s="8"/>
      <c r="D33" s="8"/>
      <c r="E33" s="8"/>
      <c r="F33" s="8"/>
      <c r="G33" s="8"/>
      <c r="H33" s="8"/>
      <c r="I33" s="8"/>
      <c r="J33" s="8"/>
      <c r="K33" s="8"/>
      <c r="L33" s="8"/>
    </row>
    <row r="34" spans="1:12" ht="15.6" customHeight="1" x14ac:dyDescent="0.25">
      <c r="A34" s="7"/>
      <c r="B34" s="8"/>
      <c r="C34" s="8"/>
      <c r="D34" s="8"/>
      <c r="E34" s="8"/>
      <c r="F34" s="8"/>
      <c r="G34" s="8"/>
      <c r="H34" s="8"/>
      <c r="I34" s="8"/>
      <c r="J34" s="8"/>
      <c r="K34" s="8"/>
      <c r="L34" s="8"/>
    </row>
    <row r="35" spans="1:12" ht="15.6" customHeight="1" x14ac:dyDescent="0.25">
      <c r="A35" s="7"/>
      <c r="B35" s="8"/>
      <c r="C35" s="8"/>
      <c r="D35" s="8"/>
      <c r="E35" s="8"/>
      <c r="F35" s="8"/>
      <c r="G35" s="8"/>
      <c r="H35" s="8"/>
      <c r="I35" s="8"/>
      <c r="J35" s="8"/>
      <c r="K35" s="8"/>
      <c r="L35" s="8"/>
    </row>
    <row r="36" spans="1:12" ht="15.6" customHeight="1" x14ac:dyDescent="0.25">
      <c r="A36" s="7"/>
      <c r="B36" s="8"/>
      <c r="C36" s="8"/>
      <c r="D36" s="8"/>
      <c r="E36" s="8"/>
      <c r="F36" s="8"/>
      <c r="G36" s="8"/>
      <c r="H36" s="8"/>
      <c r="I36" s="8"/>
      <c r="J36" s="8"/>
      <c r="K36" s="8"/>
      <c r="L36" s="8"/>
    </row>
    <row r="37" spans="1:12" ht="15.6" customHeight="1" x14ac:dyDescent="0.25">
      <c r="A37" s="7"/>
      <c r="B37" s="8"/>
      <c r="C37" s="8"/>
      <c r="D37" s="8"/>
      <c r="E37" s="8"/>
      <c r="F37" s="8"/>
      <c r="G37" s="8"/>
      <c r="H37" s="8"/>
      <c r="I37" s="8"/>
      <c r="J37" s="8"/>
      <c r="K37" s="8"/>
      <c r="L37" s="8"/>
    </row>
    <row r="38" spans="1:12" ht="15.6" customHeight="1" x14ac:dyDescent="0.25">
      <c r="A38" s="7"/>
      <c r="B38" s="8"/>
      <c r="C38" s="8"/>
      <c r="D38" s="8"/>
      <c r="E38" s="8"/>
      <c r="F38" s="8"/>
      <c r="G38" s="8"/>
      <c r="H38" s="8"/>
      <c r="I38" s="8"/>
      <c r="J38" s="8"/>
      <c r="K38" s="8"/>
      <c r="L38" s="8"/>
    </row>
    <row r="39" spans="1:12" ht="15.6" customHeight="1" x14ac:dyDescent="0.25">
      <c r="A39" s="7"/>
      <c r="B39" s="8"/>
      <c r="C39" s="8"/>
      <c r="D39" s="8"/>
      <c r="E39" s="8"/>
      <c r="F39" s="8"/>
      <c r="G39" s="8"/>
      <c r="H39" s="8"/>
      <c r="I39" s="8"/>
      <c r="J39" s="8"/>
      <c r="K39" s="8"/>
      <c r="L39" s="8"/>
    </row>
    <row r="40" spans="1:12" ht="15.6" customHeight="1" x14ac:dyDescent="0.25">
      <c r="A40" s="7"/>
      <c r="B40" s="8"/>
      <c r="C40" s="8"/>
      <c r="D40" s="8"/>
      <c r="E40" s="8"/>
      <c r="F40" s="8"/>
      <c r="G40" s="8"/>
      <c r="H40" s="8"/>
      <c r="I40" s="8"/>
      <c r="J40" s="8"/>
      <c r="K40" s="8"/>
      <c r="L40" s="8"/>
    </row>
    <row r="41" spans="1:12" ht="15.6" customHeight="1" x14ac:dyDescent="0.25">
      <c r="A41" s="7"/>
      <c r="B41" s="8"/>
      <c r="C41" s="8"/>
      <c r="D41" s="8"/>
      <c r="E41" s="8"/>
      <c r="F41" s="8"/>
      <c r="G41" s="8"/>
      <c r="H41" s="8"/>
      <c r="I41" s="8"/>
      <c r="J41" s="8"/>
      <c r="K41" s="8"/>
      <c r="L41" s="8"/>
    </row>
    <row r="42" spans="1:12" ht="15.6" customHeight="1" x14ac:dyDescent="0.25">
      <c r="A42" s="7"/>
      <c r="B42" s="8"/>
      <c r="C42" s="8"/>
      <c r="D42" s="8"/>
      <c r="E42" s="8"/>
      <c r="F42" s="8"/>
      <c r="G42" s="8"/>
      <c r="H42" s="8"/>
      <c r="I42" s="8"/>
      <c r="J42" s="8"/>
      <c r="K42" s="8"/>
      <c r="L42" s="8"/>
    </row>
    <row r="43" spans="1:12" ht="15.6" customHeight="1" x14ac:dyDescent="0.25">
      <c r="A43" s="7"/>
      <c r="B43" s="8"/>
      <c r="C43" s="8"/>
      <c r="D43" s="8"/>
      <c r="E43" s="8"/>
      <c r="F43" s="8"/>
      <c r="G43" s="8"/>
      <c r="H43" s="8"/>
      <c r="I43" s="8"/>
      <c r="J43" s="8"/>
      <c r="K43" s="8"/>
      <c r="L43" s="8"/>
    </row>
    <row r="44" spans="1:12" ht="15.6" customHeight="1" x14ac:dyDescent="0.25">
      <c r="A44" s="7"/>
      <c r="B44" s="8"/>
      <c r="C44" s="8"/>
      <c r="D44" s="8"/>
      <c r="E44" s="8"/>
      <c r="F44" s="8"/>
      <c r="G44" s="8"/>
      <c r="H44" s="8"/>
      <c r="I44" s="8"/>
      <c r="J44" s="8"/>
      <c r="K44" s="8"/>
      <c r="L44" s="8"/>
    </row>
    <row r="45" spans="1:12" ht="15.6" customHeight="1" x14ac:dyDescent="0.25">
      <c r="A45" s="7"/>
      <c r="B45" s="8"/>
      <c r="C45" s="8"/>
      <c r="D45" s="8"/>
      <c r="E45" s="8"/>
      <c r="F45" s="8"/>
      <c r="G45" s="8"/>
      <c r="H45" s="8"/>
      <c r="I45" s="8"/>
      <c r="J45" s="8"/>
      <c r="K45" s="8"/>
      <c r="L45" s="8"/>
    </row>
    <row r="46" spans="1:12" ht="15.6" customHeight="1" x14ac:dyDescent="0.25">
      <c r="A46" s="7"/>
      <c r="B46" s="8"/>
      <c r="C46" s="8"/>
      <c r="D46" s="8"/>
      <c r="E46" s="8"/>
      <c r="F46" s="8"/>
      <c r="G46" s="8"/>
      <c r="H46" s="8"/>
      <c r="I46" s="8"/>
      <c r="J46" s="8"/>
      <c r="K46" s="8"/>
      <c r="L46" s="8"/>
    </row>
    <row r="47" spans="1:12" ht="15.6" customHeight="1" x14ac:dyDescent="0.25">
      <c r="A47" s="7"/>
      <c r="B47" s="8"/>
      <c r="C47" s="8"/>
      <c r="D47" s="8"/>
      <c r="E47" s="8"/>
      <c r="F47" s="8"/>
      <c r="G47" s="8"/>
      <c r="H47" s="8"/>
      <c r="I47" s="8"/>
      <c r="J47" s="8"/>
      <c r="K47" s="8"/>
      <c r="L47" s="8"/>
    </row>
    <row r="48" spans="1:12" ht="15.6" customHeight="1" x14ac:dyDescent="0.25">
      <c r="A48" s="7"/>
      <c r="B48" s="8"/>
      <c r="C48" s="8"/>
      <c r="D48" s="8"/>
      <c r="E48" s="8"/>
      <c r="F48" s="8"/>
      <c r="G48" s="8"/>
      <c r="H48" s="8"/>
      <c r="I48" s="8"/>
      <c r="J48" s="8"/>
      <c r="K48" s="8"/>
      <c r="L48" s="8"/>
    </row>
    <row r="49" spans="1:12" ht="15.6" customHeight="1" x14ac:dyDescent="0.25">
      <c r="A49" s="7"/>
      <c r="B49" s="8"/>
      <c r="C49" s="8"/>
      <c r="D49" s="8"/>
      <c r="E49" s="8"/>
      <c r="F49" s="8"/>
      <c r="G49" s="8"/>
      <c r="H49" s="8"/>
      <c r="I49" s="8"/>
      <c r="J49" s="8"/>
      <c r="K49" s="8"/>
      <c r="L49" s="8"/>
    </row>
    <row r="50" spans="1:12" ht="15.6" customHeight="1" x14ac:dyDescent="0.25">
      <c r="A50" s="7"/>
      <c r="B50" s="8"/>
      <c r="C50" s="8"/>
      <c r="D50" s="8"/>
      <c r="E50" s="8"/>
      <c r="F50" s="8"/>
      <c r="G50" s="8"/>
      <c r="H50" s="8"/>
      <c r="I50" s="8"/>
      <c r="J50" s="8"/>
      <c r="K50" s="8"/>
      <c r="L50" s="8"/>
    </row>
    <row r="51" spans="1:12" ht="15" x14ac:dyDescent="0.25">
      <c r="A51" s="7"/>
      <c r="B51" s="8"/>
      <c r="C51" s="8"/>
      <c r="D51" s="8"/>
      <c r="E51" s="8"/>
      <c r="F51" s="8"/>
      <c r="G51" s="8"/>
      <c r="H51" s="8"/>
      <c r="I51" s="8"/>
      <c r="J51" s="8"/>
      <c r="K51" s="8"/>
      <c r="L51" s="8"/>
    </row>
    <row r="52" spans="1:12" ht="15.6" customHeight="1" x14ac:dyDescent="0.25">
      <c r="A52" s="7"/>
      <c r="B52" s="8"/>
      <c r="C52" s="8"/>
      <c r="D52" s="8"/>
      <c r="E52" s="8"/>
      <c r="F52" s="8"/>
      <c r="G52" s="8"/>
      <c r="H52" s="8"/>
      <c r="I52" s="8"/>
      <c r="J52" s="8"/>
      <c r="K52" s="8"/>
      <c r="L52" s="8"/>
    </row>
    <row r="53" spans="1:12" ht="15.6" customHeight="1" x14ac:dyDescent="0.25">
      <c r="A53" s="7"/>
      <c r="B53" s="8"/>
      <c r="C53" s="8"/>
      <c r="D53" s="8"/>
      <c r="E53" s="8"/>
      <c r="F53" s="8"/>
      <c r="G53" s="8"/>
      <c r="H53" s="8"/>
      <c r="I53" s="8"/>
      <c r="J53" s="8"/>
      <c r="K53" s="8"/>
      <c r="L53" s="8"/>
    </row>
    <row r="54" spans="1:12" ht="15.6" customHeight="1" x14ac:dyDescent="0.25">
      <c r="A54" s="7"/>
      <c r="B54" s="8"/>
      <c r="C54" s="8"/>
      <c r="D54" s="8"/>
      <c r="E54" s="8"/>
      <c r="F54" s="8"/>
      <c r="G54" s="8"/>
      <c r="H54" s="8"/>
      <c r="I54" s="8"/>
      <c r="J54" s="8"/>
      <c r="K54" s="8"/>
      <c r="L54" s="8"/>
    </row>
    <row r="55" spans="1:12" ht="15.6" customHeight="1" x14ac:dyDescent="0.25">
      <c r="A55" s="7"/>
      <c r="B55" s="8"/>
      <c r="C55" s="8"/>
      <c r="D55" s="8"/>
      <c r="E55" s="8"/>
      <c r="F55" s="8"/>
      <c r="G55" s="8"/>
      <c r="H55" s="8"/>
      <c r="I55" s="8"/>
      <c r="J55" s="8"/>
      <c r="K55" s="8"/>
      <c r="L55" s="8"/>
    </row>
    <row r="56" spans="1:12" ht="15.6" customHeight="1" x14ac:dyDescent="0.25">
      <c r="A56" s="7"/>
      <c r="B56" s="8"/>
      <c r="C56" s="8"/>
      <c r="D56" s="8"/>
      <c r="E56" s="8"/>
      <c r="F56" s="8"/>
      <c r="G56" s="8"/>
      <c r="H56" s="8"/>
      <c r="I56" s="8"/>
      <c r="J56" s="8"/>
      <c r="K56" s="8"/>
      <c r="L56" s="8"/>
    </row>
    <row r="57" spans="1:12" ht="15.6" customHeight="1" x14ac:dyDescent="0.25">
      <c r="A57" s="7"/>
      <c r="B57" s="8"/>
      <c r="C57" s="8"/>
      <c r="D57" s="8"/>
      <c r="E57" s="8"/>
      <c r="F57" s="8"/>
      <c r="G57" s="8"/>
      <c r="H57" s="8"/>
      <c r="I57" s="8"/>
      <c r="J57" s="8"/>
      <c r="K57" s="8"/>
      <c r="L57" s="8"/>
    </row>
    <row r="58" spans="1:12" ht="15.6" customHeight="1" x14ac:dyDescent="0.25">
      <c r="A58" s="7"/>
      <c r="B58" s="8"/>
      <c r="C58" s="8"/>
      <c r="D58" s="8"/>
      <c r="E58" s="8"/>
      <c r="F58" s="8"/>
      <c r="G58" s="8"/>
      <c r="H58" s="8"/>
      <c r="I58" s="8"/>
      <c r="J58" s="8"/>
      <c r="K58" s="8"/>
      <c r="L58" s="8"/>
    </row>
    <row r="59" spans="1:12" ht="15.6" customHeight="1" x14ac:dyDescent="0.25">
      <c r="A59" s="7"/>
      <c r="B59" s="8"/>
      <c r="C59" s="8"/>
      <c r="D59" s="8"/>
      <c r="E59" s="8"/>
      <c r="F59" s="8"/>
      <c r="G59" s="8"/>
      <c r="H59" s="8"/>
      <c r="I59" s="8"/>
      <c r="J59" s="8"/>
      <c r="K59" s="8"/>
      <c r="L59" s="8"/>
    </row>
    <row r="60" spans="1:12" ht="15.6" customHeight="1" x14ac:dyDescent="0.25">
      <c r="A60" s="7"/>
      <c r="B60" s="8"/>
      <c r="C60" s="8"/>
      <c r="D60" s="8"/>
      <c r="E60" s="8"/>
      <c r="F60" s="8"/>
      <c r="G60" s="8"/>
      <c r="H60" s="8"/>
      <c r="I60" s="8"/>
      <c r="J60" s="8"/>
      <c r="K60" s="8"/>
      <c r="L60" s="8"/>
    </row>
    <row r="61" spans="1:12" ht="15.6" customHeight="1" x14ac:dyDescent="0.25">
      <c r="A61" s="7"/>
      <c r="B61" s="8"/>
      <c r="C61" s="8"/>
      <c r="D61" s="8"/>
      <c r="E61" s="8"/>
      <c r="F61" s="8"/>
      <c r="G61" s="8"/>
      <c r="H61" s="8"/>
      <c r="I61" s="8"/>
      <c r="J61" s="8"/>
      <c r="K61" s="8"/>
      <c r="L61" s="8"/>
    </row>
    <row r="62" spans="1:12" ht="15.6" customHeight="1" x14ac:dyDescent="0.25">
      <c r="A62" s="7"/>
      <c r="B62" s="8"/>
      <c r="C62" s="8"/>
      <c r="D62" s="8"/>
      <c r="E62" s="8"/>
      <c r="F62" s="8"/>
      <c r="G62" s="8"/>
      <c r="H62" s="8"/>
      <c r="I62" s="8"/>
      <c r="J62" s="8"/>
      <c r="K62" s="8"/>
      <c r="L62" s="8"/>
    </row>
    <row r="63" spans="1:12" ht="15.6" customHeight="1" x14ac:dyDescent="0.25">
      <c r="A63" s="7"/>
      <c r="B63" s="8"/>
      <c r="C63" s="8"/>
      <c r="D63" s="8"/>
      <c r="E63" s="8"/>
      <c r="F63" s="8"/>
      <c r="G63" s="8"/>
      <c r="H63" s="8"/>
      <c r="I63" s="8"/>
      <c r="J63" s="8"/>
      <c r="K63" s="8"/>
      <c r="L63" s="8"/>
    </row>
    <row r="64" spans="1:12" ht="15.6" customHeight="1" x14ac:dyDescent="0.25">
      <c r="A64" s="7"/>
      <c r="B64" s="8"/>
      <c r="C64" s="8"/>
      <c r="D64" s="8"/>
      <c r="E64" s="8"/>
      <c r="F64" s="8"/>
      <c r="G64" s="8"/>
      <c r="H64" s="8"/>
      <c r="I64" s="8"/>
      <c r="J64" s="8"/>
      <c r="K64" s="8"/>
      <c r="L64" s="8"/>
    </row>
    <row r="65" spans="1:12" ht="15.6" customHeight="1" x14ac:dyDescent="0.25">
      <c r="A65" s="7"/>
      <c r="B65" s="8"/>
      <c r="C65" s="8"/>
      <c r="D65" s="8"/>
      <c r="E65" s="8"/>
      <c r="F65" s="8"/>
      <c r="G65" s="8"/>
      <c r="H65" s="8"/>
      <c r="I65" s="8"/>
      <c r="J65" s="8"/>
      <c r="K65" s="8"/>
      <c r="L65" s="8"/>
    </row>
    <row r="66" spans="1:12" ht="15.6" customHeight="1" x14ac:dyDescent="0.25">
      <c r="A66" s="7"/>
      <c r="B66" s="8"/>
      <c r="C66" s="8"/>
      <c r="D66" s="8"/>
      <c r="E66" s="8"/>
      <c r="F66" s="8"/>
      <c r="G66" s="8"/>
      <c r="H66" s="8"/>
      <c r="I66" s="8"/>
      <c r="J66" s="8"/>
      <c r="K66" s="8"/>
      <c r="L66" s="8"/>
    </row>
    <row r="67" spans="1:12" ht="15.6" customHeight="1" x14ac:dyDescent="0.25">
      <c r="A67" s="7"/>
      <c r="B67" s="8"/>
      <c r="C67" s="8"/>
      <c r="D67" s="8"/>
      <c r="E67" s="8"/>
      <c r="F67" s="8"/>
      <c r="G67" s="8"/>
      <c r="H67" s="8"/>
      <c r="I67" s="8"/>
      <c r="J67" s="8"/>
      <c r="K67" s="8"/>
      <c r="L67" s="8"/>
    </row>
    <row r="68" spans="1:12" ht="15.6" customHeight="1" x14ac:dyDescent="0.25">
      <c r="A68" s="7"/>
      <c r="B68" s="8"/>
      <c r="C68" s="8"/>
      <c r="D68" s="8"/>
      <c r="E68" s="8"/>
      <c r="F68" s="8"/>
      <c r="G68" s="8"/>
      <c r="H68" s="8"/>
      <c r="I68" s="8"/>
      <c r="J68" s="8"/>
      <c r="K68" s="8"/>
      <c r="L68" s="8"/>
    </row>
    <row r="69" spans="1:12" ht="15.6" customHeight="1" x14ac:dyDescent="0.25">
      <c r="A69" s="7"/>
      <c r="B69" s="8"/>
      <c r="C69" s="8"/>
      <c r="D69" s="8"/>
      <c r="E69" s="8"/>
      <c r="F69" s="8"/>
      <c r="G69" s="8"/>
      <c r="H69" s="8"/>
      <c r="I69" s="8"/>
      <c r="J69" s="8"/>
      <c r="K69" s="8"/>
      <c r="L69" s="8"/>
    </row>
    <row r="70" spans="1:12" ht="15.6" customHeight="1" x14ac:dyDescent="0.25">
      <c r="A70" s="7"/>
      <c r="B70" s="8"/>
      <c r="C70" s="8"/>
      <c r="D70" s="8"/>
      <c r="E70" s="8"/>
      <c r="F70" s="8"/>
      <c r="G70" s="8"/>
      <c r="H70" s="8"/>
      <c r="I70" s="8"/>
      <c r="J70" s="8"/>
      <c r="K70" s="8"/>
      <c r="L70" s="8"/>
    </row>
    <row r="71" spans="1:12" ht="15.6" customHeight="1" x14ac:dyDescent="0.25">
      <c r="A71" s="7"/>
      <c r="B71" s="8"/>
      <c r="C71" s="8"/>
      <c r="D71" s="8"/>
      <c r="E71" s="8"/>
      <c r="F71" s="8"/>
      <c r="G71" s="8"/>
      <c r="H71" s="8"/>
      <c r="I71" s="8"/>
      <c r="J71" s="8"/>
      <c r="K71" s="8"/>
      <c r="L71" s="8"/>
    </row>
    <row r="72" spans="1:12" ht="15.6" customHeight="1" x14ac:dyDescent="0.25">
      <c r="A72" s="7"/>
      <c r="B72" s="8"/>
      <c r="C72" s="8"/>
      <c r="D72" s="8"/>
      <c r="E72" s="8"/>
      <c r="F72" s="8"/>
      <c r="G72" s="8"/>
      <c r="H72" s="8"/>
      <c r="I72" s="8"/>
      <c r="J72" s="8"/>
      <c r="K72" s="8"/>
      <c r="L72" s="8"/>
    </row>
    <row r="73" spans="1:12" ht="15.6" customHeight="1" x14ac:dyDescent="0.25">
      <c r="A73" s="7"/>
      <c r="B73" s="8"/>
      <c r="C73" s="8"/>
      <c r="D73" s="8"/>
      <c r="E73" s="8"/>
      <c r="F73" s="8"/>
      <c r="G73" s="8"/>
      <c r="H73" s="8"/>
      <c r="I73" s="8"/>
      <c r="J73" s="8"/>
      <c r="K73" s="8"/>
      <c r="L73" s="8"/>
    </row>
    <row r="74" spans="1:12" ht="15.6" customHeight="1" x14ac:dyDescent="0.25">
      <c r="A74" s="7"/>
      <c r="B74" s="8"/>
      <c r="C74" s="8"/>
      <c r="D74" s="8"/>
      <c r="E74" s="8"/>
      <c r="F74" s="8"/>
      <c r="G74" s="8"/>
      <c r="H74" s="8"/>
      <c r="I74" s="8"/>
      <c r="J74" s="8"/>
      <c r="K74" s="8"/>
      <c r="L74" s="8"/>
    </row>
    <row r="75" spans="1:12" ht="15.6" customHeight="1" x14ac:dyDescent="0.25">
      <c r="A75" s="7"/>
      <c r="B75" s="8"/>
      <c r="C75" s="8"/>
      <c r="D75" s="8"/>
      <c r="E75" s="8"/>
      <c r="F75" s="8"/>
      <c r="G75" s="8"/>
      <c r="H75" s="8"/>
      <c r="I75" s="8"/>
      <c r="J75" s="8"/>
      <c r="K75" s="8"/>
      <c r="L75" s="8"/>
    </row>
    <row r="76" spans="1:12" ht="15.6" customHeight="1" x14ac:dyDescent="0.25">
      <c r="A76" s="7"/>
      <c r="B76" s="8"/>
      <c r="C76" s="8"/>
      <c r="D76" s="8"/>
      <c r="E76" s="8"/>
      <c r="F76" s="8"/>
      <c r="G76" s="8"/>
      <c r="H76" s="8"/>
      <c r="I76" s="8"/>
      <c r="J76" s="8"/>
      <c r="K76" s="8"/>
      <c r="L76" s="8"/>
    </row>
    <row r="77" spans="1:12" ht="15.6" customHeight="1" x14ac:dyDescent="0.25">
      <c r="A77" s="7"/>
      <c r="B77" s="8"/>
      <c r="C77" s="8"/>
      <c r="D77" s="8"/>
      <c r="E77" s="8"/>
      <c r="F77" s="8"/>
      <c r="G77" s="8"/>
      <c r="H77" s="8"/>
      <c r="I77" s="8"/>
      <c r="J77" s="8"/>
      <c r="K77" s="8"/>
      <c r="L77" s="8"/>
    </row>
    <row r="78" spans="1:12" ht="15.6" customHeight="1" x14ac:dyDescent="0.25">
      <c r="A78" s="7"/>
      <c r="B78" s="8"/>
      <c r="C78" s="8"/>
      <c r="D78" s="8"/>
      <c r="E78" s="8"/>
      <c r="F78" s="8"/>
      <c r="G78" s="8"/>
      <c r="H78" s="8"/>
      <c r="I78" s="8"/>
      <c r="J78" s="8"/>
      <c r="K78" s="8"/>
      <c r="L78" s="8"/>
    </row>
    <row r="79" spans="1:12" ht="15.6" customHeight="1" x14ac:dyDescent="0.25">
      <c r="A79" s="7"/>
      <c r="B79" s="8"/>
      <c r="C79" s="8"/>
      <c r="D79" s="8"/>
      <c r="E79" s="8"/>
      <c r="F79" s="8"/>
      <c r="G79" s="8"/>
      <c r="H79" s="8"/>
      <c r="I79" s="8"/>
      <c r="J79" s="8"/>
      <c r="K79" s="8"/>
      <c r="L79" s="8"/>
    </row>
    <row r="80" spans="1:12" ht="15.6" customHeight="1" x14ac:dyDescent="0.25">
      <c r="A80" s="7"/>
      <c r="B80" s="8"/>
      <c r="C80" s="8"/>
      <c r="D80" s="8"/>
      <c r="E80" s="8"/>
      <c r="F80" s="8"/>
      <c r="G80" s="8"/>
      <c r="H80" s="8"/>
      <c r="I80" s="8"/>
      <c r="J80" s="8"/>
      <c r="K80" s="8"/>
      <c r="L80" s="8"/>
    </row>
    <row r="81" spans="1:12" ht="15.6" customHeight="1" x14ac:dyDescent="0.25">
      <c r="A81" s="7"/>
      <c r="B81" s="8"/>
      <c r="C81" s="8"/>
      <c r="D81" s="8"/>
      <c r="E81" s="8"/>
      <c r="F81" s="8"/>
      <c r="G81" s="8"/>
      <c r="H81" s="8"/>
      <c r="I81" s="8"/>
      <c r="J81" s="8"/>
      <c r="K81" s="8"/>
      <c r="L81" s="8"/>
    </row>
    <row r="82" spans="1:12" ht="15.6" customHeight="1" x14ac:dyDescent="0.25">
      <c r="A82" s="7"/>
      <c r="B82" s="8"/>
      <c r="C82" s="8"/>
      <c r="D82" s="8"/>
      <c r="E82" s="8"/>
      <c r="F82" s="8"/>
      <c r="G82" s="8"/>
      <c r="H82" s="8"/>
      <c r="I82" s="8"/>
      <c r="J82" s="8"/>
      <c r="K82" s="8"/>
      <c r="L82" s="8"/>
    </row>
    <row r="83" spans="1:12" ht="15.6" customHeight="1" x14ac:dyDescent="0.25">
      <c r="A83" s="7"/>
      <c r="B83" s="8"/>
      <c r="C83" s="8"/>
      <c r="D83" s="8"/>
      <c r="E83" s="8"/>
      <c r="F83" s="8"/>
      <c r="G83" s="8"/>
      <c r="H83" s="8"/>
      <c r="I83" s="8"/>
      <c r="J83" s="8"/>
      <c r="K83" s="8"/>
      <c r="L83" s="8"/>
    </row>
    <row r="84" spans="1:12" ht="15.6" customHeight="1" x14ac:dyDescent="0.25">
      <c r="A84" s="7"/>
      <c r="B84" s="8"/>
      <c r="C84" s="8"/>
      <c r="D84" s="8"/>
      <c r="E84" s="8"/>
      <c r="F84" s="8"/>
      <c r="G84" s="8"/>
      <c r="H84" s="8"/>
      <c r="I84" s="8"/>
      <c r="J84" s="8"/>
      <c r="K84" s="8"/>
      <c r="L84" s="8"/>
    </row>
    <row r="85" spans="1:12" ht="15.6" customHeight="1" x14ac:dyDescent="0.25">
      <c r="A85" s="7"/>
      <c r="B85" s="8"/>
      <c r="C85" s="8"/>
      <c r="D85" s="8"/>
      <c r="E85" s="8"/>
      <c r="F85" s="8"/>
      <c r="G85" s="8"/>
      <c r="H85" s="8"/>
      <c r="I85" s="8"/>
      <c r="J85" s="8"/>
      <c r="K85" s="8"/>
      <c r="L85" s="8"/>
    </row>
    <row r="86" spans="1:12" ht="15.6" customHeight="1" x14ac:dyDescent="0.25">
      <c r="A86" s="7"/>
      <c r="B86" s="8"/>
      <c r="C86" s="8"/>
      <c r="D86" s="8"/>
      <c r="E86" s="8"/>
      <c r="F86" s="8"/>
      <c r="G86" s="8"/>
      <c r="H86" s="8"/>
      <c r="I86" s="8"/>
      <c r="J86" s="8"/>
      <c r="K86" s="8"/>
      <c r="L86" s="8"/>
    </row>
    <row r="87" spans="1:12" ht="15.6" customHeight="1" x14ac:dyDescent="0.25">
      <c r="A87" s="7"/>
      <c r="B87" s="8"/>
      <c r="C87" s="8"/>
      <c r="D87" s="8"/>
      <c r="E87" s="8"/>
      <c r="F87" s="8"/>
      <c r="G87" s="8"/>
      <c r="H87" s="8"/>
      <c r="I87" s="8"/>
      <c r="J87" s="8"/>
      <c r="K87" s="8"/>
      <c r="L87" s="8"/>
    </row>
    <row r="88" spans="1:12" ht="15.6" customHeight="1" x14ac:dyDescent="0.25">
      <c r="A88" s="7"/>
      <c r="B88" s="8"/>
      <c r="C88" s="8"/>
      <c r="D88" s="8"/>
      <c r="E88" s="8"/>
      <c r="F88" s="8"/>
      <c r="G88" s="8"/>
      <c r="H88" s="8"/>
      <c r="I88" s="8"/>
      <c r="J88" s="8"/>
      <c r="K88" s="8"/>
      <c r="L88" s="8"/>
    </row>
    <row r="89" spans="1:12" ht="15.6" customHeight="1" x14ac:dyDescent="0.25">
      <c r="A89" s="7"/>
      <c r="B89" s="8"/>
      <c r="C89" s="8"/>
      <c r="D89" s="8"/>
      <c r="E89" s="8"/>
      <c r="F89" s="8"/>
      <c r="G89" s="8"/>
      <c r="H89" s="8"/>
      <c r="I89" s="8"/>
      <c r="J89" s="8"/>
      <c r="K89" s="8"/>
      <c r="L89" s="8"/>
    </row>
    <row r="90" spans="1:12" ht="15.6" customHeight="1" x14ac:dyDescent="0.25">
      <c r="A90" s="7"/>
      <c r="B90" s="8"/>
      <c r="C90" s="8"/>
      <c r="D90" s="8"/>
      <c r="E90" s="8"/>
      <c r="F90" s="8"/>
      <c r="G90" s="8"/>
      <c r="H90" s="8"/>
      <c r="I90" s="8"/>
      <c r="J90" s="8"/>
      <c r="K90" s="8"/>
      <c r="L90" s="8"/>
    </row>
    <row r="91" spans="1:12" ht="15.6" customHeight="1" x14ac:dyDescent="0.25">
      <c r="A91" s="7"/>
      <c r="B91" s="8"/>
      <c r="C91" s="8"/>
      <c r="D91" s="8"/>
      <c r="E91" s="8"/>
      <c r="F91" s="8"/>
      <c r="G91" s="8"/>
      <c r="H91" s="8"/>
      <c r="I91" s="8"/>
      <c r="J91" s="8"/>
      <c r="K91" s="8"/>
      <c r="L91" s="8"/>
    </row>
    <row r="92" spans="1:12" ht="15.6" customHeight="1" x14ac:dyDescent="0.25">
      <c r="A92" s="7"/>
      <c r="B92" s="8"/>
      <c r="C92" s="8"/>
      <c r="D92" s="8"/>
      <c r="E92" s="8"/>
      <c r="F92" s="8"/>
      <c r="G92" s="8"/>
      <c r="H92" s="8"/>
      <c r="I92" s="8"/>
      <c r="J92" s="8"/>
      <c r="K92" s="8"/>
      <c r="L92" s="8"/>
    </row>
    <row r="93" spans="1:12" ht="15.6" customHeight="1" x14ac:dyDescent="0.25">
      <c r="A93" s="7"/>
      <c r="B93" s="8"/>
      <c r="C93" s="8"/>
      <c r="D93" s="8"/>
      <c r="E93" s="8"/>
      <c r="F93" s="8"/>
      <c r="G93" s="8"/>
      <c r="H93" s="8"/>
      <c r="I93" s="8"/>
      <c r="J93" s="8"/>
      <c r="K93" s="8"/>
      <c r="L93" s="8"/>
    </row>
    <row r="94" spans="1:12" ht="15.6" customHeight="1" x14ac:dyDescent="0.25">
      <c r="A94" s="7"/>
      <c r="B94" s="8"/>
      <c r="C94" s="8"/>
      <c r="D94" s="8"/>
      <c r="E94" s="8"/>
      <c r="F94" s="8"/>
      <c r="G94" s="8"/>
      <c r="H94" s="8"/>
      <c r="I94" s="8"/>
      <c r="J94" s="8"/>
      <c r="K94" s="8"/>
      <c r="L94" s="8"/>
    </row>
    <row r="95" spans="1:12" ht="15.6" customHeight="1" x14ac:dyDescent="0.25">
      <c r="A95" s="7"/>
      <c r="B95" s="8"/>
      <c r="C95" s="8"/>
      <c r="D95" s="8"/>
      <c r="E95" s="8"/>
      <c r="F95" s="8"/>
      <c r="G95" s="8"/>
      <c r="H95" s="8"/>
      <c r="I95" s="8"/>
      <c r="J95" s="8"/>
      <c r="K95" s="8"/>
      <c r="L95" s="8"/>
    </row>
    <row r="96" spans="1:12" ht="15.6" customHeight="1" x14ac:dyDescent="0.25">
      <c r="A96" s="7"/>
      <c r="B96" s="8"/>
      <c r="C96" s="8"/>
      <c r="D96" s="8"/>
      <c r="E96" s="8"/>
      <c r="F96" s="8"/>
      <c r="G96" s="8"/>
      <c r="H96" s="8"/>
      <c r="I96" s="8"/>
      <c r="J96" s="8"/>
      <c r="K96" s="8"/>
      <c r="L96" s="8"/>
    </row>
    <row r="97" spans="1:12" ht="15.6" customHeight="1" x14ac:dyDescent="0.25">
      <c r="A97" s="7"/>
      <c r="B97" s="8"/>
      <c r="C97" s="8"/>
      <c r="D97" s="8"/>
      <c r="E97" s="8"/>
      <c r="F97" s="8"/>
      <c r="G97" s="8"/>
      <c r="H97" s="8"/>
      <c r="I97" s="8"/>
      <c r="J97" s="8"/>
      <c r="K97" s="8"/>
      <c r="L97" s="8"/>
    </row>
    <row r="98" spans="1:12" ht="15.6" customHeight="1" x14ac:dyDescent="0.25">
      <c r="A98" s="7"/>
      <c r="B98" s="8"/>
      <c r="C98" s="8"/>
      <c r="D98" s="8"/>
      <c r="E98" s="8"/>
      <c r="F98" s="8"/>
      <c r="G98" s="8"/>
      <c r="H98" s="8"/>
      <c r="I98" s="8"/>
      <c r="J98" s="8"/>
      <c r="K98" s="8"/>
      <c r="L98" s="8"/>
    </row>
    <row r="99" spans="1:12" ht="15.6" customHeight="1" x14ac:dyDescent="0.25">
      <c r="A99" s="7"/>
      <c r="B99" s="8"/>
      <c r="C99" s="8"/>
      <c r="D99" s="8"/>
      <c r="E99" s="8"/>
      <c r="F99" s="8"/>
      <c r="G99" s="8"/>
      <c r="H99" s="8"/>
      <c r="I99" s="8"/>
      <c r="J99" s="8"/>
      <c r="K99" s="8"/>
      <c r="L99" s="8"/>
    </row>
    <row r="100" spans="1:12" ht="15.6" customHeight="1" x14ac:dyDescent="0.25">
      <c r="A100" s="122">
        <v>1</v>
      </c>
      <c r="B100" s="122">
        <v>1</v>
      </c>
      <c r="C100" s="122">
        <v>1</v>
      </c>
      <c r="D100" s="122">
        <v>1</v>
      </c>
      <c r="E100" s="122">
        <v>1</v>
      </c>
      <c r="F100" s="122">
        <v>1</v>
      </c>
      <c r="G100" s="122">
        <v>1</v>
      </c>
      <c r="H100" s="122">
        <v>1</v>
      </c>
      <c r="I100" s="122">
        <v>1</v>
      </c>
      <c r="J100" s="122">
        <v>1</v>
      </c>
      <c r="K100" s="122">
        <v>1</v>
      </c>
      <c r="L100" s="122">
        <v>1</v>
      </c>
    </row>
    <row r="101" spans="1:12" ht="15.6" customHeight="1" x14ac:dyDescent="0.25">
      <c r="A101" s="7"/>
      <c r="B101" s="8"/>
      <c r="C101" s="8"/>
      <c r="D101" s="8"/>
      <c r="E101" s="8"/>
      <c r="F101" s="8"/>
      <c r="G101" s="8"/>
      <c r="H101" s="8"/>
      <c r="I101" s="8"/>
      <c r="J101" s="8"/>
      <c r="K101" s="8"/>
      <c r="L101" s="8"/>
    </row>
    <row r="102" spans="1:12" ht="15.6" customHeight="1" x14ac:dyDescent="0.25">
      <c r="A102" s="7"/>
      <c r="B102" s="8"/>
      <c r="C102" s="8"/>
      <c r="D102" s="8"/>
      <c r="E102" s="8"/>
      <c r="F102" s="8"/>
      <c r="G102" s="8"/>
      <c r="H102" s="8"/>
      <c r="I102" s="8"/>
      <c r="J102" s="8"/>
      <c r="K102" s="8"/>
      <c r="L102" s="8"/>
    </row>
    <row r="103" spans="1:12" ht="15.6" customHeight="1" x14ac:dyDescent="0.25">
      <c r="A103" s="7"/>
      <c r="B103" s="8"/>
      <c r="C103" s="8"/>
      <c r="D103" s="8"/>
      <c r="E103" s="8"/>
      <c r="F103" s="8"/>
      <c r="G103" s="8"/>
      <c r="H103" s="8"/>
      <c r="I103" s="8"/>
      <c r="J103" s="8"/>
      <c r="K103" s="8"/>
      <c r="L103" s="8"/>
    </row>
    <row r="104" spans="1:12" ht="15.6" customHeight="1" x14ac:dyDescent="0.25">
      <c r="A104" s="7"/>
      <c r="B104" s="8"/>
      <c r="C104" s="8"/>
      <c r="D104" s="8"/>
      <c r="E104" s="8"/>
      <c r="F104" s="8"/>
      <c r="G104" s="8"/>
      <c r="H104" s="8"/>
      <c r="I104" s="8"/>
      <c r="J104" s="8"/>
      <c r="K104" s="8"/>
      <c r="L104" s="8"/>
    </row>
    <row r="105" spans="1:12" ht="15.6" customHeight="1" x14ac:dyDescent="0.25">
      <c r="A105" s="7"/>
      <c r="B105" s="8"/>
      <c r="C105" s="8"/>
      <c r="D105" s="8"/>
      <c r="E105" s="8"/>
      <c r="F105" s="8"/>
      <c r="G105" s="8"/>
      <c r="H105" s="8"/>
      <c r="I105" s="8"/>
      <c r="J105" s="8"/>
      <c r="K105" s="8"/>
      <c r="L105" s="8"/>
    </row>
    <row r="106" spans="1:12" ht="15.6" customHeight="1" x14ac:dyDescent="0.25">
      <c r="A106" s="7"/>
      <c r="B106" s="8"/>
      <c r="C106" s="8"/>
      <c r="D106" s="8"/>
      <c r="E106" s="8"/>
      <c r="F106" s="8"/>
      <c r="G106" s="8"/>
      <c r="H106" s="8"/>
      <c r="I106" s="8"/>
      <c r="J106" s="8"/>
      <c r="K106" s="8"/>
      <c r="L106" s="8"/>
    </row>
    <row r="107" spans="1:12" ht="15.6" customHeight="1" x14ac:dyDescent="0.25">
      <c r="A107" s="7"/>
      <c r="B107" s="8"/>
      <c r="C107" s="8"/>
      <c r="D107" s="8"/>
      <c r="E107" s="8"/>
      <c r="F107" s="8"/>
      <c r="G107" s="8"/>
      <c r="H107" s="8"/>
      <c r="I107" s="8"/>
      <c r="J107" s="8"/>
      <c r="K107" s="8"/>
      <c r="L107" s="8"/>
    </row>
    <row r="108" spans="1:12" ht="15.6" customHeight="1" x14ac:dyDescent="0.25">
      <c r="A108" s="7"/>
      <c r="B108" s="8"/>
      <c r="C108" s="8"/>
      <c r="D108" s="8"/>
      <c r="E108" s="8"/>
      <c r="F108" s="8"/>
      <c r="G108" s="8"/>
      <c r="H108" s="8"/>
      <c r="I108" s="8"/>
      <c r="J108" s="8"/>
      <c r="K108" s="8"/>
      <c r="L108" s="8"/>
    </row>
    <row r="109" spans="1:12" ht="15.6" customHeight="1" x14ac:dyDescent="0.25">
      <c r="A109" s="7"/>
      <c r="B109" s="8"/>
      <c r="C109" s="8"/>
      <c r="D109" s="8"/>
      <c r="E109" s="8"/>
      <c r="F109" s="8"/>
      <c r="G109" s="8"/>
      <c r="H109" s="8"/>
      <c r="I109" s="8"/>
      <c r="J109" s="8"/>
      <c r="K109" s="8"/>
      <c r="L109" s="8"/>
    </row>
    <row r="110" spans="1:12" ht="15.6" customHeight="1" x14ac:dyDescent="0.25">
      <c r="A110" s="7"/>
      <c r="B110" s="8"/>
      <c r="C110" s="8"/>
      <c r="D110" s="8"/>
      <c r="E110" s="8"/>
      <c r="F110" s="8"/>
      <c r="G110" s="8"/>
      <c r="H110" s="8"/>
      <c r="I110" s="8"/>
      <c r="J110" s="8"/>
      <c r="K110" s="8"/>
      <c r="L110" s="8"/>
    </row>
    <row r="111" spans="1:12" ht="15.6" customHeight="1" x14ac:dyDescent="0.25">
      <c r="A111" s="7"/>
      <c r="B111" s="8"/>
      <c r="C111" s="8"/>
      <c r="D111" s="8"/>
      <c r="E111" s="8"/>
      <c r="F111" s="8"/>
      <c r="G111" s="8"/>
      <c r="H111" s="8"/>
      <c r="I111" s="8"/>
      <c r="J111" s="8"/>
      <c r="K111" s="8"/>
      <c r="L111" s="8"/>
    </row>
    <row r="112" spans="1:12" ht="15.6" customHeight="1" x14ac:dyDescent="0.25">
      <c r="A112" s="7"/>
      <c r="B112" s="8"/>
      <c r="C112" s="8"/>
      <c r="D112" s="8"/>
      <c r="E112" s="8"/>
      <c r="F112" s="8"/>
      <c r="G112" s="8"/>
      <c r="H112" s="8"/>
      <c r="I112" s="8"/>
      <c r="J112" s="8"/>
      <c r="K112" s="8"/>
      <c r="L112" s="8"/>
    </row>
    <row r="113" spans="1:12" ht="15.6" customHeight="1" x14ac:dyDescent="0.25">
      <c r="A113" s="7"/>
      <c r="B113" s="8"/>
      <c r="C113" s="8"/>
      <c r="D113" s="8"/>
      <c r="E113" s="8"/>
      <c r="F113" s="8"/>
      <c r="G113" s="8"/>
      <c r="H113" s="8"/>
      <c r="I113" s="8"/>
      <c r="J113" s="8"/>
      <c r="K113" s="8"/>
      <c r="L113" s="8"/>
    </row>
    <row r="114" spans="1:12" ht="15.6" customHeight="1" x14ac:dyDescent="0.25">
      <c r="A114" s="7"/>
      <c r="B114" s="8"/>
      <c r="C114" s="8"/>
      <c r="D114" s="8"/>
      <c r="E114" s="8"/>
      <c r="F114" s="8"/>
      <c r="G114" s="8"/>
      <c r="H114" s="8"/>
      <c r="I114" s="8"/>
      <c r="J114" s="8"/>
      <c r="K114" s="8"/>
      <c r="L114" s="8"/>
    </row>
    <row r="115" spans="1:12" ht="15.6" customHeight="1" x14ac:dyDescent="0.25">
      <c r="A115" s="7"/>
      <c r="B115" s="8"/>
      <c r="C115" s="8"/>
      <c r="D115" s="8"/>
      <c r="E115" s="8"/>
      <c r="F115" s="8"/>
      <c r="G115" s="8"/>
      <c r="H115" s="8"/>
      <c r="I115" s="8"/>
      <c r="J115" s="8"/>
      <c r="K115" s="8"/>
      <c r="L115" s="8"/>
    </row>
    <row r="116" spans="1:12" ht="15.6" customHeight="1" x14ac:dyDescent="0.25">
      <c r="A116" s="7"/>
      <c r="B116" s="8"/>
      <c r="C116" s="8"/>
      <c r="D116" s="8"/>
      <c r="E116" s="8"/>
      <c r="F116" s="8"/>
      <c r="G116" s="8"/>
      <c r="H116" s="8"/>
      <c r="I116" s="8"/>
      <c r="J116" s="8"/>
      <c r="K116" s="8"/>
      <c r="L116" s="8"/>
    </row>
  </sheetData>
  <sheetProtection formatCells="0" formatColumns="0" formatRows="0"/>
  <mergeCells count="2">
    <mergeCell ref="K2:L2"/>
    <mergeCell ref="A1:B1"/>
  </mergeCells>
  <conditionalFormatting sqref="E1:XFD1 A1:B1 A2:XFD1048576">
    <cfRule type="expression" dxfId="33" priority="88">
      <formula>#REF!&lt;TODAY()</formula>
    </cfRule>
  </conditionalFormatting>
  <conditionalFormatting sqref="K7">
    <cfRule type="expression" dxfId="32" priority="7">
      <formula>AND($K$7 ="No/Non", TODAY()-#REF!&gt;60)</formula>
    </cfRule>
  </conditionalFormatting>
  <dataValidations count="2">
    <dataValidation type="date" operator="greaterThan" allowBlank="1" showInputMessage="1" showErrorMessage="1" sqref="L7:L100" xr:uid="{01376DE6-0BCA-4456-913D-959B5E9B1F0C}">
      <formula1>36161</formula1>
    </dataValidation>
    <dataValidation type="decimal" operator="notEqual" allowBlank="1" showInputMessage="1" showErrorMessage="1" sqref="I7:J100" xr:uid="{E0A97787-1C1C-4FD1-9570-3171A3EE959D}">
      <formula1>10^66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47BFC4-E937-44FA-9883-49C751301937}">
          <x14:formula1>
            <xm:f>List!$J$14:$J$16</xm:f>
          </x14:formula1>
          <xm:sqref>K7:K100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088B-80A4-45E3-8E27-8F767BFD2D92}">
  <sheetPr codeName="Sheet2">
    <outlinePr summaryRight="0"/>
  </sheetPr>
  <dimension ref="A1:SR105"/>
  <sheetViews>
    <sheetView workbookViewId="0">
      <pane xSplit="3" ySplit="9" topLeftCell="D10" activePane="bottomRight" state="frozen"/>
      <selection pane="topRight" activeCell="D1" sqref="D1"/>
      <selection pane="bottomLeft" activeCell="A10" sqref="A10"/>
      <selection pane="bottomRight" activeCell="A6" sqref="A6"/>
    </sheetView>
  </sheetViews>
  <sheetFormatPr defaultColWidth="10.42578125" defaultRowHeight="14.25" customHeight="1" outlineLevelCol="1" x14ac:dyDescent="0.25"/>
  <cols>
    <col min="1" max="1" width="9.28515625" style="2" customWidth="1"/>
    <col min="2" max="2" width="42" style="2" customWidth="1"/>
    <col min="3" max="3" width="51" style="25" customWidth="1" collapsed="1"/>
    <col min="4" max="4" width="25" style="2" customWidth="1"/>
    <col min="5" max="5" width="29.7109375" style="2" customWidth="1"/>
    <col min="6" max="6" width="33.85546875" style="2" bestFit="1" customWidth="1"/>
    <col min="7" max="7" width="29.7109375" style="2" customWidth="1"/>
    <col min="8" max="8" width="14.85546875" style="137" customWidth="1" collapsed="1"/>
    <col min="9" max="9" width="14.85546875" style="173" customWidth="1"/>
    <col min="10" max="10" width="29.7109375" style="173" customWidth="1"/>
    <col min="11" max="11" width="29.7109375" style="2" customWidth="1"/>
    <col min="12" max="13" width="14.85546875" style="2" customWidth="1"/>
    <col min="14" max="15" width="29.7109375" style="2" customWidth="1"/>
    <col min="16" max="16" width="15" style="137" customWidth="1"/>
    <col min="17" max="17" width="17.7109375" style="2" customWidth="1"/>
    <col min="18" max="19" width="15" style="2" customWidth="1"/>
    <col min="20" max="20" width="17.5703125" style="2" customWidth="1"/>
    <col min="21" max="21" width="15" style="173" customWidth="1"/>
    <col min="22" max="22" width="14.85546875" style="2" customWidth="1" collapsed="1"/>
    <col min="23" max="23" width="19" style="2" hidden="1" customWidth="1" outlineLevel="1"/>
    <col min="24" max="24" width="14.85546875" style="2" customWidth="1" collapsed="1"/>
    <col min="25" max="25" width="14.85546875" style="2" hidden="1" customWidth="1" outlineLevel="1"/>
    <col min="26" max="26" width="14.85546875" style="2" customWidth="1" collapsed="1"/>
    <col min="27" max="27" width="14.85546875" style="2" customWidth="1"/>
    <col min="28" max="28" width="14.85546875" style="137" customWidth="1"/>
    <col min="29" max="29" width="14.85546875" style="2" customWidth="1" collapsed="1"/>
    <col min="30" max="30" width="14.85546875" style="2" hidden="1" customWidth="1" outlineLevel="1"/>
    <col min="31" max="31" width="14.85546875" style="2" customWidth="1" collapsed="1"/>
    <col min="32" max="32" width="14.85546875" style="2" hidden="1" customWidth="1" outlineLevel="1"/>
    <col min="33" max="33" width="18.140625" style="137" customWidth="1" collapsed="1"/>
    <col min="34" max="34" width="18.140625" style="2" hidden="1" customWidth="1" outlineLevel="1"/>
    <col min="35" max="35" width="14.85546875" style="2" customWidth="1" collapsed="1"/>
    <col min="36" max="36" width="14.85546875" style="2" hidden="1" customWidth="1" outlineLevel="1"/>
    <col min="37" max="37" width="14.85546875" style="2" customWidth="1"/>
    <col min="38" max="38" width="23.42578125" style="137" customWidth="1"/>
    <col min="39" max="39" width="23.42578125" style="2" customWidth="1"/>
    <col min="40" max="40" width="17.7109375" style="19" customWidth="1"/>
    <col min="41" max="41" width="39.140625" style="19" customWidth="1"/>
    <col min="42" max="42" width="28.5703125" style="19" customWidth="1"/>
    <col min="43" max="43" width="23.85546875" style="160" customWidth="1"/>
    <col min="44" max="44" width="16.85546875" style="18" customWidth="1"/>
    <col min="45" max="45" width="16.28515625" style="18" customWidth="1"/>
    <col min="46" max="46" width="15.5703125" style="18" customWidth="1"/>
    <col min="47" max="47" width="16.28515625" style="18" customWidth="1" collapsed="1"/>
    <col min="48" max="54" width="20.42578125" style="25" hidden="1" customWidth="1"/>
    <col min="55" max="55" width="17.7109375" style="162" hidden="1" customWidth="1"/>
    <col min="56" max="56" width="50.5703125" style="168" customWidth="1" collapsed="1"/>
    <col min="57" max="79" width="42.7109375" hidden="1" customWidth="1" outlineLevel="1"/>
    <col min="80" max="80" width="10.42578125" style="95" customWidth="1" collapsed="1"/>
    <col min="81" max="100" width="10.42578125" style="95" hidden="1" customWidth="1"/>
    <col min="101" max="103" width="10.42578125" style="95"/>
    <col min="104" max="104" width="12.140625" style="95" bestFit="1" customWidth="1"/>
    <col min="105" max="105" width="20.140625" style="95" customWidth="1"/>
    <col min="106" max="106" width="11.5703125" style="95" bestFit="1" customWidth="1"/>
    <col min="107" max="107" width="15.85546875" style="95" bestFit="1" customWidth="1"/>
    <col min="108" max="108" width="13.140625" style="95" bestFit="1" customWidth="1"/>
    <col min="109" max="109" width="18.140625" style="95" bestFit="1" customWidth="1"/>
    <col min="110" max="110" width="30.85546875" style="95" customWidth="1"/>
    <col min="111" max="111" width="23.140625" style="95" bestFit="1" customWidth="1"/>
    <col min="112" max="112" width="27.140625" style="95" bestFit="1" customWidth="1"/>
    <col min="113" max="113" width="36.5703125" style="95" customWidth="1"/>
    <col min="114" max="114" width="41.140625" style="95" bestFit="1" customWidth="1"/>
    <col min="115" max="115" width="24.140625" style="95" bestFit="1" customWidth="1"/>
    <col min="116" max="116" width="28.140625" style="95" bestFit="1" customWidth="1"/>
    <col min="117" max="117" width="38.42578125" style="95" customWidth="1"/>
    <col min="118" max="118" width="22.42578125" style="95" customWidth="1"/>
    <col min="119" max="119" width="20.28515625" style="95" customWidth="1"/>
    <col min="120" max="120" width="17.28515625" style="95" customWidth="1"/>
    <col min="121" max="121" width="28.42578125" style="95" customWidth="1"/>
    <col min="122" max="122" width="33" style="95" customWidth="1"/>
    <col min="123" max="123" width="26.85546875" style="95" customWidth="1"/>
    <col min="124" max="124" width="22" style="95" customWidth="1"/>
    <col min="125" max="125" width="37.7109375" style="95" bestFit="1" customWidth="1"/>
    <col min="126" max="126" width="41.140625" style="95" bestFit="1" customWidth="1"/>
    <col min="127" max="127" width="40.42578125" style="95" bestFit="1" customWidth="1"/>
    <col min="128" max="128" width="23.42578125" style="95" customWidth="1"/>
    <col min="129" max="129" width="20.7109375" style="95" customWidth="1"/>
    <col min="130" max="131" width="41.140625" style="95" bestFit="1" customWidth="1"/>
    <col min="132" max="132" width="38.85546875" style="95" bestFit="1" customWidth="1"/>
    <col min="133" max="133" width="41.140625" style="95" bestFit="1" customWidth="1"/>
    <col min="134" max="134" width="37.42578125" style="95" bestFit="1" customWidth="1"/>
    <col min="135" max="135" width="41.140625" style="95" bestFit="1" customWidth="1"/>
    <col min="136" max="136" width="36.28515625" style="95" bestFit="1" customWidth="1"/>
    <col min="137" max="137" width="41.140625" style="95" bestFit="1" customWidth="1"/>
    <col min="138" max="138" width="38.5703125" style="95" bestFit="1" customWidth="1"/>
    <col min="139" max="139" width="41.140625" style="95" bestFit="1" customWidth="1"/>
    <col min="140" max="140" width="30.5703125" style="95" bestFit="1" customWidth="1"/>
    <col min="141" max="141" width="28.42578125" style="95" bestFit="1" customWidth="1"/>
    <col min="142" max="142" width="24.42578125" style="95" bestFit="1" customWidth="1"/>
    <col min="143" max="143" width="19.5703125" style="95" bestFit="1" customWidth="1"/>
    <col min="144" max="144" width="36" style="95" bestFit="1" customWidth="1"/>
    <col min="145" max="148" width="41.140625" style="95" bestFit="1" customWidth="1"/>
    <col min="149" max="149" width="41.85546875" style="95" customWidth="1"/>
    <col min="150" max="160" width="10.42578125" style="95"/>
    <col min="161" max="161" width="88.7109375" style="95" bestFit="1" customWidth="1"/>
    <col min="162" max="162" width="10.42578125" style="95"/>
    <col min="163" max="163" width="6.28515625" style="95" bestFit="1" customWidth="1"/>
    <col min="164" max="512" width="10.42578125" style="95"/>
    <col min="513" max="16384" width="10.42578125" style="97"/>
  </cols>
  <sheetData>
    <row r="1" spans="1:512" s="94" customFormat="1" ht="30" x14ac:dyDescent="0.25">
      <c r="A1" s="77" t="s">
        <v>100</v>
      </c>
      <c r="B1" s="72"/>
      <c r="C1" s="76" t="s">
        <v>376</v>
      </c>
      <c r="D1" s="23"/>
      <c r="E1" s="23"/>
      <c r="F1" s="23"/>
      <c r="G1" s="23"/>
      <c r="H1" s="130"/>
      <c r="I1" s="169"/>
      <c r="J1" s="169"/>
      <c r="K1" s="23"/>
      <c r="L1" s="23"/>
      <c r="M1" s="23"/>
      <c r="N1" s="23"/>
      <c r="O1" s="23"/>
      <c r="P1" s="130"/>
      <c r="Q1" s="23"/>
      <c r="R1" s="23"/>
      <c r="S1" s="23"/>
      <c r="T1" s="23"/>
      <c r="U1" s="169"/>
      <c r="V1" s="23"/>
      <c r="W1" s="23"/>
      <c r="X1" s="23"/>
      <c r="Y1" s="23"/>
      <c r="Z1" s="23"/>
      <c r="AA1" s="23"/>
      <c r="AB1" s="130"/>
      <c r="AC1" s="23"/>
      <c r="AD1" s="23"/>
      <c r="AE1" s="23"/>
      <c r="AF1" s="23"/>
      <c r="AG1" s="130"/>
      <c r="AH1" s="23"/>
      <c r="AI1" s="23"/>
      <c r="AJ1" s="23"/>
      <c r="AK1" s="23"/>
      <c r="AL1" s="130"/>
      <c r="AM1" s="23"/>
      <c r="AN1" s="23"/>
      <c r="AO1" s="23"/>
      <c r="AP1" s="23"/>
      <c r="AQ1" s="130"/>
      <c r="AR1" s="23"/>
      <c r="AS1" s="23"/>
      <c r="AT1" s="23"/>
      <c r="AU1" s="23"/>
      <c r="AV1" s="23"/>
      <c r="AW1" s="23"/>
      <c r="AX1" s="23"/>
      <c r="AY1" s="23"/>
      <c r="AZ1" s="23"/>
      <c r="BA1" s="23"/>
      <c r="BB1" s="23"/>
      <c r="BC1" s="23"/>
      <c r="BD1" s="130"/>
      <c r="BE1" s="23"/>
      <c r="BF1" s="23"/>
      <c r="BG1" s="23"/>
      <c r="BH1" s="23"/>
      <c r="BI1" s="23"/>
      <c r="BJ1" s="23"/>
      <c r="BK1" s="23"/>
      <c r="BL1" s="23"/>
      <c r="BM1" s="23"/>
      <c r="BN1" s="23"/>
      <c r="BO1" s="23"/>
      <c r="BP1" s="23"/>
      <c r="BQ1" s="23"/>
      <c r="BR1" s="23"/>
      <c r="BS1" s="23"/>
      <c r="BT1" s="23"/>
      <c r="BU1" s="23"/>
      <c r="BV1" s="23"/>
      <c r="BW1" s="23"/>
      <c r="BX1" s="23"/>
      <c r="BY1" s="23"/>
      <c r="BZ1" s="23"/>
      <c r="CA1" s="23"/>
      <c r="CX1" s="182"/>
    </row>
    <row r="2" spans="1:512" s="94" customFormat="1" ht="30" hidden="1" customHeight="1" x14ac:dyDescent="0.25">
      <c r="A2" s="75"/>
      <c r="B2" s="76"/>
      <c r="C2" s="76"/>
      <c r="D2" s="23"/>
      <c r="E2" s="80" t="s">
        <v>378</v>
      </c>
      <c r="F2" s="80">
        <f>COLUMNS($D$3:$AU$3) - COUNTIF($D$3:$AU$3, "")</f>
        <v>0</v>
      </c>
      <c r="G2" s="23"/>
      <c r="H2" s="130"/>
      <c r="I2" s="169"/>
      <c r="J2" s="169"/>
      <c r="K2" s="23"/>
      <c r="L2" s="23"/>
      <c r="M2" s="23"/>
      <c r="N2" s="23"/>
      <c r="O2" s="23"/>
      <c r="P2" s="130"/>
      <c r="Q2" s="84"/>
      <c r="R2" s="23"/>
      <c r="S2" s="23"/>
      <c r="T2" s="23"/>
      <c r="U2" s="169"/>
      <c r="V2" s="23"/>
      <c r="W2" s="23"/>
      <c r="X2" s="23"/>
      <c r="Y2" s="23"/>
      <c r="Z2" s="23"/>
      <c r="AA2" s="23"/>
      <c r="AB2" s="130"/>
      <c r="AC2" s="23"/>
      <c r="AD2" s="23"/>
      <c r="AE2" s="23"/>
      <c r="AF2" s="23"/>
      <c r="AG2" s="130"/>
      <c r="AH2" s="23"/>
      <c r="AI2" s="23"/>
      <c r="AJ2" s="23"/>
      <c r="AK2" s="23"/>
      <c r="AL2" s="130"/>
      <c r="AM2" s="23"/>
      <c r="AN2" s="23"/>
      <c r="AO2" s="23"/>
      <c r="AP2" s="23"/>
      <c r="AQ2" s="130"/>
      <c r="AR2" s="23"/>
      <c r="AS2" s="23"/>
      <c r="AT2" s="23"/>
      <c r="AU2" s="23"/>
      <c r="AV2" s="23"/>
      <c r="AW2" s="23"/>
      <c r="AX2" s="23"/>
      <c r="AY2" s="23"/>
      <c r="AZ2" s="23"/>
      <c r="BA2" s="23"/>
      <c r="BB2" s="23"/>
      <c r="BC2" s="23"/>
      <c r="BD2" s="130"/>
      <c r="BE2" s="23"/>
      <c r="BF2" s="23"/>
      <c r="BG2" s="23"/>
      <c r="BH2" s="23"/>
      <c r="BI2" s="23"/>
      <c r="BJ2" s="23"/>
      <c r="BK2" s="23"/>
      <c r="BL2" s="23"/>
      <c r="BM2" s="23"/>
      <c r="BN2" s="23"/>
      <c r="BO2" s="23"/>
      <c r="BP2" s="23"/>
      <c r="BQ2" s="23"/>
      <c r="BR2" s="23"/>
      <c r="BS2" s="23"/>
      <c r="BT2" s="23"/>
      <c r="BU2" s="23"/>
      <c r="BV2" s="23"/>
      <c r="BW2" s="23"/>
      <c r="BX2" s="23"/>
      <c r="BY2" s="23"/>
      <c r="BZ2" s="23"/>
      <c r="CA2" s="23"/>
    </row>
    <row r="3" spans="1:512" s="94" customFormat="1" ht="23.25" thickBot="1" x14ac:dyDescent="0.3">
      <c r="A3" s="195" t="s">
        <v>129</v>
      </c>
      <c r="B3" s="195"/>
      <c r="C3" s="101" t="s">
        <v>273</v>
      </c>
      <c r="D3" s="23"/>
      <c r="E3" s="23"/>
      <c r="F3" s="23"/>
      <c r="G3" s="23"/>
      <c r="H3" s="131"/>
      <c r="I3" s="170"/>
      <c r="J3" s="169"/>
      <c r="K3" s="23"/>
      <c r="L3" s="79"/>
      <c r="M3" s="79"/>
      <c r="N3" s="23"/>
      <c r="O3" s="23"/>
      <c r="P3" s="131"/>
      <c r="Q3" s="86"/>
      <c r="R3" s="79"/>
      <c r="S3" s="79"/>
      <c r="T3" s="79"/>
      <c r="U3" s="170"/>
      <c r="V3" s="79"/>
      <c r="W3" s="79"/>
      <c r="X3" s="79"/>
      <c r="Y3" s="79"/>
      <c r="Z3" s="79"/>
      <c r="AA3" s="79"/>
      <c r="AB3" s="131"/>
      <c r="AC3" s="79"/>
      <c r="AD3" s="79"/>
      <c r="AE3" s="79"/>
      <c r="AF3" s="79"/>
      <c r="AG3" s="131"/>
      <c r="AH3" s="79"/>
      <c r="AI3" s="79"/>
      <c r="AJ3" s="79"/>
      <c r="AK3" s="79"/>
      <c r="AL3" s="130"/>
      <c r="AM3" s="23"/>
      <c r="AN3" s="23"/>
      <c r="AO3" s="23"/>
      <c r="AP3" s="23"/>
      <c r="AQ3" s="131"/>
      <c r="AR3" s="79"/>
      <c r="AS3" s="79"/>
      <c r="AT3" s="79"/>
      <c r="AU3" s="79"/>
      <c r="AV3" s="23"/>
      <c r="AW3" s="23"/>
      <c r="AX3" s="23"/>
      <c r="AY3" s="23"/>
      <c r="AZ3" s="23"/>
      <c r="BA3" s="23"/>
      <c r="BB3" s="23"/>
      <c r="BC3" s="23"/>
      <c r="BD3" s="130"/>
      <c r="BE3" s="23"/>
      <c r="BF3" s="23"/>
      <c r="BG3" s="23"/>
      <c r="BH3" s="23"/>
      <c r="BI3" s="23"/>
      <c r="BJ3" s="23"/>
      <c r="BK3" s="23"/>
      <c r="BL3" s="23"/>
      <c r="BM3" s="23"/>
      <c r="BN3" s="23"/>
      <c r="BO3" s="23"/>
      <c r="BP3" s="23"/>
      <c r="BQ3" s="23"/>
      <c r="BR3" s="23"/>
      <c r="BS3" s="23"/>
      <c r="BT3" s="23"/>
      <c r="BU3" s="23"/>
      <c r="BV3" s="23"/>
      <c r="BW3" s="23"/>
      <c r="BX3" s="23"/>
      <c r="BY3" s="23"/>
      <c r="BZ3" s="23"/>
      <c r="CA3" s="23"/>
      <c r="CX3" s="182" t="s">
        <v>416</v>
      </c>
      <c r="CY3" s="182" t="b">
        <f>AND(CX3, ISBLANK(CY11))</f>
        <v>1</v>
      </c>
      <c r="CZ3" s="182" t="b">
        <f t="shared" ref="CZ3:ES3" si="0">AND(CZ4, ISBLANK(CZ11))</f>
        <v>0</v>
      </c>
      <c r="DA3" s="182" t="b">
        <f t="shared" si="0"/>
        <v>0</v>
      </c>
      <c r="DB3" s="182" t="b">
        <f t="shared" si="0"/>
        <v>0</v>
      </c>
      <c r="DC3" s="182" t="b">
        <f t="shared" si="0"/>
        <v>0</v>
      </c>
      <c r="DD3" s="182" t="b">
        <f t="shared" si="0"/>
        <v>0</v>
      </c>
      <c r="DE3" s="182" t="b">
        <f t="shared" si="0"/>
        <v>0</v>
      </c>
      <c r="DF3" s="182" t="b">
        <f t="shared" si="0"/>
        <v>0</v>
      </c>
      <c r="DG3" s="182" t="b">
        <f t="shared" ca="1" si="0"/>
        <v>0</v>
      </c>
      <c r="DH3" s="182" t="b">
        <f t="shared" si="0"/>
        <v>0</v>
      </c>
      <c r="DI3" s="182" t="b">
        <f t="shared" si="0"/>
        <v>0</v>
      </c>
      <c r="DJ3" s="182" t="b">
        <f t="shared" si="0"/>
        <v>0</v>
      </c>
      <c r="DK3" s="182" t="b">
        <f t="shared" ca="1" si="0"/>
        <v>0</v>
      </c>
      <c r="DL3" s="182" t="b">
        <f t="shared" si="0"/>
        <v>0</v>
      </c>
      <c r="DM3" s="182" t="b">
        <f t="shared" si="0"/>
        <v>0</v>
      </c>
      <c r="DN3" s="182" t="b">
        <f t="shared" ca="1" si="0"/>
        <v>0</v>
      </c>
      <c r="DO3" s="182" t="b">
        <f t="shared" ca="1" si="0"/>
        <v>0</v>
      </c>
      <c r="DP3" s="182" t="b">
        <f t="shared" si="0"/>
        <v>0</v>
      </c>
      <c r="DQ3" s="182" t="b">
        <f t="shared" ca="1" si="0"/>
        <v>0</v>
      </c>
      <c r="DR3" s="182" t="b">
        <f t="shared" ca="1" si="0"/>
        <v>0</v>
      </c>
      <c r="DS3" s="182" t="b">
        <f t="shared" si="0"/>
        <v>0</v>
      </c>
      <c r="DT3" s="182" t="b">
        <f t="shared" si="0"/>
        <v>0</v>
      </c>
      <c r="DU3" s="182" t="b">
        <f t="shared" si="0"/>
        <v>0</v>
      </c>
      <c r="DV3" s="182" t="b">
        <f t="shared" si="0"/>
        <v>0</v>
      </c>
      <c r="DW3" s="182" t="b">
        <f t="shared" si="0"/>
        <v>0</v>
      </c>
      <c r="DX3" s="182" t="b">
        <f t="shared" si="0"/>
        <v>0</v>
      </c>
      <c r="DY3" s="182" t="b">
        <f t="shared" si="0"/>
        <v>0</v>
      </c>
      <c r="DZ3" s="182" t="b">
        <f t="shared" si="0"/>
        <v>0</v>
      </c>
      <c r="EA3" s="182" t="b">
        <f t="shared" si="0"/>
        <v>0</v>
      </c>
      <c r="EB3" s="182" t="b">
        <f t="shared" si="0"/>
        <v>0</v>
      </c>
      <c r="EC3" s="182" t="b">
        <f t="shared" si="0"/>
        <v>0</v>
      </c>
      <c r="ED3" s="182" t="b">
        <f t="shared" si="0"/>
        <v>0</v>
      </c>
      <c r="EE3" s="182" t="b">
        <f t="shared" si="0"/>
        <v>0</v>
      </c>
      <c r="EF3" s="182" t="b">
        <f t="shared" si="0"/>
        <v>0</v>
      </c>
      <c r="EG3" s="182" t="b">
        <f t="shared" si="0"/>
        <v>0</v>
      </c>
      <c r="EH3" s="182" t="b">
        <f t="shared" si="0"/>
        <v>0</v>
      </c>
      <c r="EI3" s="182" t="b">
        <f t="shared" si="0"/>
        <v>0</v>
      </c>
      <c r="EJ3" s="182" t="b">
        <f t="shared" si="0"/>
        <v>0</v>
      </c>
      <c r="EK3" s="182" t="b">
        <f t="shared" si="0"/>
        <v>0</v>
      </c>
      <c r="EL3" s="182" t="b">
        <f t="shared" si="0"/>
        <v>0</v>
      </c>
      <c r="EM3" s="182" t="b">
        <f t="shared" si="0"/>
        <v>0</v>
      </c>
      <c r="EN3" s="182" t="b">
        <f t="shared" si="0"/>
        <v>0</v>
      </c>
      <c r="EO3" s="182" t="b">
        <f t="shared" ca="1" si="0"/>
        <v>0</v>
      </c>
      <c r="EP3" s="182" t="b">
        <f t="shared" si="0"/>
        <v>0</v>
      </c>
      <c r="EQ3" s="182" t="b">
        <f t="shared" si="0"/>
        <v>0</v>
      </c>
      <c r="ER3" s="182" t="b">
        <f t="shared" si="0"/>
        <v>0</v>
      </c>
      <c r="ES3" s="182" t="b">
        <f t="shared" si="0"/>
        <v>0</v>
      </c>
    </row>
    <row r="4" spans="1:512" s="94" customFormat="1" ht="42" customHeight="1" thickBot="1" x14ac:dyDescent="0.3">
      <c r="A4" s="115"/>
      <c r="B4" s="116" t="s">
        <v>384</v>
      </c>
      <c r="C4" s="117" t="s">
        <v>386</v>
      </c>
      <c r="D4" s="23"/>
      <c r="E4" s="23"/>
      <c r="F4" s="23"/>
      <c r="G4" s="23"/>
      <c r="H4" s="131"/>
      <c r="I4" s="170"/>
      <c r="J4" s="169"/>
      <c r="K4" s="23"/>
      <c r="L4" s="79"/>
      <c r="M4" s="79"/>
      <c r="N4" s="23"/>
      <c r="O4" s="23"/>
      <c r="P4" s="131"/>
      <c r="Q4" s="86"/>
      <c r="R4" s="79"/>
      <c r="S4" s="79"/>
      <c r="T4" s="79"/>
      <c r="U4" s="174"/>
      <c r="V4" s="79"/>
      <c r="W4" s="79"/>
      <c r="X4" s="79"/>
      <c r="Y4" s="79"/>
      <c r="Z4" s="79"/>
      <c r="AA4" s="79"/>
      <c r="AB4" s="131"/>
      <c r="AC4" s="79"/>
      <c r="AD4" s="79"/>
      <c r="AE4" s="79"/>
      <c r="AF4" s="79"/>
      <c r="AG4" s="131"/>
      <c r="AH4" s="79"/>
      <c r="AI4" s="79"/>
      <c r="AJ4" s="79"/>
      <c r="AK4" s="79"/>
      <c r="AL4" s="130"/>
      <c r="AM4" s="23"/>
      <c r="AN4" s="23"/>
      <c r="AO4" s="23"/>
      <c r="AP4" s="23"/>
      <c r="AQ4" s="131"/>
      <c r="AR4" s="79"/>
      <c r="AS4" s="79"/>
      <c r="AT4" s="200" t="s">
        <v>387</v>
      </c>
      <c r="AU4" s="200"/>
      <c r="AV4" s="23"/>
      <c r="AW4" s="23"/>
      <c r="AX4" s="23"/>
      <c r="AY4" s="23"/>
      <c r="AZ4" s="23"/>
      <c r="BA4" s="23"/>
      <c r="BB4" s="23"/>
      <c r="BC4" s="23"/>
      <c r="BD4" s="163" t="s">
        <v>385</v>
      </c>
      <c r="BE4" s="113" t="str">
        <f>"*((col*((meeting_minutes_general_minus_"&amp;COLUMN()-COLUMN($BD$4)+1</f>
        <v>*((col*((meeting_minutes_general_minus_2</v>
      </c>
      <c r="BF4" s="113" t="str">
        <f t="shared" ref="BF4:CA4" si="1">"*((col*((meeting_minutes_general_minus_"&amp;COLUMN()-COLUMN($BD$4)+1</f>
        <v>*((col*((meeting_minutes_general_minus_3</v>
      </c>
      <c r="BG4" s="113" t="str">
        <f t="shared" si="1"/>
        <v>*((col*((meeting_minutes_general_minus_4</v>
      </c>
      <c r="BH4" s="113" t="str">
        <f t="shared" si="1"/>
        <v>*((col*((meeting_minutes_general_minus_5</v>
      </c>
      <c r="BI4" s="113" t="str">
        <f t="shared" si="1"/>
        <v>*((col*((meeting_minutes_general_minus_6</v>
      </c>
      <c r="BJ4" s="113" t="str">
        <f t="shared" si="1"/>
        <v>*((col*((meeting_minutes_general_minus_7</v>
      </c>
      <c r="BK4" s="113" t="str">
        <f t="shared" si="1"/>
        <v>*((col*((meeting_minutes_general_minus_8</v>
      </c>
      <c r="BL4" s="113" t="str">
        <f t="shared" si="1"/>
        <v>*((col*((meeting_minutes_general_minus_9</v>
      </c>
      <c r="BM4" s="113" t="str">
        <f t="shared" si="1"/>
        <v>*((col*((meeting_minutes_general_minus_10</v>
      </c>
      <c r="BN4" s="113" t="str">
        <f t="shared" si="1"/>
        <v>*((col*((meeting_minutes_general_minus_11</v>
      </c>
      <c r="BO4" s="113" t="str">
        <f t="shared" si="1"/>
        <v>*((col*((meeting_minutes_general_minus_12</v>
      </c>
      <c r="BP4" s="113" t="str">
        <f t="shared" si="1"/>
        <v>*((col*((meeting_minutes_general_minus_13</v>
      </c>
      <c r="BQ4" s="113" t="str">
        <f t="shared" si="1"/>
        <v>*((col*((meeting_minutes_general_minus_14</v>
      </c>
      <c r="BR4" s="113" t="str">
        <f t="shared" si="1"/>
        <v>*((col*((meeting_minutes_general_minus_15</v>
      </c>
      <c r="BS4" s="113" t="str">
        <f t="shared" si="1"/>
        <v>*((col*((meeting_minutes_general_minus_16</v>
      </c>
      <c r="BT4" s="113" t="str">
        <f t="shared" si="1"/>
        <v>*((col*((meeting_minutes_general_minus_17</v>
      </c>
      <c r="BU4" s="113" t="str">
        <f t="shared" si="1"/>
        <v>*((col*((meeting_minutes_general_minus_18</v>
      </c>
      <c r="BV4" s="113" t="str">
        <f t="shared" si="1"/>
        <v>*((col*((meeting_minutes_general_minus_19</v>
      </c>
      <c r="BW4" s="113" t="str">
        <f t="shared" si="1"/>
        <v>*((col*((meeting_minutes_general_minus_20</v>
      </c>
      <c r="BX4" s="113" t="str">
        <f t="shared" si="1"/>
        <v>*((col*((meeting_minutes_general_minus_21</v>
      </c>
      <c r="BY4" s="113" t="str">
        <f t="shared" si="1"/>
        <v>*((col*((meeting_minutes_general_minus_22</v>
      </c>
      <c r="BZ4" s="113" t="str">
        <f t="shared" si="1"/>
        <v>*((col*((meeting_minutes_general_minus_23</v>
      </c>
      <c r="CA4" s="113" t="str">
        <f t="shared" si="1"/>
        <v>*((col*((meeting_minutes_general_minus_24</v>
      </c>
      <c r="CX4" s="182">
        <f ca="1">COUNTA(CY10:ES105)</f>
        <v>97</v>
      </c>
      <c r="CY4" s="182" t="b">
        <f t="shared" ref="CY4:ES4" si="2">ISNUMBER(SEARCH("formula", CY10))</f>
        <v>0</v>
      </c>
      <c r="CZ4" s="182" t="b">
        <f t="shared" si="2"/>
        <v>0</v>
      </c>
      <c r="DA4" s="182" t="b">
        <f t="shared" si="2"/>
        <v>1</v>
      </c>
      <c r="DB4" s="182" t="b">
        <f t="shared" si="2"/>
        <v>0</v>
      </c>
      <c r="DC4" s="182" t="b">
        <f t="shared" si="2"/>
        <v>0</v>
      </c>
      <c r="DD4" s="182" t="b">
        <f t="shared" si="2"/>
        <v>0</v>
      </c>
      <c r="DE4" s="182" t="b">
        <f t="shared" si="2"/>
        <v>0</v>
      </c>
      <c r="DF4" s="182" t="b">
        <f t="shared" si="2"/>
        <v>1</v>
      </c>
      <c r="DG4" s="182" t="b">
        <f t="shared" si="2"/>
        <v>1</v>
      </c>
      <c r="DH4" s="182" t="b">
        <f t="shared" si="2"/>
        <v>0</v>
      </c>
      <c r="DI4" s="182" t="b">
        <f t="shared" si="2"/>
        <v>1</v>
      </c>
      <c r="DJ4" s="182" t="b">
        <f t="shared" si="2"/>
        <v>1</v>
      </c>
      <c r="DK4" s="182" t="b">
        <f t="shared" si="2"/>
        <v>1</v>
      </c>
      <c r="DL4" s="182" t="b">
        <f t="shared" si="2"/>
        <v>0</v>
      </c>
      <c r="DM4" s="182" t="b">
        <f t="shared" si="2"/>
        <v>1</v>
      </c>
      <c r="DN4" s="182" t="b">
        <f t="shared" si="2"/>
        <v>1</v>
      </c>
      <c r="DO4" s="182" t="b">
        <f t="shared" si="2"/>
        <v>1</v>
      </c>
      <c r="DP4" s="182" t="b">
        <f t="shared" si="2"/>
        <v>1</v>
      </c>
      <c r="DQ4" s="182" t="b">
        <f t="shared" si="2"/>
        <v>1</v>
      </c>
      <c r="DR4" s="182" t="b">
        <f t="shared" si="2"/>
        <v>1</v>
      </c>
      <c r="DS4" s="182" t="b">
        <f t="shared" si="2"/>
        <v>1</v>
      </c>
      <c r="DT4" s="182" t="b">
        <f t="shared" si="2"/>
        <v>1</v>
      </c>
      <c r="DU4" s="182" t="b">
        <f t="shared" si="2"/>
        <v>0</v>
      </c>
      <c r="DV4" s="182" t="b">
        <f t="shared" si="2"/>
        <v>1</v>
      </c>
      <c r="DW4" s="182" t="b">
        <f t="shared" si="2"/>
        <v>0</v>
      </c>
      <c r="DX4" s="182" t="b">
        <f t="shared" si="2"/>
        <v>1</v>
      </c>
      <c r="DY4" s="182" t="b">
        <f t="shared" si="2"/>
        <v>1</v>
      </c>
      <c r="DZ4" s="182" t="b">
        <f t="shared" si="2"/>
        <v>1</v>
      </c>
      <c r="EA4" s="182" t="b">
        <f t="shared" si="2"/>
        <v>1</v>
      </c>
      <c r="EB4" s="182" t="b">
        <f t="shared" si="2"/>
        <v>0</v>
      </c>
      <c r="EC4" s="182" t="b">
        <f t="shared" si="2"/>
        <v>1</v>
      </c>
      <c r="ED4" s="182" t="b">
        <f t="shared" si="2"/>
        <v>0</v>
      </c>
      <c r="EE4" s="182" t="b">
        <f t="shared" si="2"/>
        <v>1</v>
      </c>
      <c r="EF4" s="182" t="b">
        <f t="shared" si="2"/>
        <v>0</v>
      </c>
      <c r="EG4" s="182" t="b">
        <f t="shared" si="2"/>
        <v>1</v>
      </c>
      <c r="EH4" s="182" t="b">
        <f t="shared" si="2"/>
        <v>0</v>
      </c>
      <c r="EI4" s="182" t="b">
        <f t="shared" si="2"/>
        <v>1</v>
      </c>
      <c r="EJ4" s="182" t="b">
        <f t="shared" si="2"/>
        <v>0</v>
      </c>
      <c r="EK4" s="182" t="b">
        <f t="shared" si="2"/>
        <v>0</v>
      </c>
      <c r="EL4" s="182" t="b">
        <f t="shared" si="2"/>
        <v>0</v>
      </c>
      <c r="EM4" s="182" t="b">
        <f t="shared" si="2"/>
        <v>0</v>
      </c>
      <c r="EN4" s="182" t="b">
        <f t="shared" si="2"/>
        <v>0</v>
      </c>
      <c r="EO4" s="182" t="b">
        <f t="shared" si="2"/>
        <v>1</v>
      </c>
      <c r="EP4" s="182" t="b">
        <f t="shared" si="2"/>
        <v>1</v>
      </c>
      <c r="EQ4" s="182" t="b">
        <f t="shared" si="2"/>
        <v>1</v>
      </c>
      <c r="ER4" s="182" t="b">
        <f t="shared" si="2"/>
        <v>1</v>
      </c>
      <c r="ES4" s="182" t="b">
        <f t="shared" si="2"/>
        <v>1</v>
      </c>
    </row>
    <row r="5" spans="1:512" s="96" customFormat="1" ht="24.75" customHeight="1" thickBot="1" x14ac:dyDescent="0.3">
      <c r="A5" s="192" t="s">
        <v>130</v>
      </c>
      <c r="B5" s="193"/>
      <c r="C5" s="193"/>
      <c r="D5" s="193"/>
      <c r="E5" s="193"/>
      <c r="F5" s="193"/>
      <c r="G5" s="194"/>
      <c r="H5" s="125" t="s">
        <v>388</v>
      </c>
      <c r="I5" s="181"/>
      <c r="J5" s="125"/>
      <c r="K5" s="125"/>
      <c r="L5" s="125"/>
      <c r="M5" s="125"/>
      <c r="N5" s="125"/>
      <c r="O5" s="125"/>
      <c r="P5" s="151" t="s">
        <v>486</v>
      </c>
      <c r="Q5" s="73"/>
      <c r="R5" s="73"/>
      <c r="S5" s="73"/>
      <c r="T5" s="73"/>
      <c r="U5" s="73"/>
      <c r="V5" s="73"/>
      <c r="W5" s="73"/>
      <c r="X5" s="73"/>
      <c r="Y5" s="73"/>
      <c r="Z5" s="73"/>
      <c r="AA5" s="73"/>
      <c r="AB5" s="201" t="s">
        <v>494</v>
      </c>
      <c r="AC5" s="193"/>
      <c r="AD5" s="193"/>
      <c r="AE5" s="193"/>
      <c r="AF5" s="202"/>
      <c r="AG5" s="189" t="s">
        <v>495</v>
      </c>
      <c r="AH5" s="190"/>
      <c r="AI5" s="190"/>
      <c r="AJ5" s="190"/>
      <c r="AK5" s="191"/>
      <c r="AL5" s="198" t="s">
        <v>496</v>
      </c>
      <c r="AM5" s="199"/>
      <c r="AN5" s="199"/>
      <c r="AO5" s="199"/>
      <c r="AP5" s="199"/>
      <c r="AQ5" s="196" t="s">
        <v>497</v>
      </c>
      <c r="AR5" s="197"/>
      <c r="AS5" s="197"/>
      <c r="AT5" s="197"/>
      <c r="AU5" s="197"/>
      <c r="AV5" s="192" t="s">
        <v>178</v>
      </c>
      <c r="AW5" s="193"/>
      <c r="AX5" s="193"/>
      <c r="AY5" s="193"/>
      <c r="AZ5" s="193"/>
      <c r="BA5" s="193"/>
      <c r="BB5" s="193"/>
      <c r="BC5" s="194"/>
      <c r="BD5" s="196" t="s">
        <v>498</v>
      </c>
      <c r="BE5" s="197"/>
      <c r="BF5" s="197"/>
      <c r="BG5" s="197"/>
      <c r="BH5" s="197"/>
      <c r="BI5" s="60"/>
      <c r="BJ5" s="60"/>
      <c r="BK5" s="60"/>
      <c r="BL5" s="60"/>
      <c r="BM5" s="60"/>
      <c r="BN5" s="60"/>
      <c r="BO5" s="60"/>
      <c r="BP5" s="60"/>
      <c r="BQ5" s="60"/>
      <c r="BR5" s="60"/>
      <c r="BS5" s="60"/>
      <c r="BT5" s="60"/>
      <c r="BU5" s="60"/>
      <c r="BV5" s="60"/>
      <c r="BW5" s="60"/>
      <c r="BX5" s="60"/>
      <c r="BY5" s="60"/>
      <c r="BZ5" s="60"/>
      <c r="CA5" s="70"/>
      <c r="CB5" s="95"/>
      <c r="CC5" s="95"/>
      <c r="CD5" s="95"/>
      <c r="CE5" s="95"/>
      <c r="CF5" s="95"/>
      <c r="CG5" s="95"/>
      <c r="CH5" s="95"/>
      <c r="CI5" s="95"/>
      <c r="CJ5" s="95"/>
      <c r="CK5" s="95"/>
      <c r="CL5" s="95"/>
      <c r="CM5" s="95"/>
      <c r="CN5" s="95"/>
      <c r="CO5" s="95"/>
      <c r="CP5" s="95"/>
      <c r="CQ5" s="95"/>
      <c r="CR5" s="95"/>
      <c r="CS5" s="95"/>
      <c r="CT5" s="95"/>
      <c r="CU5" s="95"/>
      <c r="CV5" s="95"/>
      <c r="CW5" s="95"/>
      <c r="CX5" s="95"/>
      <c r="CY5" s="178" t="s">
        <v>413</v>
      </c>
      <c r="CZ5" s="125"/>
      <c r="DA5" s="125"/>
      <c r="DB5" s="125"/>
      <c r="DC5" s="125"/>
      <c r="DD5" s="178" t="s">
        <v>413</v>
      </c>
      <c r="DE5" s="125"/>
      <c r="DF5" s="125"/>
      <c r="DG5" s="125"/>
      <c r="DH5" s="125"/>
      <c r="DI5" s="125"/>
      <c r="DJ5" s="125"/>
      <c r="DK5" s="125"/>
      <c r="DL5" s="125"/>
      <c r="DM5" s="178" t="s">
        <v>413</v>
      </c>
      <c r="DN5" s="125"/>
      <c r="DO5" s="125"/>
      <c r="DP5" s="125"/>
      <c r="DQ5" s="125"/>
      <c r="DR5" s="178" t="s">
        <v>413</v>
      </c>
      <c r="DS5" s="125"/>
      <c r="DT5" s="125"/>
      <c r="DU5" s="125"/>
      <c r="DV5" s="178" t="s">
        <v>413</v>
      </c>
      <c r="DW5" s="125"/>
      <c r="DX5" s="125"/>
      <c r="DY5" s="178" t="s">
        <v>413</v>
      </c>
      <c r="DZ5" s="125"/>
      <c r="EA5" s="125"/>
      <c r="EB5" s="178" t="s">
        <v>413</v>
      </c>
      <c r="EC5" s="125"/>
      <c r="ED5" s="125"/>
      <c r="EE5" s="125"/>
      <c r="EF5" s="125"/>
      <c r="EG5" s="178" t="s">
        <v>413</v>
      </c>
      <c r="EH5" s="125"/>
      <c r="EI5" s="125"/>
      <c r="EJ5" s="125"/>
      <c r="EK5" s="125"/>
      <c r="EL5" s="178" t="s">
        <v>413</v>
      </c>
      <c r="EM5" s="125"/>
      <c r="EN5" s="125"/>
      <c r="EO5" s="125"/>
      <c r="EP5" s="125"/>
      <c r="EQ5" s="178" t="s">
        <v>413</v>
      </c>
      <c r="ER5" s="125"/>
      <c r="ES5" s="12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c r="GZ5" s="95"/>
      <c r="HA5" s="95"/>
      <c r="HB5" s="95"/>
      <c r="HC5" s="95"/>
      <c r="HD5" s="95"/>
      <c r="HE5" s="95"/>
      <c r="HF5" s="95"/>
      <c r="HG5" s="95"/>
      <c r="HH5" s="95"/>
      <c r="HI5" s="95"/>
      <c r="HJ5" s="95"/>
      <c r="HK5" s="95"/>
      <c r="HL5" s="95"/>
      <c r="HM5" s="95"/>
      <c r="HN5" s="95"/>
      <c r="HO5" s="95"/>
      <c r="HP5" s="95"/>
      <c r="HQ5" s="95"/>
      <c r="HR5" s="95"/>
      <c r="HS5" s="95"/>
      <c r="HT5" s="95"/>
      <c r="HU5" s="95"/>
      <c r="HV5" s="95"/>
      <c r="HW5" s="95"/>
      <c r="HX5" s="95"/>
      <c r="HY5" s="95"/>
      <c r="HZ5" s="95"/>
      <c r="IA5" s="95"/>
      <c r="IB5" s="95"/>
      <c r="IC5" s="95"/>
      <c r="ID5" s="95"/>
      <c r="IE5" s="95"/>
      <c r="IF5" s="95"/>
      <c r="IG5" s="95"/>
      <c r="IH5" s="95"/>
      <c r="II5" s="95"/>
      <c r="IJ5" s="95"/>
      <c r="IK5" s="95"/>
      <c r="IL5" s="95"/>
      <c r="IM5" s="95"/>
      <c r="IN5" s="95"/>
      <c r="IO5" s="95"/>
      <c r="IP5" s="95"/>
      <c r="IQ5" s="95"/>
      <c r="IR5" s="95"/>
      <c r="IS5" s="95"/>
      <c r="IT5" s="95"/>
      <c r="IU5" s="95"/>
      <c r="IV5" s="95"/>
      <c r="IW5" s="95"/>
      <c r="IX5" s="95"/>
      <c r="IY5" s="95"/>
      <c r="IZ5" s="95"/>
      <c r="JA5" s="95"/>
      <c r="JB5" s="95"/>
      <c r="JC5" s="95"/>
      <c r="JD5" s="95"/>
      <c r="JE5" s="95"/>
      <c r="JF5" s="95"/>
      <c r="JG5" s="95"/>
      <c r="JH5" s="95"/>
      <c r="JI5" s="95"/>
      <c r="JJ5" s="95"/>
      <c r="JK5" s="95"/>
      <c r="JL5" s="95"/>
      <c r="JM5" s="95"/>
      <c r="JN5" s="95"/>
      <c r="JO5" s="95"/>
      <c r="JP5" s="95"/>
      <c r="JQ5" s="95"/>
      <c r="JR5" s="95"/>
      <c r="JS5" s="95"/>
      <c r="JT5" s="95"/>
      <c r="JU5" s="95"/>
      <c r="JV5" s="95"/>
      <c r="JW5" s="95"/>
      <c r="JX5" s="95"/>
      <c r="JY5" s="95"/>
      <c r="JZ5" s="95"/>
      <c r="KA5" s="95"/>
      <c r="KB5" s="95"/>
      <c r="KC5" s="95"/>
      <c r="KD5" s="95"/>
      <c r="KE5" s="95"/>
      <c r="KF5" s="95"/>
      <c r="KG5" s="95"/>
      <c r="KH5" s="95"/>
      <c r="KI5" s="95"/>
      <c r="KJ5" s="95"/>
      <c r="KK5" s="95"/>
      <c r="KL5" s="95"/>
      <c r="KM5" s="95"/>
      <c r="KN5" s="95"/>
      <c r="KO5" s="95"/>
      <c r="KP5" s="95"/>
      <c r="KQ5" s="95"/>
      <c r="KR5" s="95"/>
      <c r="KS5" s="95"/>
      <c r="KT5" s="95"/>
      <c r="KU5" s="95"/>
      <c r="KV5" s="95"/>
      <c r="KW5" s="95"/>
      <c r="KX5" s="95"/>
      <c r="KY5" s="95"/>
      <c r="KZ5" s="95"/>
      <c r="LA5" s="95"/>
      <c r="LB5" s="95"/>
      <c r="LC5" s="95"/>
      <c r="LD5" s="95"/>
      <c r="LE5" s="95"/>
      <c r="LF5" s="95"/>
      <c r="LG5" s="95"/>
      <c r="LH5" s="95"/>
      <c r="LI5" s="95"/>
      <c r="LJ5" s="95"/>
      <c r="LK5" s="95"/>
      <c r="LL5" s="95"/>
      <c r="LM5" s="95"/>
      <c r="LN5" s="95"/>
      <c r="LO5" s="95"/>
      <c r="LP5" s="95"/>
      <c r="LQ5" s="95"/>
      <c r="LR5" s="95"/>
      <c r="LS5" s="95"/>
      <c r="LT5" s="95"/>
      <c r="LU5" s="95"/>
      <c r="LV5" s="95"/>
      <c r="LW5" s="95"/>
      <c r="LX5" s="95"/>
      <c r="LY5" s="95"/>
      <c r="LZ5" s="95"/>
      <c r="MA5" s="95"/>
      <c r="MB5" s="95"/>
      <c r="MC5" s="95"/>
      <c r="MD5" s="95"/>
      <c r="ME5" s="95"/>
      <c r="MF5" s="95"/>
      <c r="MG5" s="95"/>
      <c r="MH5" s="95"/>
      <c r="MI5" s="95"/>
      <c r="MJ5" s="95"/>
      <c r="MK5" s="95"/>
      <c r="ML5" s="95"/>
      <c r="MM5" s="95"/>
      <c r="MN5" s="95"/>
      <c r="MO5" s="95"/>
      <c r="MP5" s="95"/>
      <c r="MQ5" s="95"/>
      <c r="MR5" s="95"/>
      <c r="MS5" s="95"/>
      <c r="MT5" s="95"/>
      <c r="MU5" s="95"/>
      <c r="MV5" s="95"/>
      <c r="MW5" s="95"/>
      <c r="MX5" s="95"/>
      <c r="MY5" s="95"/>
      <c r="MZ5" s="95"/>
      <c r="NA5" s="95"/>
      <c r="NB5" s="95"/>
      <c r="NC5" s="95"/>
      <c r="ND5" s="95"/>
      <c r="NE5" s="95"/>
      <c r="NF5" s="95"/>
      <c r="NG5" s="95"/>
      <c r="NH5" s="95"/>
      <c r="NI5" s="95"/>
      <c r="NJ5" s="95"/>
      <c r="NK5" s="95"/>
      <c r="NL5" s="95"/>
      <c r="NM5" s="95"/>
      <c r="NN5" s="95"/>
      <c r="NO5" s="95"/>
      <c r="NP5" s="95"/>
      <c r="NQ5" s="95"/>
      <c r="NR5" s="95"/>
      <c r="NS5" s="95"/>
      <c r="NT5" s="95"/>
      <c r="NU5" s="95"/>
      <c r="NV5" s="95"/>
      <c r="NW5" s="95"/>
      <c r="NX5" s="95"/>
      <c r="NY5" s="95"/>
      <c r="NZ5" s="95"/>
      <c r="OA5" s="95"/>
      <c r="OB5" s="95"/>
      <c r="OC5" s="95"/>
      <c r="OD5" s="95"/>
      <c r="OE5" s="95"/>
      <c r="OF5" s="95"/>
      <c r="OG5" s="95"/>
      <c r="OH5" s="95"/>
      <c r="OI5" s="95"/>
      <c r="OJ5" s="95"/>
      <c r="OK5" s="95"/>
      <c r="OL5" s="95"/>
      <c r="OM5" s="95"/>
      <c r="ON5" s="95"/>
      <c r="OO5" s="95"/>
      <c r="OP5" s="95"/>
      <c r="OQ5" s="95"/>
      <c r="OR5" s="95"/>
      <c r="OS5" s="95"/>
      <c r="OT5" s="95"/>
      <c r="OU5" s="95"/>
      <c r="OV5" s="95"/>
      <c r="OW5" s="95"/>
      <c r="OX5" s="95"/>
      <c r="OY5" s="95"/>
      <c r="OZ5" s="95"/>
      <c r="PA5" s="95"/>
      <c r="PB5" s="95"/>
      <c r="PC5" s="95"/>
      <c r="PD5" s="95"/>
      <c r="PE5" s="95"/>
      <c r="PF5" s="95"/>
      <c r="PG5" s="95"/>
      <c r="PH5" s="95"/>
      <c r="PI5" s="95"/>
      <c r="PJ5" s="95"/>
      <c r="PK5" s="95"/>
      <c r="PL5" s="95"/>
      <c r="PM5" s="95"/>
      <c r="PN5" s="95"/>
      <c r="PO5" s="95"/>
      <c r="PP5" s="95"/>
      <c r="PQ5" s="95"/>
      <c r="PR5" s="95"/>
      <c r="PS5" s="95"/>
      <c r="PT5" s="95"/>
      <c r="PU5" s="95"/>
      <c r="PV5" s="95"/>
      <c r="PW5" s="95"/>
      <c r="PX5" s="95"/>
      <c r="PY5" s="95"/>
      <c r="PZ5" s="95"/>
      <c r="QA5" s="95"/>
      <c r="QB5" s="95"/>
      <c r="QC5" s="95"/>
      <c r="QD5" s="95"/>
      <c r="QE5" s="95"/>
      <c r="QF5" s="95"/>
      <c r="QG5" s="95"/>
      <c r="QH5" s="95"/>
      <c r="QI5" s="95"/>
      <c r="QJ5" s="95"/>
      <c r="QK5" s="95"/>
      <c r="QL5" s="95"/>
      <c r="QM5" s="95"/>
      <c r="QN5" s="95"/>
      <c r="QO5" s="95"/>
      <c r="QP5" s="95"/>
      <c r="QQ5" s="95"/>
      <c r="QR5" s="95"/>
      <c r="QS5" s="95"/>
      <c r="QT5" s="95"/>
      <c r="QU5" s="95"/>
      <c r="QV5" s="95"/>
      <c r="QW5" s="95"/>
      <c r="QX5" s="95"/>
      <c r="QY5" s="95"/>
      <c r="QZ5" s="95"/>
      <c r="RA5" s="95"/>
      <c r="RB5" s="95"/>
      <c r="RC5" s="95"/>
      <c r="RD5" s="95"/>
      <c r="RE5" s="95"/>
      <c r="RF5" s="95"/>
      <c r="RG5" s="95"/>
      <c r="RH5" s="95"/>
      <c r="RI5" s="95"/>
      <c r="RJ5" s="95"/>
      <c r="RK5" s="95"/>
      <c r="RL5" s="95"/>
      <c r="RM5" s="95"/>
      <c r="RN5" s="95"/>
      <c r="RO5" s="95"/>
      <c r="RP5" s="95"/>
      <c r="RQ5" s="95"/>
      <c r="RR5" s="95"/>
      <c r="RS5" s="95"/>
      <c r="RT5" s="95"/>
      <c r="RU5" s="95"/>
      <c r="RV5" s="95"/>
      <c r="RW5" s="95"/>
      <c r="RX5" s="95"/>
      <c r="RY5" s="95"/>
      <c r="RZ5" s="95"/>
      <c r="SA5" s="95"/>
      <c r="SB5" s="95"/>
      <c r="SC5" s="95"/>
      <c r="SD5" s="95"/>
      <c r="SE5" s="95"/>
      <c r="SF5" s="95"/>
      <c r="SG5" s="95"/>
      <c r="SH5" s="95"/>
      <c r="SI5" s="95"/>
      <c r="SJ5" s="95"/>
      <c r="SK5" s="95"/>
      <c r="SL5" s="95"/>
      <c r="SM5" s="95"/>
      <c r="SN5" s="95"/>
      <c r="SO5" s="95"/>
      <c r="SP5" s="95"/>
      <c r="SQ5" s="95"/>
      <c r="SR5" s="95"/>
    </row>
    <row r="6" spans="1:512" ht="15" x14ac:dyDescent="0.25">
      <c r="A6" s="37" t="str">
        <f>"Col "&amp;COLUMN()</f>
        <v>Col 1</v>
      </c>
      <c r="B6" s="37" t="str">
        <f t="shared" ref="B6:CA6" si="3">"Col "&amp;COLUMN()</f>
        <v>Col 2</v>
      </c>
      <c r="C6" s="37" t="str">
        <f t="shared" si="3"/>
        <v>Col 3</v>
      </c>
      <c r="D6" s="37" t="str">
        <f t="shared" si="3"/>
        <v>Col 4</v>
      </c>
      <c r="E6" s="37" t="str">
        <f t="shared" si="3"/>
        <v>Col 5</v>
      </c>
      <c r="F6" s="37" t="str">
        <f t="shared" si="3"/>
        <v>Col 6</v>
      </c>
      <c r="G6" s="88" t="str">
        <f t="shared" si="3"/>
        <v>Col 7</v>
      </c>
      <c r="H6" s="132" t="str">
        <f t="shared" si="3"/>
        <v>Col 8</v>
      </c>
      <c r="I6" s="37" t="str">
        <f t="shared" si="3"/>
        <v>Col 9</v>
      </c>
      <c r="J6" s="171" t="str">
        <f t="shared" si="3"/>
        <v>Col 10</v>
      </c>
      <c r="K6" s="37" t="str">
        <f t="shared" si="3"/>
        <v>Col 11</v>
      </c>
      <c r="L6" s="37" t="str">
        <f t="shared" si="3"/>
        <v>Col 12</v>
      </c>
      <c r="M6" s="37" t="str">
        <f t="shared" si="3"/>
        <v>Col 13</v>
      </c>
      <c r="N6" s="37" t="str">
        <f t="shared" si="3"/>
        <v>Col 14</v>
      </c>
      <c r="O6" s="88" t="str">
        <f t="shared" si="3"/>
        <v>Col 15</v>
      </c>
      <c r="P6" s="214" t="str">
        <f t="shared" si="3"/>
        <v>Col 16</v>
      </c>
      <c r="Q6" s="213" t="str">
        <f t="shared" si="3"/>
        <v>Col 17</v>
      </c>
      <c r="R6" s="213" t="str">
        <f t="shared" si="3"/>
        <v>Col 18</v>
      </c>
      <c r="S6" s="213" t="str">
        <f t="shared" si="3"/>
        <v>Col 19</v>
      </c>
      <c r="T6" s="213" t="str">
        <f t="shared" si="3"/>
        <v>Col 20</v>
      </c>
      <c r="U6" s="213" t="str">
        <f t="shared" si="3"/>
        <v>Col 21</v>
      </c>
      <c r="V6" s="213" t="str">
        <f t="shared" si="3"/>
        <v>Col 22</v>
      </c>
      <c r="W6" s="213" t="str">
        <f t="shared" si="3"/>
        <v>Col 23</v>
      </c>
      <c r="X6" s="213" t="str">
        <f t="shared" si="3"/>
        <v>Col 24</v>
      </c>
      <c r="Y6" s="213" t="str">
        <f t="shared" si="3"/>
        <v>Col 25</v>
      </c>
      <c r="Z6" s="213" t="str">
        <f t="shared" si="3"/>
        <v>Col 26</v>
      </c>
      <c r="AA6" s="215" t="str">
        <f t="shared" si="3"/>
        <v>Col 27</v>
      </c>
      <c r="AB6" s="132" t="str">
        <f t="shared" si="3"/>
        <v>Col 28</v>
      </c>
      <c r="AC6" s="37" t="str">
        <f t="shared" si="3"/>
        <v>Col 29</v>
      </c>
      <c r="AD6" s="37" t="str">
        <f t="shared" si="3"/>
        <v>Col 30</v>
      </c>
      <c r="AE6" s="37" t="str">
        <f t="shared" si="3"/>
        <v>Col 31</v>
      </c>
      <c r="AF6" s="88" t="str">
        <f t="shared" si="3"/>
        <v>Col 32</v>
      </c>
      <c r="AG6" s="132" t="str">
        <f t="shared" si="3"/>
        <v>Col 33</v>
      </c>
      <c r="AH6" s="37" t="str">
        <f t="shared" si="3"/>
        <v>Col 34</v>
      </c>
      <c r="AI6" s="37" t="str">
        <f t="shared" si="3"/>
        <v>Col 35</v>
      </c>
      <c r="AJ6" s="37" t="str">
        <f t="shared" si="3"/>
        <v>Col 36</v>
      </c>
      <c r="AK6" s="88" t="str">
        <f t="shared" si="3"/>
        <v>Col 37</v>
      </c>
      <c r="AL6" s="132" t="str">
        <f t="shared" si="3"/>
        <v>Col 38</v>
      </c>
      <c r="AM6" s="37" t="str">
        <f t="shared" si="3"/>
        <v>Col 39</v>
      </c>
      <c r="AN6" s="37" t="str">
        <f t="shared" si="3"/>
        <v>Col 40</v>
      </c>
      <c r="AO6" s="37" t="str">
        <f t="shared" si="3"/>
        <v>Col 41</v>
      </c>
      <c r="AP6" s="88" t="str">
        <f t="shared" si="3"/>
        <v>Col 42</v>
      </c>
      <c r="AQ6" s="132" t="str">
        <f t="shared" si="3"/>
        <v>Col 43</v>
      </c>
      <c r="AR6" s="37" t="str">
        <f t="shared" si="3"/>
        <v>Col 44</v>
      </c>
      <c r="AS6" s="37" t="str">
        <f t="shared" si="3"/>
        <v>Col 45</v>
      </c>
      <c r="AT6" s="37" t="str">
        <f t="shared" si="3"/>
        <v>Col 46</v>
      </c>
      <c r="AU6" s="37" t="str">
        <f t="shared" si="3"/>
        <v>Col 47</v>
      </c>
      <c r="AV6" s="37" t="str">
        <f t="shared" si="3"/>
        <v>Col 48</v>
      </c>
      <c r="AW6" s="37"/>
      <c r="AX6" s="37"/>
      <c r="AY6" s="37"/>
      <c r="AZ6" s="37"/>
      <c r="BA6" s="37"/>
      <c r="BB6" s="37"/>
      <c r="BC6" s="88" t="str">
        <f t="shared" si="3"/>
        <v>Col 55</v>
      </c>
      <c r="BD6" s="132" t="str">
        <f t="shared" si="3"/>
        <v>Col 56</v>
      </c>
      <c r="BE6" s="37" t="str">
        <f t="shared" si="3"/>
        <v>Col 57</v>
      </c>
      <c r="BF6" s="37" t="str">
        <f t="shared" si="3"/>
        <v>Col 58</v>
      </c>
      <c r="BG6" s="37" t="str">
        <f t="shared" si="3"/>
        <v>Col 59</v>
      </c>
      <c r="BH6" s="37" t="str">
        <f t="shared" si="3"/>
        <v>Col 60</v>
      </c>
      <c r="BI6" s="37" t="str">
        <f t="shared" si="3"/>
        <v>Col 61</v>
      </c>
      <c r="BJ6" s="37" t="str">
        <f t="shared" si="3"/>
        <v>Col 62</v>
      </c>
      <c r="BK6" s="37" t="str">
        <f t="shared" si="3"/>
        <v>Col 63</v>
      </c>
      <c r="BL6" s="37" t="str">
        <f t="shared" si="3"/>
        <v>Col 64</v>
      </c>
      <c r="BM6" s="37" t="str">
        <f t="shared" si="3"/>
        <v>Col 65</v>
      </c>
      <c r="BN6" s="37" t="str">
        <f t="shared" si="3"/>
        <v>Col 66</v>
      </c>
      <c r="BO6" s="37" t="str">
        <f t="shared" si="3"/>
        <v>Col 67</v>
      </c>
      <c r="BP6" s="37" t="str">
        <f t="shared" si="3"/>
        <v>Col 68</v>
      </c>
      <c r="BQ6" s="37" t="str">
        <f t="shared" si="3"/>
        <v>Col 69</v>
      </c>
      <c r="BR6" s="37" t="str">
        <f t="shared" si="3"/>
        <v>Col 70</v>
      </c>
      <c r="BS6" s="37" t="str">
        <f t="shared" si="3"/>
        <v>Col 71</v>
      </c>
      <c r="BT6" s="37" t="str">
        <f t="shared" si="3"/>
        <v>Col 72</v>
      </c>
      <c r="BU6" s="37" t="str">
        <f t="shared" si="3"/>
        <v>Col 73</v>
      </c>
      <c r="BV6" s="37" t="str">
        <f t="shared" si="3"/>
        <v>Col 74</v>
      </c>
      <c r="BW6" s="37" t="str">
        <f t="shared" si="3"/>
        <v>Col 75</v>
      </c>
      <c r="BX6" s="37" t="str">
        <f t="shared" si="3"/>
        <v>Col 76</v>
      </c>
      <c r="BY6" s="37" t="str">
        <f t="shared" si="3"/>
        <v>Col 77</v>
      </c>
      <c r="BZ6" s="37" t="str">
        <f t="shared" si="3"/>
        <v>Col 78</v>
      </c>
      <c r="CA6" s="88" t="str">
        <f t="shared" si="3"/>
        <v>Col 79</v>
      </c>
      <c r="CY6" s="37" t="str">
        <f>A6</f>
        <v>Col 1</v>
      </c>
      <c r="CZ6" s="37" t="str">
        <f>B6</f>
        <v>Col 2</v>
      </c>
      <c r="DA6" s="37" t="str">
        <f>C6</f>
        <v>Col 3</v>
      </c>
      <c r="DB6" s="37" t="str">
        <f>D6</f>
        <v>Col 4</v>
      </c>
      <c r="DC6" s="37" t="str">
        <f>E6</f>
        <v>Col 5</v>
      </c>
      <c r="DD6" s="37" t="str">
        <f>F6</f>
        <v>Col 6</v>
      </c>
      <c r="DE6" s="37" t="str">
        <f>G6</f>
        <v>Col 7</v>
      </c>
      <c r="DF6" s="37" t="str">
        <f>H6</f>
        <v>Col 8</v>
      </c>
      <c r="DG6" s="37" t="str">
        <f>I6</f>
        <v>Col 9</v>
      </c>
      <c r="DH6" s="37" t="str">
        <f>J6</f>
        <v>Col 10</v>
      </c>
      <c r="DI6" s="37" t="str">
        <f>K6</f>
        <v>Col 11</v>
      </c>
      <c r="DJ6" s="37" t="str">
        <f>L6</f>
        <v>Col 12</v>
      </c>
      <c r="DK6" s="37" t="str">
        <f>M6</f>
        <v>Col 13</v>
      </c>
      <c r="DL6" s="37" t="str">
        <f>N6</f>
        <v>Col 14</v>
      </c>
      <c r="DM6" s="37" t="str">
        <f>O6</f>
        <v>Col 15</v>
      </c>
      <c r="DN6" s="37" t="str">
        <f>P6</f>
        <v>Col 16</v>
      </c>
      <c r="DO6" s="37" t="str">
        <f>Q6</f>
        <v>Col 17</v>
      </c>
      <c r="DP6" s="37" t="str">
        <f>R6</f>
        <v>Col 18</v>
      </c>
      <c r="DQ6" s="37" t="str">
        <f>S6</f>
        <v>Col 19</v>
      </c>
      <c r="DR6" s="37" t="str">
        <f>T6</f>
        <v>Col 20</v>
      </c>
      <c r="DS6" s="37" t="str">
        <f t="shared" ref="DS6:ES6" si="4">U6</f>
        <v>Col 21</v>
      </c>
      <c r="DT6" s="37" t="str">
        <f t="shared" si="4"/>
        <v>Col 22</v>
      </c>
      <c r="DU6" s="37" t="str">
        <f t="shared" si="4"/>
        <v>Col 23</v>
      </c>
      <c r="DV6" s="37" t="str">
        <f t="shared" si="4"/>
        <v>Col 24</v>
      </c>
      <c r="DW6" s="37" t="str">
        <f t="shared" si="4"/>
        <v>Col 25</v>
      </c>
      <c r="DX6" s="37" t="str">
        <f t="shared" si="4"/>
        <v>Col 26</v>
      </c>
      <c r="DY6" s="37" t="str">
        <f t="shared" si="4"/>
        <v>Col 27</v>
      </c>
      <c r="DZ6" s="37" t="str">
        <f t="shared" si="4"/>
        <v>Col 28</v>
      </c>
      <c r="EA6" s="37" t="str">
        <f t="shared" si="4"/>
        <v>Col 29</v>
      </c>
      <c r="EB6" s="37" t="str">
        <f t="shared" si="4"/>
        <v>Col 30</v>
      </c>
      <c r="EC6" s="37" t="str">
        <f t="shared" si="4"/>
        <v>Col 31</v>
      </c>
      <c r="ED6" s="37" t="str">
        <f t="shared" si="4"/>
        <v>Col 32</v>
      </c>
      <c r="EE6" s="37" t="str">
        <f t="shared" si="4"/>
        <v>Col 33</v>
      </c>
      <c r="EF6" s="37" t="str">
        <f t="shared" si="4"/>
        <v>Col 34</v>
      </c>
      <c r="EG6" s="37" t="str">
        <f t="shared" si="4"/>
        <v>Col 35</v>
      </c>
      <c r="EH6" s="37" t="str">
        <f t="shared" si="4"/>
        <v>Col 36</v>
      </c>
      <c r="EI6" s="37" t="str">
        <f t="shared" si="4"/>
        <v>Col 37</v>
      </c>
      <c r="EJ6" s="37" t="str">
        <f t="shared" si="4"/>
        <v>Col 38</v>
      </c>
      <c r="EK6" s="37" t="str">
        <f t="shared" si="4"/>
        <v>Col 39</v>
      </c>
      <c r="EL6" s="37" t="str">
        <f t="shared" si="4"/>
        <v>Col 40</v>
      </c>
      <c r="EM6" s="37" t="str">
        <f t="shared" si="4"/>
        <v>Col 41</v>
      </c>
      <c r="EN6" s="37" t="str">
        <f t="shared" si="4"/>
        <v>Col 42</v>
      </c>
      <c r="EO6" s="37" t="str">
        <f t="shared" si="4"/>
        <v>Col 43</v>
      </c>
      <c r="EP6" s="37" t="str">
        <f t="shared" si="4"/>
        <v>Col 44</v>
      </c>
      <c r="EQ6" s="37" t="str">
        <f t="shared" si="4"/>
        <v>Col 45</v>
      </c>
      <c r="ER6" s="37" t="str">
        <f t="shared" si="4"/>
        <v>Col 46</v>
      </c>
      <c r="ES6" s="37" t="str">
        <f t="shared" si="4"/>
        <v>Col 47</v>
      </c>
      <c r="EW6" s="95" t="str">
        <f>K6</f>
        <v>Col 11</v>
      </c>
      <c r="EX6" s="95" t="str">
        <f>EW6</f>
        <v>Col 11</v>
      </c>
      <c r="EY6" s="95" t="str">
        <f t="shared" ref="EY6:EZ6" si="5">EX6</f>
        <v>Col 11</v>
      </c>
      <c r="EZ6" s="95" t="str">
        <f t="shared" si="5"/>
        <v>Col 11</v>
      </c>
      <c r="FA6" s="95" t="str">
        <f>O6</f>
        <v>Col 15</v>
      </c>
      <c r="FB6" s="95" t="str">
        <f>FA6</f>
        <v>Col 15</v>
      </c>
      <c r="FC6" s="95" t="str">
        <f t="shared" ref="FC6:FD6" si="6">FB6</f>
        <v>Col 15</v>
      </c>
      <c r="FD6" s="95" t="str">
        <f t="shared" si="6"/>
        <v>Col 15</v>
      </c>
      <c r="FE6" s="95" t="str">
        <f>P6</f>
        <v>Col 16</v>
      </c>
      <c r="FF6" s="95" t="str">
        <f>FE6</f>
        <v>Col 16</v>
      </c>
      <c r="FG6" s="95" t="str">
        <f t="shared" ref="FG6:FH6" si="7">FF6</f>
        <v>Col 16</v>
      </c>
      <c r="FH6" s="95" t="str">
        <f t="shared" si="7"/>
        <v>Col 16</v>
      </c>
      <c r="FI6" s="95" t="str">
        <f>Q6</f>
        <v>Col 17</v>
      </c>
      <c r="FJ6" s="95" t="str">
        <f>FI6</f>
        <v>Col 17</v>
      </c>
      <c r="FK6" s="95" t="str">
        <f t="shared" ref="FK6:FL6" si="8">FJ6</f>
        <v>Col 17</v>
      </c>
      <c r="FL6" s="95" t="str">
        <f t="shared" si="8"/>
        <v>Col 17</v>
      </c>
    </row>
    <row r="7" spans="1:512" ht="60.75" customHeight="1" x14ac:dyDescent="0.25">
      <c r="A7" s="39" t="s">
        <v>1</v>
      </c>
      <c r="B7" s="71" t="s">
        <v>2</v>
      </c>
      <c r="C7" s="51" t="s">
        <v>271</v>
      </c>
      <c r="D7" s="39" t="s">
        <v>67</v>
      </c>
      <c r="E7" s="39" t="s">
        <v>72</v>
      </c>
      <c r="F7" s="40" t="s">
        <v>268</v>
      </c>
      <c r="G7" s="144" t="s">
        <v>135</v>
      </c>
      <c r="H7" s="138" t="s">
        <v>402</v>
      </c>
      <c r="I7" s="39" t="s">
        <v>404</v>
      </c>
      <c r="J7" s="179" t="s">
        <v>389</v>
      </c>
      <c r="K7" s="40" t="s">
        <v>390</v>
      </c>
      <c r="L7" s="39" t="s">
        <v>403</v>
      </c>
      <c r="M7" s="39" t="s">
        <v>410</v>
      </c>
      <c r="N7" s="40" t="s">
        <v>391</v>
      </c>
      <c r="O7" s="144" t="s">
        <v>392</v>
      </c>
      <c r="P7" s="153" t="s">
        <v>140</v>
      </c>
      <c r="Q7" s="41" t="s">
        <v>141</v>
      </c>
      <c r="R7" s="39" t="s">
        <v>82</v>
      </c>
      <c r="S7" s="41" t="s">
        <v>81</v>
      </c>
      <c r="T7" s="150" t="s">
        <v>412</v>
      </c>
      <c r="U7" s="39" t="s">
        <v>483</v>
      </c>
      <c r="V7" s="39" t="s">
        <v>148</v>
      </c>
      <c r="W7" s="39" t="s">
        <v>401</v>
      </c>
      <c r="X7" s="39" t="s">
        <v>85</v>
      </c>
      <c r="Y7" s="39" t="str">
        <f>X7&amp;" Error Explanation"</f>
        <v>Build Permit Obtained Date Error Explanation</v>
      </c>
      <c r="Z7" s="39" t="s">
        <v>86</v>
      </c>
      <c r="AA7" s="39" t="s">
        <v>87</v>
      </c>
      <c r="AB7" s="133" t="s">
        <v>414</v>
      </c>
      <c r="AC7" s="39" t="s">
        <v>415</v>
      </c>
      <c r="AD7" s="39" t="str">
        <f>AC7&amp;" Error Explanation"</f>
        <v>Construction Start Date Error Explanation</v>
      </c>
      <c r="AE7" s="41" t="s">
        <v>89</v>
      </c>
      <c r="AF7" s="39" t="str">
        <f>AE7&amp;" Error Explanation"</f>
        <v>Substantial Completion Date Error Explanation</v>
      </c>
      <c r="AG7" s="138" t="s">
        <v>91</v>
      </c>
      <c r="AH7" s="39" t="str">
        <f>AG7&amp;" Error Explanation"</f>
        <v>School Opening Date  Error Explanation</v>
      </c>
      <c r="AI7" s="39" t="s">
        <v>152</v>
      </c>
      <c r="AJ7" s="39" t="str">
        <f>AI7&amp;" Error Explanation"</f>
        <v>Child Care Opening Date Error Explanation</v>
      </c>
      <c r="AK7" s="150" t="s">
        <v>470</v>
      </c>
      <c r="AL7" s="138" t="s">
        <v>313</v>
      </c>
      <c r="AM7" s="39" t="s">
        <v>270</v>
      </c>
      <c r="AN7" s="39" t="s">
        <v>261</v>
      </c>
      <c r="AO7" s="39" t="s">
        <v>262</v>
      </c>
      <c r="AP7" s="150" t="s">
        <v>263</v>
      </c>
      <c r="AQ7" s="148" t="s">
        <v>94</v>
      </c>
      <c r="AR7" s="40" t="s">
        <v>269</v>
      </c>
      <c r="AS7" s="40" t="s">
        <v>264</v>
      </c>
      <c r="AT7" s="40" t="s">
        <v>265</v>
      </c>
      <c r="AU7" s="40" t="s">
        <v>266</v>
      </c>
      <c r="AV7" s="39" t="s">
        <v>179</v>
      </c>
      <c r="AW7" s="39" t="s">
        <v>180</v>
      </c>
      <c r="AX7" s="39" t="s">
        <v>181</v>
      </c>
      <c r="AY7" s="39" t="s">
        <v>101</v>
      </c>
      <c r="AZ7" s="39" t="s">
        <v>102</v>
      </c>
      <c r="BA7" s="39" t="s">
        <v>103</v>
      </c>
      <c r="BB7" s="39" t="s">
        <v>104</v>
      </c>
      <c r="BC7" s="150" t="s">
        <v>184</v>
      </c>
      <c r="BD7" s="164" t="str">
        <f>"*((tbl*((meeting_minutes_heading"&amp;BD10</f>
        <v>*((tbl*((meeting_minutes_heading*((col*((meeting_minutes_minus_1</v>
      </c>
      <c r="BE7" s="51" t="str">
        <f>BE10</f>
        <v>*((col*((meeting_minutes_minus_2</v>
      </c>
      <c r="BF7" s="51" t="str">
        <f t="shared" ref="BF7:CA7" si="9">BF10</f>
        <v>*((col*((meeting_minutes_minus_3</v>
      </c>
      <c r="BG7" s="51" t="str">
        <f t="shared" si="9"/>
        <v>*((col*((meeting_minutes_minus_4</v>
      </c>
      <c r="BH7" s="51" t="str">
        <f t="shared" si="9"/>
        <v>*((col*((meeting_minutes_minus_5</v>
      </c>
      <c r="BI7" s="51" t="str">
        <f t="shared" si="9"/>
        <v>*((col*((meeting_minutes_minus_6</v>
      </c>
      <c r="BJ7" s="51" t="str">
        <f t="shared" si="9"/>
        <v>*((col*((meeting_minutes_minus_7</v>
      </c>
      <c r="BK7" s="51" t="str">
        <f t="shared" si="9"/>
        <v>*((col*((meeting_minutes_minus_8</v>
      </c>
      <c r="BL7" s="51" t="str">
        <f t="shared" si="9"/>
        <v>*((col*((meeting_minutes_minus_9</v>
      </c>
      <c r="BM7" s="51" t="str">
        <f t="shared" si="9"/>
        <v>*((col*((meeting_minutes_minus_10</v>
      </c>
      <c r="BN7" s="51" t="str">
        <f t="shared" si="9"/>
        <v>*((col*((meeting_minutes_minus_11</v>
      </c>
      <c r="BO7" s="51" t="str">
        <f t="shared" si="9"/>
        <v>*((col*((meeting_minutes_minus_12</v>
      </c>
      <c r="BP7" s="51" t="str">
        <f t="shared" si="9"/>
        <v>*((col*((meeting_minutes_minus_13</v>
      </c>
      <c r="BQ7" s="51" t="str">
        <f t="shared" si="9"/>
        <v>*((col*((meeting_minutes_minus_14</v>
      </c>
      <c r="BR7" s="51" t="str">
        <f t="shared" si="9"/>
        <v>*((col*((meeting_minutes_minus_15</v>
      </c>
      <c r="BS7" s="51" t="str">
        <f t="shared" si="9"/>
        <v>*((col*((meeting_minutes_minus_16</v>
      </c>
      <c r="BT7" s="51" t="str">
        <f t="shared" si="9"/>
        <v>*((col*((meeting_minutes_minus_17</v>
      </c>
      <c r="BU7" s="51" t="str">
        <f t="shared" si="9"/>
        <v>*((col*((meeting_minutes_minus_18</v>
      </c>
      <c r="BV7" s="51" t="str">
        <f t="shared" si="9"/>
        <v>*((col*((meeting_minutes_minus_19</v>
      </c>
      <c r="BW7" s="51" t="str">
        <f t="shared" si="9"/>
        <v>*((col*((meeting_minutes_minus_20</v>
      </c>
      <c r="BX7" s="51" t="str">
        <f t="shared" si="9"/>
        <v>*((col*((meeting_minutes_minus_21</v>
      </c>
      <c r="BY7" s="51" t="str">
        <f t="shared" si="9"/>
        <v>*((col*((meeting_minutes_minus_22</v>
      </c>
      <c r="BZ7" s="51" t="str">
        <f t="shared" si="9"/>
        <v>*((col*((meeting_minutes_minus_23</v>
      </c>
      <c r="CA7" s="89" t="str">
        <f t="shared" si="9"/>
        <v>*((col*((meeting_minutes_minus_24</v>
      </c>
      <c r="CC7" s="99" t="s">
        <v>372</v>
      </c>
      <c r="CE7" s="95" t="s">
        <v>379</v>
      </c>
      <c r="CF7" s="98" t="str">
        <f>'Project Commitment'!M4</f>
        <v>Site Purchase Date</v>
      </c>
      <c r="CG7" s="98" t="str">
        <f>'Project Commitment'!N4</f>
        <v>Space Template Approval Date</v>
      </c>
      <c r="CH7" s="98" t="str">
        <f>'Project Commitment'!O4</f>
        <v xml:space="preserve">Child Care Floorplan Approval Date </v>
      </c>
      <c r="CI7" s="98" t="str">
        <f>'Project Commitment'!P4</f>
        <v>Initial Site Plan Submission Date</v>
      </c>
      <c r="CJ7" s="98" t="str">
        <f>'Project Commitment'!Q4</f>
        <v>Site Plan Approval Date</v>
      </c>
      <c r="CK7" s="98" t="str">
        <f>'Project Commitment'!R4</f>
        <v>Build Permit Obtained Date</v>
      </c>
      <c r="CL7" s="98" t="str">
        <f>'Project Commitment'!S4</f>
        <v>Pre-Tender Submission Date</v>
      </c>
      <c r="CM7" s="98" t="str">
        <f>'Project Commitment'!T4</f>
        <v xml:space="preserve">Tender Issued Date </v>
      </c>
      <c r="CN7" s="98" t="str">
        <f>'Project Commitment'!U4</f>
        <v>Tender Closed Date</v>
      </c>
      <c r="CO7" s="98" t="str">
        <f>'Project Commitment'!V4</f>
        <v>Post-Tender Submission Date</v>
      </c>
      <c r="CP7" s="98" t="str">
        <f>'Project Commitment'!W4</f>
        <v>Contract Awarded Date</v>
      </c>
      <c r="CQ7" s="98" t="str">
        <f>'Project Commitment'!X4</f>
        <v>Construction Start Date</v>
      </c>
      <c r="CR7" s="98" t="str">
        <f>'Project Commitment'!Y4</f>
        <v>Substantial Completion Date</v>
      </c>
      <c r="CS7" s="98" t="str">
        <f>'Project Commitment'!Z4</f>
        <v xml:space="preserve">School Opening Date </v>
      </c>
      <c r="CT7" s="98" t="str">
        <f>'Project Commitment'!AA4</f>
        <v>Child Care Opening Date</v>
      </c>
      <c r="CU7" s="98" t="str">
        <f>'Project Commitment'!AB4</f>
        <v>Financial Close-Out Date</v>
      </c>
      <c r="CV7" s="98"/>
      <c r="CW7" s="98"/>
      <c r="CX7" s="98"/>
      <c r="CY7" s="51" t="str">
        <f>A7</f>
        <v>Project ID</v>
      </c>
      <c r="CZ7" s="51" t="str">
        <f>B7</f>
        <v>Project Name</v>
      </c>
      <c r="DA7" s="51" t="str">
        <f>C7</f>
        <v>Meeting Minutes</v>
      </c>
      <c r="DB7" s="51" t="str">
        <f>D7</f>
        <v>Project Type</v>
      </c>
      <c r="DC7" s="51" t="str">
        <f>E7</f>
        <v xml:space="preserve">Project Category </v>
      </c>
      <c r="DD7" s="51" t="str">
        <f>F7</f>
        <v>Record Status</v>
      </c>
      <c r="DE7" s="51" t="str">
        <f>G7</f>
        <v>Construction Status</v>
      </c>
      <c r="DF7" s="51" t="str">
        <f>H7</f>
        <v>Pre-Tender Submission Date</v>
      </c>
      <c r="DG7" s="51" t="str">
        <f>I7</f>
        <v>Pre-Tender Package Type</v>
      </c>
      <c r="DH7" s="51" t="str">
        <f>J7</f>
        <v>Pre-Tender Package Complete</v>
      </c>
      <c r="DI7" s="51" t="str">
        <f>K7</f>
        <v>CA Reviewed All Pre-Tender Documents</v>
      </c>
      <c r="DJ7" s="51" t="str">
        <f>L7</f>
        <v>Post-Tender Submission Date</v>
      </c>
      <c r="DK7" s="51" t="str">
        <f>M7</f>
        <v>Post-Tender Package Type</v>
      </c>
      <c r="DL7" s="51" t="str">
        <f>N7</f>
        <v>Post-Tender Package Complete</v>
      </c>
      <c r="DM7" s="51" t="str">
        <f>O7</f>
        <v>CA Reviewed All Post-Tender Documents</v>
      </c>
      <c r="DN7" s="51" t="str">
        <f>P7</f>
        <v>Site Ownership Status</v>
      </c>
      <c r="DO7" s="51" t="str">
        <f>Q7</f>
        <v>Site Purchase Date</v>
      </c>
      <c r="DP7" s="51" t="str">
        <f>R7</f>
        <v xml:space="preserve">Design Status </v>
      </c>
      <c r="DQ7" s="51" t="str">
        <f>S7</f>
        <v>Space Template Approval Date</v>
      </c>
      <c r="DR7" s="51" t="str">
        <f>T7</f>
        <v xml:space="preserve">Child Care Floorplan Approval Date </v>
      </c>
      <c r="DS7" s="51" t="str">
        <f t="shared" ref="DS7" si="10">U7</f>
        <v>Initial Site Plan Submission Date</v>
      </c>
      <c r="DT7" s="51" t="str">
        <f t="shared" ref="DT7" si="11">V7</f>
        <v>Site Plan Approval Date</v>
      </c>
      <c r="DU7" s="51" t="str">
        <f t="shared" ref="DU7:ES7" si="12">W7</f>
        <v>Site Plan Approval Date Error Explanation</v>
      </c>
      <c r="DV7" s="51" t="str">
        <f t="shared" si="12"/>
        <v>Build Permit Obtained Date</v>
      </c>
      <c r="DW7" s="51" t="str">
        <f t="shared" si="12"/>
        <v>Build Permit Obtained Date Error Explanation</v>
      </c>
      <c r="DX7" s="51" t="str">
        <f t="shared" si="12"/>
        <v xml:space="preserve">Tender Issued Date </v>
      </c>
      <c r="DY7" s="51" t="str">
        <f t="shared" si="12"/>
        <v>Tender Closed Date</v>
      </c>
      <c r="DZ7" s="51" t="str">
        <f t="shared" si="12"/>
        <v>Contract Awarded Date</v>
      </c>
      <c r="EA7" s="51" t="str">
        <f t="shared" si="12"/>
        <v>Construction Start Date</v>
      </c>
      <c r="EB7" s="51" t="str">
        <f t="shared" si="12"/>
        <v>Construction Start Date Error Explanation</v>
      </c>
      <c r="EC7" s="51" t="str">
        <f t="shared" si="12"/>
        <v>Substantial Completion Date</v>
      </c>
      <c r="ED7" s="51" t="str">
        <f t="shared" si="12"/>
        <v>Substantial Completion Date Error Explanation</v>
      </c>
      <c r="EE7" s="51" t="str">
        <f t="shared" si="12"/>
        <v xml:space="preserve">School Opening Date </v>
      </c>
      <c r="EF7" s="51" t="str">
        <f t="shared" si="12"/>
        <v>School Opening Date  Error Explanation</v>
      </c>
      <c r="EG7" s="51" t="str">
        <f t="shared" si="12"/>
        <v>Child Care Opening Date</v>
      </c>
      <c r="EH7" s="51" t="str">
        <f t="shared" si="12"/>
        <v>Child Care Opening Date Error Explanation</v>
      </c>
      <c r="EI7" s="51" t="str">
        <f t="shared" si="12"/>
        <v>Financial Close-Out Date</v>
      </c>
      <c r="EJ7" s="51" t="str">
        <f t="shared" si="12"/>
        <v>Funding - All Associated Projects</v>
      </c>
      <c r="EK7" s="51" t="str">
        <f t="shared" si="12"/>
        <v>Funding - Construction Project</v>
      </c>
      <c r="EL7" s="51" t="str">
        <f t="shared" si="12"/>
        <v>Funding - Site Acquisition</v>
      </c>
      <c r="EM7" s="51" t="str">
        <f t="shared" si="12"/>
        <v>Funding - Demolition</v>
      </c>
      <c r="EN7" s="51" t="str">
        <f t="shared" si="12"/>
        <v>Funding - All Other Associated Projects</v>
      </c>
      <c r="EO7" s="51" t="str">
        <f t="shared" si="12"/>
        <v xml:space="preserve">Basis of Cost Estimate </v>
      </c>
      <c r="EP7" s="51" t="str">
        <f t="shared" si="12"/>
        <v>Estimated Cost - Construction Project</v>
      </c>
      <c r="EQ7" s="51" t="str">
        <f t="shared" si="12"/>
        <v>Estimated Cost - Land</v>
      </c>
      <c r="ER7" s="51" t="str">
        <f t="shared" si="12"/>
        <v>Estimated Cost - Demolition</v>
      </c>
      <c r="ES7" s="51" t="str">
        <f t="shared" si="12"/>
        <v>Estimated Cost - All Other Associated Projects</v>
      </c>
      <c r="ET7" s="98"/>
      <c r="EU7" s="98"/>
      <c r="EV7" s="98"/>
      <c r="EW7" s="98"/>
      <c r="EX7" s="98"/>
      <c r="EY7" s="98"/>
      <c r="EZ7" s="98"/>
      <c r="FA7" s="98"/>
      <c r="FB7" s="98"/>
      <c r="FC7" s="98"/>
      <c r="FD7" s="98"/>
      <c r="FE7" s="98"/>
      <c r="FF7" s="98"/>
      <c r="FG7" s="98"/>
      <c r="FH7" s="98"/>
      <c r="FI7" s="98"/>
      <c r="FJ7" s="98"/>
      <c r="FK7" s="98"/>
      <c r="FL7" s="98"/>
      <c r="FM7" s="98"/>
      <c r="FN7" s="98"/>
      <c r="FO7" s="98"/>
      <c r="FP7" s="98"/>
      <c r="FQ7" s="98"/>
      <c r="FR7" s="98"/>
      <c r="FS7" s="98"/>
      <c r="FT7" s="98"/>
      <c r="FU7" s="98"/>
      <c r="FV7" s="98"/>
      <c r="FW7" s="98"/>
      <c r="FX7" s="98"/>
      <c r="FY7" s="98"/>
    </row>
    <row r="8" spans="1:512" ht="62.25" hidden="1" customHeight="1" x14ac:dyDescent="0.25">
      <c r="A8" s="27" t="s">
        <v>3</v>
      </c>
      <c r="B8" s="28" t="s">
        <v>4</v>
      </c>
      <c r="C8" s="3"/>
      <c r="D8" s="28" t="s">
        <v>105</v>
      </c>
      <c r="E8" s="29" t="s">
        <v>106</v>
      </c>
      <c r="F8" s="29"/>
      <c r="G8" s="29"/>
      <c r="H8" s="134"/>
      <c r="I8" s="26"/>
      <c r="J8" s="118"/>
      <c r="K8" s="118"/>
      <c r="L8" s="26"/>
      <c r="M8" s="126"/>
      <c r="N8" s="118"/>
      <c r="O8" s="118"/>
      <c r="P8" s="134"/>
      <c r="Q8" s="26"/>
      <c r="R8" s="26"/>
      <c r="S8" s="26"/>
      <c r="T8" s="126"/>
      <c r="U8" s="31"/>
      <c r="V8" s="26"/>
      <c r="W8" s="26"/>
      <c r="X8" s="26"/>
      <c r="Y8" s="26"/>
      <c r="Z8" s="26"/>
      <c r="AA8" s="38"/>
      <c r="AB8" s="134"/>
      <c r="AC8" s="26"/>
      <c r="AD8" s="26"/>
      <c r="AE8" s="26"/>
      <c r="AF8" s="126"/>
      <c r="AG8" s="134"/>
      <c r="AH8" s="26"/>
      <c r="AI8" s="26"/>
      <c r="AJ8" s="26"/>
      <c r="AK8" s="126"/>
      <c r="AL8" s="134"/>
      <c r="AM8" s="26"/>
      <c r="AN8" s="26" t="s">
        <v>107</v>
      </c>
      <c r="AO8" s="26" t="s">
        <v>108</v>
      </c>
      <c r="AP8" s="126" t="s">
        <v>109</v>
      </c>
      <c r="AQ8" s="157" t="s">
        <v>110</v>
      </c>
      <c r="AR8" s="30"/>
      <c r="AS8" s="30"/>
      <c r="AT8" s="30"/>
      <c r="AU8" s="30" t="s">
        <v>111</v>
      </c>
      <c r="AV8" s="3"/>
      <c r="AW8" s="3"/>
      <c r="AX8" s="3"/>
      <c r="AY8" s="3"/>
      <c r="AZ8" s="3"/>
      <c r="BA8" s="3"/>
      <c r="BB8" s="3"/>
      <c r="BC8" s="90"/>
      <c r="BD8" s="165"/>
      <c r="BE8" s="3"/>
      <c r="BF8" s="3"/>
      <c r="BG8" s="3"/>
      <c r="BH8" s="3"/>
      <c r="BI8" s="3"/>
      <c r="BJ8" s="3"/>
      <c r="BK8" s="3"/>
      <c r="BL8" s="3"/>
      <c r="BM8" s="3"/>
      <c r="BN8" s="3"/>
      <c r="BO8" s="3"/>
      <c r="BP8" s="3"/>
      <c r="BQ8" s="3"/>
      <c r="BR8" s="3"/>
      <c r="BS8" s="3"/>
      <c r="BT8" s="3"/>
      <c r="BU8" s="3"/>
      <c r="BV8" s="3"/>
      <c r="BW8" s="3"/>
      <c r="BX8" s="3"/>
      <c r="BY8" s="3"/>
      <c r="BZ8" s="3"/>
      <c r="CA8" s="90"/>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row>
    <row r="9" spans="1:512" ht="5.25" customHeight="1" x14ac:dyDescent="0.25">
      <c r="A9" s="11"/>
      <c r="B9" s="12"/>
      <c r="C9" s="10"/>
      <c r="D9" s="12"/>
      <c r="E9" s="13"/>
      <c r="F9" s="17"/>
      <c r="G9" s="145"/>
      <c r="H9" s="139"/>
      <c r="I9" s="14"/>
      <c r="J9" s="17"/>
      <c r="K9" s="17"/>
      <c r="L9" s="14"/>
      <c r="M9" s="127"/>
      <c r="N9" s="17"/>
      <c r="O9" s="145"/>
      <c r="P9" s="139"/>
      <c r="Q9" s="14"/>
      <c r="R9" s="14"/>
      <c r="S9" s="14"/>
      <c r="T9" s="127"/>
      <c r="U9" s="12"/>
      <c r="V9" s="14"/>
      <c r="W9" s="14"/>
      <c r="X9" s="14"/>
      <c r="Y9" s="14"/>
      <c r="Z9" s="14"/>
      <c r="AA9" s="14"/>
      <c r="AB9" s="135"/>
      <c r="AC9" s="14"/>
      <c r="AD9" s="14"/>
      <c r="AE9" s="14"/>
      <c r="AF9" s="127"/>
      <c r="AG9" s="139"/>
      <c r="AH9" s="14"/>
      <c r="AI9" s="14"/>
      <c r="AJ9" s="14"/>
      <c r="AK9" s="127"/>
      <c r="AL9" s="139"/>
      <c r="AM9" s="14"/>
      <c r="AN9" s="14"/>
      <c r="AO9" s="14"/>
      <c r="AP9" s="127"/>
      <c r="AQ9" s="149"/>
      <c r="AR9" s="16"/>
      <c r="AS9" s="16"/>
      <c r="AT9" s="16"/>
      <c r="AU9" s="16"/>
      <c r="AV9" s="10"/>
      <c r="AW9" s="10"/>
      <c r="AX9" s="10"/>
      <c r="AY9" s="10"/>
      <c r="AZ9" s="10"/>
      <c r="BA9" s="10"/>
      <c r="BB9" s="10"/>
      <c r="BC9" s="91"/>
      <c r="BD9" s="166"/>
      <c r="BE9" s="10"/>
      <c r="BF9" s="10"/>
      <c r="BG9" s="10"/>
      <c r="BH9" s="10"/>
      <c r="BI9" s="10"/>
      <c r="BJ9" s="10"/>
      <c r="BK9" s="10"/>
      <c r="BL9" s="10"/>
      <c r="BM9" s="10"/>
      <c r="BN9" s="10"/>
      <c r="BO9" s="10"/>
      <c r="BP9" s="10"/>
      <c r="BQ9" s="10"/>
      <c r="BR9" s="10"/>
      <c r="BS9" s="10"/>
      <c r="BT9" s="10"/>
      <c r="BU9" s="10"/>
      <c r="BV9" s="10"/>
      <c r="BW9" s="10"/>
      <c r="BX9" s="10"/>
      <c r="BY9" s="10"/>
      <c r="BZ9" s="10"/>
      <c r="CA9" s="91"/>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row>
    <row r="10" spans="1:512" ht="15.6" customHeight="1" x14ac:dyDescent="0.25">
      <c r="A10" s="65" t="s">
        <v>272</v>
      </c>
      <c r="B10" s="100" t="s">
        <v>307</v>
      </c>
      <c r="C10" s="85" t="s">
        <v>306</v>
      </c>
      <c r="D10" s="55" t="s">
        <v>274</v>
      </c>
      <c r="E10" s="55" t="s">
        <v>275</v>
      </c>
      <c r="F10" s="66" t="s">
        <v>276</v>
      </c>
      <c r="G10" s="146" t="s">
        <v>277</v>
      </c>
      <c r="H10" s="140" t="s">
        <v>281</v>
      </c>
      <c r="I10" s="112" t="s">
        <v>408</v>
      </c>
      <c r="J10" s="180" t="s">
        <v>396</v>
      </c>
      <c r="K10" s="119" t="s">
        <v>395</v>
      </c>
      <c r="L10" s="112" t="s">
        <v>332</v>
      </c>
      <c r="M10" s="128" t="s">
        <v>411</v>
      </c>
      <c r="N10" s="55" t="s">
        <v>393</v>
      </c>
      <c r="O10" s="152" t="s">
        <v>394</v>
      </c>
      <c r="P10" s="154" t="s">
        <v>278</v>
      </c>
      <c r="Q10" s="112" t="s">
        <v>308</v>
      </c>
      <c r="R10" s="66" t="s">
        <v>280</v>
      </c>
      <c r="S10" s="112" t="s">
        <v>279</v>
      </c>
      <c r="T10" s="128" t="s">
        <v>282</v>
      </c>
      <c r="U10" s="212" t="s">
        <v>309</v>
      </c>
      <c r="V10" s="112" t="s">
        <v>330</v>
      </c>
      <c r="W10" s="112" t="str">
        <f>"*((col*((error_explained_"&amp;COLUMN()</f>
        <v>*((col*((error_explained_23</v>
      </c>
      <c r="X10" s="112" t="s">
        <v>283</v>
      </c>
      <c r="Y10" s="112" t="str">
        <f>"*((col*((error_explained_"&amp;COLUMN()</f>
        <v>*((col*((error_explained_25</v>
      </c>
      <c r="Z10" s="112" t="s">
        <v>284</v>
      </c>
      <c r="AA10" s="112" t="s">
        <v>285</v>
      </c>
      <c r="AB10" s="140" t="s">
        <v>331</v>
      </c>
      <c r="AC10" s="112" t="s">
        <v>312</v>
      </c>
      <c r="AD10" s="112" t="str">
        <f>"*((col*((error_explained_"&amp;COLUMN()</f>
        <v>*((col*((error_explained_30</v>
      </c>
      <c r="AE10" s="112" t="s">
        <v>286</v>
      </c>
      <c r="AF10" s="128" t="str">
        <f>"*((col*((error_explained_"&amp;COLUMN()</f>
        <v>*((col*((error_explained_32</v>
      </c>
      <c r="AG10" s="140" t="s">
        <v>287</v>
      </c>
      <c r="AH10" s="112" t="str">
        <f>"*((col*((error_explained_"&amp;COLUMN()</f>
        <v>*((col*((error_explained_34</v>
      </c>
      <c r="AI10" s="112" t="s">
        <v>310</v>
      </c>
      <c r="AJ10" s="112" t="str">
        <f>"*((col*((error_explained_"&amp;COLUMN()</f>
        <v>*((col*((error_explained_36</v>
      </c>
      <c r="AK10" s="128" t="s">
        <v>288</v>
      </c>
      <c r="AL10" s="175" t="s">
        <v>315</v>
      </c>
      <c r="AM10" s="176" t="s">
        <v>289</v>
      </c>
      <c r="AN10" s="176" t="s">
        <v>290</v>
      </c>
      <c r="AO10" s="176" t="s">
        <v>291</v>
      </c>
      <c r="AP10" s="177" t="s">
        <v>292</v>
      </c>
      <c r="AQ10" s="158" t="s">
        <v>293</v>
      </c>
      <c r="AR10" s="102" t="s">
        <v>294</v>
      </c>
      <c r="AS10" s="102" t="s">
        <v>295</v>
      </c>
      <c r="AT10" s="102" t="s">
        <v>296</v>
      </c>
      <c r="AU10" s="102" t="s">
        <v>297</v>
      </c>
      <c r="AV10" s="66" t="s">
        <v>298</v>
      </c>
      <c r="AW10" s="66" t="s">
        <v>299</v>
      </c>
      <c r="AX10" s="66" t="s">
        <v>300</v>
      </c>
      <c r="AY10" s="66" t="s">
        <v>301</v>
      </c>
      <c r="AZ10" s="66" t="s">
        <v>302</v>
      </c>
      <c r="BA10" s="66" t="s">
        <v>303</v>
      </c>
      <c r="BB10" s="66" t="s">
        <v>304</v>
      </c>
      <c r="BC10" s="161" t="s">
        <v>305</v>
      </c>
      <c r="BD10" s="163" t="s">
        <v>348</v>
      </c>
      <c r="BE10" s="113" t="s">
        <v>349</v>
      </c>
      <c r="BF10" s="113" t="s">
        <v>350</v>
      </c>
      <c r="BG10" s="113" t="s">
        <v>351</v>
      </c>
      <c r="BH10" s="113" t="s">
        <v>352</v>
      </c>
      <c r="BI10" s="113" t="s">
        <v>353</v>
      </c>
      <c r="BJ10" s="113" t="s">
        <v>354</v>
      </c>
      <c r="BK10" s="113" t="s">
        <v>355</v>
      </c>
      <c r="BL10" s="113" t="s">
        <v>356</v>
      </c>
      <c r="BM10" s="113" t="s">
        <v>357</v>
      </c>
      <c r="BN10" s="113" t="s">
        <v>358</v>
      </c>
      <c r="BO10" s="113" t="s">
        <v>359</v>
      </c>
      <c r="BP10" s="113" t="s">
        <v>360</v>
      </c>
      <c r="BQ10" s="113" t="s">
        <v>361</v>
      </c>
      <c r="BR10" s="113" t="s">
        <v>362</v>
      </c>
      <c r="BS10" s="113" t="s">
        <v>363</v>
      </c>
      <c r="BT10" s="113" t="s">
        <v>364</v>
      </c>
      <c r="BU10" s="113" t="s">
        <v>365</v>
      </c>
      <c r="BV10" s="113" t="s">
        <v>366</v>
      </c>
      <c r="BW10" s="113" t="s">
        <v>367</v>
      </c>
      <c r="BX10" s="113" t="s">
        <v>368</v>
      </c>
      <c r="BY10" s="113" t="s">
        <v>369</v>
      </c>
      <c r="BZ10" s="113" t="s">
        <v>370</v>
      </c>
      <c r="CA10" s="114" t="s">
        <v>371</v>
      </c>
      <c r="CD10" s="87" t="s">
        <v>380</v>
      </c>
      <c r="CE10" s="95" t="s">
        <v>400</v>
      </c>
      <c r="CF10" s="95" t="str">
        <f>"*((col*((temp_formula_"&amp;COLUMN()&amp;"*((formula*((down"</f>
        <v>*((col*((temp_formula_84*((formula*((down</v>
      </c>
      <c r="CG10" s="95" t="str">
        <f t="shared" ref="CG10:CU10" si="13">"*((col*((temp_formula_"&amp;COLUMN()&amp;"*((formula*((down"</f>
        <v>*((col*((temp_formula_85*((formula*((down</v>
      </c>
      <c r="CH10" s="95" t="str">
        <f t="shared" si="13"/>
        <v>*((col*((temp_formula_86*((formula*((down</v>
      </c>
      <c r="CI10" s="95" t="str">
        <f t="shared" si="13"/>
        <v>*((col*((temp_formula_87*((formula*((down</v>
      </c>
      <c r="CJ10" s="95" t="str">
        <f t="shared" si="13"/>
        <v>*((col*((temp_formula_88*((formula*((down</v>
      </c>
      <c r="CK10" s="95" t="str">
        <f t="shared" si="13"/>
        <v>*((col*((temp_formula_89*((formula*((down</v>
      </c>
      <c r="CL10" s="95" t="str">
        <f t="shared" si="13"/>
        <v>*((col*((temp_formula_90*((formula*((down</v>
      </c>
      <c r="CM10" s="95" t="str">
        <f t="shared" si="13"/>
        <v>*((col*((temp_formula_91*((formula*((down</v>
      </c>
      <c r="CN10" s="95" t="str">
        <f t="shared" si="13"/>
        <v>*((col*((temp_formula_92*((formula*((down</v>
      </c>
      <c r="CO10" s="95" t="str">
        <f t="shared" si="13"/>
        <v>*((col*((temp_formula_93*((formula*((down</v>
      </c>
      <c r="CP10" s="95" t="str">
        <f t="shared" si="13"/>
        <v>*((col*((temp_formula_94*((formula*((down</v>
      </c>
      <c r="CQ10" s="95" t="str">
        <f t="shared" si="13"/>
        <v>*((col*((temp_formula_95*((formula*((down</v>
      </c>
      <c r="CR10" s="95" t="str">
        <f t="shared" si="13"/>
        <v>*((col*((temp_formula_96*((formula*((down</v>
      </c>
      <c r="CS10" s="95" t="str">
        <f t="shared" si="13"/>
        <v>*((col*((temp_formula_97*((formula*((down</v>
      </c>
      <c r="CT10" s="95" t="str">
        <f t="shared" si="13"/>
        <v>*((col*((temp_formula_98*((formula*((down</v>
      </c>
      <c r="CU10" s="95" t="str">
        <f t="shared" si="13"/>
        <v>*((col*((temp_formula_99*((formula*((down</v>
      </c>
      <c r="DA10" s="95" t="str">
        <f t="shared" ref="DA10:FK10" si="14">"*((col*((temp_formula_"&amp;COLUMN()&amp;"*((formula*((down"</f>
        <v>*((col*((temp_formula_105*((formula*((down</v>
      </c>
      <c r="DF10" s="95" t="str">
        <f t="shared" si="14"/>
        <v>*((col*((temp_formula_110*((formula*((down</v>
      </c>
      <c r="DG10" s="95" t="str">
        <f t="shared" si="14"/>
        <v>*((col*((temp_formula_111*((formula*((down</v>
      </c>
      <c r="DI10" s="95" t="str">
        <f t="shared" si="14"/>
        <v>*((col*((temp_formula_113*((formula*((down</v>
      </c>
      <c r="DJ10" s="95" t="str">
        <f t="shared" si="14"/>
        <v>*((col*((temp_formula_114*((formula*((down</v>
      </c>
      <c r="DK10" s="95" t="str">
        <f t="shared" si="14"/>
        <v>*((col*((temp_formula_115*((formula*((down</v>
      </c>
      <c r="DM10" s="95" t="str">
        <f t="shared" si="14"/>
        <v>*((col*((temp_formula_117*((formula*((down</v>
      </c>
      <c r="DN10" s="95" t="str">
        <f t="shared" si="14"/>
        <v>*((col*((temp_formula_118*((formula*((down</v>
      </c>
      <c r="DO10" s="95" t="str">
        <f t="shared" si="14"/>
        <v>*((col*((temp_formula_119*((formula*((down</v>
      </c>
      <c r="DP10" s="95" t="str">
        <f t="shared" si="14"/>
        <v>*((col*((temp_formula_120*((formula*((down</v>
      </c>
      <c r="DQ10" s="95" t="str">
        <f t="shared" si="14"/>
        <v>*((col*((temp_formula_121*((formula*((down</v>
      </c>
      <c r="DR10" s="95" t="str">
        <f t="shared" si="14"/>
        <v>*((col*((temp_formula_122*((formula*((down</v>
      </c>
      <c r="DS10" s="95" t="str">
        <f t="shared" si="14"/>
        <v>*((col*((temp_formula_123*((formula*((down</v>
      </c>
      <c r="DT10" s="95" t="str">
        <f t="shared" si="14"/>
        <v>*((col*((temp_formula_124*((formula*((down</v>
      </c>
      <c r="DV10" s="95" t="str">
        <f t="shared" si="14"/>
        <v>*((col*((temp_formula_126*((formula*((down</v>
      </c>
      <c r="DX10" s="95" t="str">
        <f t="shared" si="14"/>
        <v>*((col*((temp_formula_128*((formula*((down</v>
      </c>
      <c r="DY10" s="95" t="str">
        <f t="shared" si="14"/>
        <v>*((col*((temp_formula_129*((formula*((down</v>
      </c>
      <c r="DZ10" s="95" t="str">
        <f t="shared" si="14"/>
        <v>*((col*((temp_formula_130*((formula*((down</v>
      </c>
      <c r="EA10" s="95" t="str">
        <f t="shared" si="14"/>
        <v>*((col*((temp_formula_131*((formula*((down</v>
      </c>
      <c r="EC10" s="95" t="str">
        <f t="shared" si="14"/>
        <v>*((col*((temp_formula_133*((formula*((down</v>
      </c>
      <c r="EE10" s="95" t="str">
        <f t="shared" si="14"/>
        <v>*((col*((temp_formula_135*((formula*((down</v>
      </c>
      <c r="EG10" s="95" t="str">
        <f t="shared" si="14"/>
        <v>*((col*((temp_formula_137*((formula*((down</v>
      </c>
      <c r="EI10" s="95" t="str">
        <f t="shared" si="14"/>
        <v>*((col*((temp_formula_139*((formula*((down</v>
      </c>
      <c r="EO10" s="95" t="str">
        <f t="shared" si="14"/>
        <v>*((col*((temp_formula_145*((formula*((down</v>
      </c>
      <c r="EP10" s="95" t="str">
        <f t="shared" si="14"/>
        <v>*((col*((temp_formula_146*((formula*((down</v>
      </c>
      <c r="EQ10" s="95" t="str">
        <f t="shared" si="14"/>
        <v>*((col*((temp_formula_147*((formula*((down</v>
      </c>
      <c r="ER10" s="95" t="str">
        <f t="shared" si="14"/>
        <v>*((col*((temp_formula_148*((formula*((down</v>
      </c>
      <c r="ES10" s="95" t="str">
        <f t="shared" si="14"/>
        <v>*((col*((temp_formula_149*((formula*((down</v>
      </c>
      <c r="EW10" s="95" t="str">
        <f t="shared" si="14"/>
        <v>*((col*((temp_formula_153*((formula*((down</v>
      </c>
      <c r="EX10" s="95" t="str">
        <f t="shared" si="14"/>
        <v>*((col*((temp_formula_154*((formula*((down</v>
      </c>
      <c r="EY10" s="95" t="str">
        <f t="shared" si="14"/>
        <v>*((col*((temp_formula_155*((formula*((down</v>
      </c>
      <c r="EZ10" s="95" t="str">
        <f t="shared" si="14"/>
        <v>*((col*((temp_formula_156*((formula*((down</v>
      </c>
      <c r="FA10" s="95" t="str">
        <f t="shared" si="14"/>
        <v>*((col*((temp_formula_157*((formula*((down</v>
      </c>
      <c r="FB10" s="95" t="str">
        <f t="shared" si="14"/>
        <v>*((col*((temp_formula_158*((formula*((down</v>
      </c>
      <c r="FC10" s="95" t="str">
        <f t="shared" si="14"/>
        <v>*((col*((temp_formula_159*((formula*((down</v>
      </c>
      <c r="FD10" s="95" t="str">
        <f t="shared" si="14"/>
        <v>*((col*((temp_formula_160*((formula*((down</v>
      </c>
      <c r="FE10" s="95" t="str">
        <f t="shared" si="14"/>
        <v>*((col*((temp_formula_161*((formula*((down</v>
      </c>
      <c r="FF10" s="95" t="str">
        <f t="shared" si="14"/>
        <v>*((col*((temp_formula_162*((formula*((down</v>
      </c>
      <c r="FG10" s="95" t="str">
        <f t="shared" si="14"/>
        <v>*((col*((temp_formula_163*((formula*((down</v>
      </c>
      <c r="FH10" s="95" t="str">
        <f t="shared" si="14"/>
        <v>*((col*((temp_formula_164*((formula*((down</v>
      </c>
      <c r="FI10" s="95" t="str">
        <f t="shared" si="14"/>
        <v>*((col*((temp_formula_165*((formula*((down</v>
      </c>
      <c r="FJ10" s="95" t="str">
        <f t="shared" si="14"/>
        <v>*((col*((temp_formula_166*((formula*((down</v>
      </c>
      <c r="FK10" s="95" t="str">
        <f t="shared" si="14"/>
        <v>*((col*((temp_formula_167*((formula*((down</v>
      </c>
      <c r="FL10" s="95" t="str">
        <f t="shared" ref="FL10" si="15">"*((col*((temp_formula_"&amp;COLUMN()&amp;"*((formula*((down"</f>
        <v>*((col*((temp_formula_168*((formula*((down</v>
      </c>
    </row>
    <row r="11" spans="1:512" ht="15.6" customHeight="1" x14ac:dyDescent="0.25">
      <c r="A11" s="35"/>
      <c r="B11" s="35"/>
      <c r="C11" s="35"/>
      <c r="D11" s="36"/>
      <c r="E11" s="36"/>
      <c r="F11" s="56"/>
      <c r="G11" s="147" t="str" cm="1">
        <f t="array" ref="G11">_xlfn.IFS($C$3&gt;AK11, "Complete", $C$3&gt;AG11, "Open", $C$3&gt;AC11, "Under Construction", TRUE, "Planning")</f>
        <v>Complete</v>
      </c>
      <c r="H11" s="141"/>
      <c r="I11" s="103"/>
      <c r="J11" s="119"/>
      <c r="K11" s="119"/>
      <c r="L11" s="103"/>
      <c r="M11" s="183"/>
      <c r="N11" s="119"/>
      <c r="O11" s="152"/>
      <c r="P11" s="142"/>
      <c r="Q11" s="103"/>
      <c r="R11" s="9"/>
      <c r="S11" s="103"/>
      <c r="T11" s="129"/>
      <c r="U11" s="183"/>
      <c r="V11" s="103"/>
      <c r="W11" s="103"/>
      <c r="X11" s="103"/>
      <c r="Y11" s="103"/>
      <c r="Z11" s="103"/>
      <c r="AA11" s="103"/>
      <c r="AB11" s="141"/>
      <c r="AC11" s="103"/>
      <c r="AD11" s="103"/>
      <c r="AE11" s="103"/>
      <c r="AF11" s="129"/>
      <c r="AG11" s="141"/>
      <c r="AH11" s="103"/>
      <c r="AI11" s="103"/>
      <c r="AJ11" s="103"/>
      <c r="AK11" s="129"/>
      <c r="AL11" s="155">
        <f>SUM(AM11:AP11)</f>
        <v>0</v>
      </c>
      <c r="AM11" s="58"/>
      <c r="AN11" s="58"/>
      <c r="AO11" s="58"/>
      <c r="AP11" s="156"/>
      <c r="AQ11" s="159"/>
      <c r="AR11" s="8"/>
      <c r="AS11" s="8"/>
      <c r="AT11" s="34"/>
      <c r="AU11" s="8"/>
      <c r="AV11" s="35"/>
      <c r="AW11" s="8"/>
      <c r="AX11" s="8"/>
      <c r="AY11" s="35"/>
      <c r="AZ11" s="35"/>
      <c r="BA11" s="35"/>
      <c r="BB11" s="35"/>
      <c r="BC11" s="93"/>
      <c r="BD11" s="167"/>
      <c r="BE11" s="35"/>
      <c r="BF11" s="35"/>
      <c r="BG11" s="35"/>
      <c r="BH11" s="35"/>
      <c r="BI11" s="35"/>
      <c r="BJ11" s="35"/>
      <c r="BK11" s="35"/>
      <c r="BL11" s="35"/>
      <c r="BM11" s="35"/>
      <c r="BN11" s="35"/>
      <c r="BO11" s="35"/>
      <c r="BP11" s="35"/>
      <c r="BQ11" s="35"/>
      <c r="BR11" s="35"/>
      <c r="BS11" s="35"/>
      <c r="BT11" s="35"/>
      <c r="BU11" s="35"/>
      <c r="BV11" s="35"/>
      <c r="BW11" s="35"/>
      <c r="BX11" s="35"/>
      <c r="BY11" s="35"/>
      <c r="BZ11" s="35"/>
      <c r="CA11" s="92"/>
      <c r="CD11" s="95">
        <f>IF(AND(Q11="", A11&lt;&gt;"", P11&lt;&gt;"Site Purchased Prior to Capital Approval"), 1, 0)</f>
        <v>0</v>
      </c>
      <c r="CF11" s="95">
        <f>_xlfn.XLOOKUP($A11, 'Project Commitment'!$A:$A, 'Project Commitment'!M:M, "")</f>
        <v>0</v>
      </c>
      <c r="CG11" s="95">
        <f>_xlfn.XLOOKUP($A11, 'Project Commitment'!$A:$A, 'Project Commitment'!N:N, "")</f>
        <v>0</v>
      </c>
      <c r="CH11" s="95">
        <f>_xlfn.XLOOKUP($A11, 'Project Commitment'!$A:$A, 'Project Commitment'!O:O, "")</f>
        <v>0</v>
      </c>
      <c r="CI11" s="95">
        <f>_xlfn.XLOOKUP($A11, 'Project Commitment'!$A:$A, 'Project Commitment'!P:P, "")</f>
        <v>0</v>
      </c>
      <c r="CJ11" s="95">
        <f>_xlfn.XLOOKUP($A11, 'Project Commitment'!$A:$A, 'Project Commitment'!Q:Q, "")</f>
        <v>0</v>
      </c>
      <c r="CK11" s="95">
        <f>_xlfn.XLOOKUP($A11, 'Project Commitment'!$A:$A, 'Project Commitment'!R:R, "")</f>
        <v>0</v>
      </c>
      <c r="CL11" s="95">
        <f>_xlfn.XLOOKUP($A11, 'Project Commitment'!$A:$A, 'Project Commitment'!S:S, "")</f>
        <v>0</v>
      </c>
      <c r="CM11" s="95">
        <f>_xlfn.XLOOKUP($A11, 'Project Commitment'!$A:$A, 'Project Commitment'!T:T, "")</f>
        <v>0</v>
      </c>
      <c r="CN11" s="95">
        <f>_xlfn.XLOOKUP($A11, 'Project Commitment'!$A:$A, 'Project Commitment'!U:U, "")</f>
        <v>0</v>
      </c>
      <c r="CO11" s="95">
        <f>_xlfn.XLOOKUP($A11, 'Project Commitment'!$A:$A, 'Project Commitment'!V:V, "")</f>
        <v>0</v>
      </c>
      <c r="CP11" s="95">
        <f>_xlfn.XLOOKUP($A11, 'Project Commitment'!$A:$A, 'Project Commitment'!W:W, "")</f>
        <v>0</v>
      </c>
      <c r="CQ11" s="95">
        <f>_xlfn.XLOOKUP($A11, 'Project Commitment'!$A:$A, 'Project Commitment'!X:X, "")</f>
        <v>0</v>
      </c>
      <c r="CR11" s="95">
        <f>_xlfn.XLOOKUP($A11, 'Project Commitment'!$A:$A, 'Project Commitment'!Y:Y, "")</f>
        <v>0</v>
      </c>
      <c r="CS11" s="95">
        <f>_xlfn.XLOOKUP($A11, 'Project Commitment'!$A:$A, 'Project Commitment'!Z:Z, "")</f>
        <v>0</v>
      </c>
      <c r="CT11" s="95">
        <f>_xlfn.XLOOKUP($A11, 'Project Commitment'!$A:$A, 'Project Commitment'!AA:AA, "")</f>
        <v>0</v>
      </c>
      <c r="CU11" s="95">
        <f>_xlfn.XLOOKUP($A11, 'Project Commitment'!$A:$A, 'Project Commitment'!AB:AB, "")</f>
        <v>0</v>
      </c>
      <c r="CY11" s="120"/>
      <c r="CZ11" s="120"/>
      <c r="DA11" s="120" t="str">
        <f>IF(C11="", "Meeting Minutes cannot be blank", "")</f>
        <v>Meeting Minutes cannot be blank</v>
      </c>
      <c r="DB11" s="120"/>
      <c r="DC11" s="120"/>
      <c r="DD11" s="120"/>
      <c r="DE11" s="120"/>
      <c r="DF11" s="120" t="str" cm="1">
        <f t="array" ref="DF11">_xlfn.IFS(AND(J11="Not Applicable", H11&lt;&gt;""), "No date is needed if Column 10 is Not Applicable",J11= "Not Applicable", "", H11="",DF$7&amp;" cannot be blank", $AC11="", "", H11&gt;$AC11, DF$7&amp;" must preceed construction start date.", TRUE, "")</f>
        <v>Pre-Tender Submission Date cannot be blank</v>
      </c>
      <c r="DG11" s="120" t="str" cm="1">
        <f t="array" aca="1" ref="DG11" ca="1">_xlfn.IFS(I11="", DG$7&amp;" cannot be left blank.",H11="", "", AND( H11 &lt; TODAY(), I11="Not Yet Known"), "After the submission date, the pre-tender package type must be selected.", TRUE, "")</f>
        <v>Pre-Tender Package Type cannot be left blank.</v>
      </c>
      <c r="DH11" s="120"/>
      <c r="DI11" s="120" t="str">
        <f>EW11</f>
        <v>Confirm you reviewed the pretender checkin documents</v>
      </c>
      <c r="DJ11" s="120" t="str" cm="1">
        <f t="array" ref="DJ11">_xlfn.IFS(AND(N11="Not Applicable", L11&lt;&gt;""), "No date is needed if Column 14 is Not Applicable",N11= "Not Applicable", "", L11="",DJ$7&amp;" cannot be blank", $AC11="", "", L11&gt;$AC11, DJ$7&amp;" must preceed construction start date.", TRUE, "")</f>
        <v>Post-Tender Submission Date cannot be blank</v>
      </c>
      <c r="DK11" s="120" t="str" cm="1">
        <f t="array" aca="1" ref="DK11" ca="1">_xlfn.IFS(M11="", DK$7&amp;" cannot be left blank.",L11="", "", AND( L11 &lt; TODAY(), M11="Not Yet Known"), "After the submission date, the pre-tender package type must be selected.", TRUE, "")</f>
        <v>Post-Tender Package Type cannot be left blank.</v>
      </c>
      <c r="DL11" s="120"/>
      <c r="DM11" s="120" t="str">
        <f>FA11</f>
        <v>Confirm you reviewed the post tender check-in documents</v>
      </c>
      <c r="DN11" s="120" t="str">
        <f ca="1">FE11</f>
        <v>Site Ownership Status cannot be blank</v>
      </c>
      <c r="DO11" s="120" t="str">
        <f ca="1">FI11</f>
        <v>Site Purchased Date cannot be blank</v>
      </c>
      <c r="DP11" s="120" t="str">
        <f>IF(R11="", DP$7&amp;" cannot be blank", "")</f>
        <v>Design Status  cannot be blank</v>
      </c>
      <c r="DQ11" s="120" t="str" cm="1">
        <f t="array" aca="1" ref="DQ11" ca="1">_xlfn.IFS(S11="",DQ$7&amp;" cannot be blank",AND(J11&lt;&gt;"Not yet submitted/reviewed",S11&gt;TODAY()),DQ$7&amp;" cannot be in the future if project is ready for a pre-tender package.",TRUE,"")</f>
        <v>Space Template Approval Date cannot be blank</v>
      </c>
      <c r="DR11" s="120" t="str" cm="1">
        <f t="array" aca="1" ref="DR11" ca="1">_xlfn.IFS(CE11=0, "", T11="",DR$7&amp;" cannot be blank if project includes child care.", AND(J11="Not Applicable",T11&gt;TODAY()), "Projects under construction must have a "&amp;DR$7, J11="Not Applicable", "", T11&lt;I11, T7&amp;" must preceed pre-tender package submission date",TRUE, "")</f>
        <v/>
      </c>
      <c r="DS11" s="120" t="str" cm="1">
        <f t="array" ref="DS11">_xlfn.IFS(U11="",DS$7&amp;" cannot be blank", $AC11="", "", U11&gt;$AC11, DS$7&amp;" must preceed construction start date.", TRUE, "")</f>
        <v>Initial Site Plan Submission Date cannot be blank</v>
      </c>
      <c r="DT11" s="120" t="str" cm="1">
        <f t="array" ref="DT11">_xlfn.IFS(W11&lt;&gt;"", "", V11="",DT$7&amp;" cannot be blank", $AC11="", "", V11&gt;$AC11, DT$7&amp;" must preceed construction start date.", TRUE, "")</f>
        <v>Site Plan Approval Date cannot be blank</v>
      </c>
      <c r="DU11" s="120"/>
      <c r="DV11" s="120" t="str" cm="1">
        <f t="array" ref="DV11">_xlfn.IFS(Y11&lt;&gt;"", "", X11="",DV$7&amp;" cannot be blank", $AC11="", "", X11&gt;$AC11, DV$7&amp;" must preceed construction start date.", TRUE, "")</f>
        <v>Build Permit Obtained Date cannot be blank</v>
      </c>
      <c r="DW11" s="120"/>
      <c r="DX11" s="120" t="str" cm="1">
        <f t="array" ref="DX11">_xlfn.IFS(Z11="",DX$7&amp;" cannot be blank", $AC11="", "", Z11&gt;$AC11, DX$7&amp;" must preceed construction start date.", TRUE, "")</f>
        <v>Tender Issued Date  cannot be blank</v>
      </c>
      <c r="DY11" s="120" t="str" cm="1">
        <f t="array" ref="DY11">_xlfn.IFS(AA11="",DY$7&amp;" cannot be blank", $AC11="", "", AA11&gt;$AC11, DY$7&amp;" must preceed construction start date.", TRUE, "")</f>
        <v>Tender Closed Date cannot be blank</v>
      </c>
      <c r="DZ11" s="120" t="str" cm="1">
        <f t="array" ref="DZ11">_xlfn.IFS(AB11="",DZ$7&amp;" cannot be blank", $AC11="", "", AB11&gt;$AC11, DZ$7&amp;" must preceed construction start date.", TRUE, "")</f>
        <v>Contract Awarded Date cannot be blank</v>
      </c>
      <c r="EA11" s="120" t="str" cm="1">
        <f t="array" ref="EA11">_xlfn.IFS(AD11&lt;&gt;"", "", AC11="",EA$7&amp;" cannot be blank", $AG11="", "", AC11&gt;EDATE($AG11,-12), EA$7&amp;" must preceed school opening date by more than 12 months.", TRUE, "")</f>
        <v>Construction Start Date cannot be blank</v>
      </c>
      <c r="EB11" s="120"/>
      <c r="EC11" s="120" t="str" cm="1">
        <f t="array" ref="EC11">_xlfn.IFS(AF11&lt;&gt;"", "", AE11="",EC$7&amp;" cannot be blank", $AG11="", "", AE11&gt;EDATE($AG11,-1), EC$7&amp;" must preceed school opening date by more than one month.", TRUE, "")</f>
        <v>Substantial Completion Date cannot be blank</v>
      </c>
      <c r="ED11" s="120"/>
      <c r="EE11" s="120" t="str" cm="1">
        <f t="array" ref="EE11">_xlfn.IFS(AK11="", "", AG11="",EE$7&amp;" cannot be blank",AH11&lt;&gt;"", "",  $AG11="", "", AG11&gt;=EDATE($AK11,-11), EE$7&amp;" must preceed financial close date by  at least 12 months.", TRUE, "")</f>
        <v/>
      </c>
      <c r="EF11" s="120"/>
      <c r="EG11" s="120" t="str" cm="1">
        <f t="array" ref="EG11">_xlfn.IFS(CE11=0, "", AI11="",EG$7&amp;" cannot be blank",$AK11="", "",AJ11&lt;&gt;"", "",  AI11&gt;=EDATE($AK11,0), EG$7&amp;" must preceed financial close date.", TRUE, "")</f>
        <v/>
      </c>
      <c r="EH11" s="120"/>
      <c r="EI11" s="120" t="str" cm="1">
        <f t="array" ref="EI11">_xlfn.IFS( AK11="",EI$7&amp;" cannot be blank", TRUE, "")</f>
        <v>Financial Close-Out Date cannot be blank</v>
      </c>
      <c r="EJ11" s="120"/>
      <c r="EK11" s="120"/>
      <c r="EL11" s="120"/>
      <c r="EM11" s="120"/>
      <c r="EN11" s="120"/>
      <c r="EO11" s="120" t="str" cm="1">
        <f t="array" aca="1" ref="EO11" ca="1">_xlfn.IFS(AQ11="", "Basis of Cost Estimate cannot be blank", AND(AC11&lt;TODAY(), AQ11&lt;&gt;"Based on Tender Results"), "Contract awarded date suggests estimate should be based on tender results", AND(H11&lt;TODAY(), AQ11&lt;&gt;"Based on Class A or B Cost Report"), "If project has already come in for a pre-tender budget, they must have a class A or B cost estimate.", TRUE, "")</f>
        <v>Basis of Cost Estimate cannot be blank</v>
      </c>
      <c r="EP11" s="120" t="str" cm="1">
        <f t="array" ref="EP11">_xlfn.IFS(OR(AM11=0, AM11=""), "", AR11="", EP$7&amp;" cannot be blank.", TRUE, "")</f>
        <v/>
      </c>
      <c r="EQ11" s="120" t="str" cm="1">
        <f t="array" ref="EQ11">_xlfn.IFS(OR(AN11=0, AN11=""), "", AS11="", EQ$7&amp;" cannot be blank.", TRUE, "")</f>
        <v/>
      </c>
      <c r="ER11" s="120" t="str" cm="1">
        <f t="array" ref="ER11">_xlfn.IFS(OR(AO11=0, AO11=""), "", AT11="", ER$7&amp;" cannot be blank.", TRUE, "")</f>
        <v/>
      </c>
      <c r="ES11" s="120" t="str" cm="1">
        <f t="array" ref="ES11">_xlfn.IFS(OR(AP11=0, AP11=""), "", AU11="", ES$7&amp;" cannot be blank.", TRUE, "")</f>
        <v/>
      </c>
      <c r="ET11" s="120"/>
      <c r="EU11" s="120"/>
      <c r="EV11" s="120"/>
      <c r="EW11" s="120" t="str" cm="1">
        <f t="array" ref="EW11">_xlfn.IFS(EX11&lt;&gt;"", EX11, EY11&lt;&gt;"", EY11, EZ11&lt;&gt;"", EZ11, TRUE, "")</f>
        <v>Confirm you reviewed the pretender checkin documents</v>
      </c>
      <c r="EX11" s="120" t="str">
        <f>IF(J11="MISSING", "This package is missing!", "")</f>
        <v/>
      </c>
      <c r="EY11" s="120" t="str">
        <f>IF(K11="", "Confirm you reviewed the pretender checkin documents", "")</f>
        <v>Confirm you reviewed the pretender checkin documents</v>
      </c>
      <c r="EZ11" s="120" t="str">
        <f>IF(AND(K11="Not yet submitted/reviewed", J11&lt;&gt;"Not yet submitted/reviewed"), "Pretender package submitted; col 9 cann't indicate otherwise.", "")</f>
        <v/>
      </c>
      <c r="FA11" s="120" t="str" cm="1">
        <f t="array" ref="FA11">_xlfn.IFS(FB11&lt;&gt;"", FB11, FC11&lt;&gt;"", FC11, FD11&lt;&gt;"", FD11, TRUE, "")</f>
        <v>Confirm you reviewed the post tender check-in documents</v>
      </c>
      <c r="FB11" s="120" t="str">
        <f>IF(N11="MISSING", "The post tender package is missing!", "")</f>
        <v/>
      </c>
      <c r="FC11" s="120" t="str">
        <f>IF(O11="", "Confirm you reviewed the post tender check-in documents", "")</f>
        <v>Confirm you reviewed the post tender check-in documents</v>
      </c>
      <c r="FD11" s="120" t="str">
        <f>IF(AND(O11="Not yet submitted/reviewed", N11&lt;&gt;"Not yet submitted/reviewed"), "Post-tender package submitted; col 9 cann't indicate otherwise.", "")</f>
        <v/>
      </c>
      <c r="FE11" s="120" t="str" cm="1">
        <f t="array" aca="1" ref="FE11" ca="1">_xlfn.IFS(FF11&lt;&gt;"", FF11, FG11&lt;&gt;"", FG11, TRUE, FH11)</f>
        <v>Site Ownership Status cannot be blank</v>
      </c>
      <c r="FF11" s="120" t="str">
        <f>IF(P11&lt;&gt;"", "", "Site Ownership Status cannot be blank")</f>
        <v>Site Ownership Status cannot be blank</v>
      </c>
      <c r="FG11" s="120" t="str" cm="1">
        <f t="array" aca="1" ref="FG11" ca="1">_xlfn.IFS(AND(Q11="", OR(P11="Site Purchased Prior to Capital Approval", P11="Site Purchased")), "", AND(OR(P11="Site Purchased Prior to Capital Approval", P11="Site Purchased"), Q11&gt;TODAY()), "Site purchase date is in the future, but site ownership status indicates site is already purchaseed", TRUE, "")</f>
        <v/>
      </c>
      <c r="FH11" s="120" t="str">
        <f ca="1">IF(AND(AND(P11&lt;&gt;"Site Purchased Prior to Capital Approval", P11&lt;&gt;"Site Purchased"), Q11&lt;=TODAY()), "Site purchase date is in the past, but site ownership status indicates site has not yet been purchaseed", "")</f>
        <v>Site purchase date is in the past, but site ownership status indicates site has not yet been purchaseed</v>
      </c>
      <c r="FI11" s="120" t="str" cm="1">
        <f t="array" aca="1" ref="FI11" ca="1">_xlfn.IFS(FJ11&lt;&gt;"", FJ11, FK11&lt;&gt;"", FK11, TRUE,FL11 )</f>
        <v>Site Purchased Date cannot be blank</v>
      </c>
      <c r="FJ11" s="120" t="str">
        <f>IF(AND(P11&lt;&gt;"Not Applicable",Q11=""),"Site Purchased Date cannot be blank","")</f>
        <v>Site Purchased Date cannot be blank</v>
      </c>
      <c r="FK11" s="120" t="str">
        <f ca="1">FE11</f>
        <v>Site Ownership Status cannot be blank</v>
      </c>
      <c r="FL11" s="120" t="str" cm="1">
        <f t="array" ref="FL11">_xlfn.IFS(Q11="", "", U11="", "", Q11&gt;U11, "Site Purchase Date must preceed Site Plan Submission.", TRUE, "")</f>
        <v/>
      </c>
    </row>
    <row r="12" spans="1:512" ht="15.6" customHeight="1" x14ac:dyDescent="0.25">
      <c r="A12" s="7"/>
      <c r="B12" s="8"/>
      <c r="C12" s="8"/>
      <c r="D12" s="8"/>
      <c r="E12" s="8"/>
      <c r="F12" s="8"/>
      <c r="G12" s="93"/>
      <c r="H12" s="142"/>
      <c r="I12" s="8"/>
      <c r="J12" s="9"/>
      <c r="K12" s="8"/>
      <c r="L12" s="8"/>
      <c r="M12" s="93"/>
      <c r="N12" s="8"/>
      <c r="O12" s="93"/>
      <c r="P12" s="142"/>
      <c r="Q12" s="8"/>
      <c r="R12" s="8"/>
      <c r="S12" s="8"/>
      <c r="T12" s="93"/>
      <c r="U12" s="8"/>
      <c r="V12" s="8"/>
      <c r="W12" s="112"/>
      <c r="X12" s="8"/>
      <c r="Y12" s="8"/>
      <c r="Z12" s="8"/>
      <c r="AA12" s="8"/>
      <c r="AB12" s="142"/>
      <c r="AC12" s="8"/>
      <c r="AD12" s="8"/>
      <c r="AE12" s="8"/>
      <c r="AF12" s="93"/>
      <c r="AG12" s="142"/>
      <c r="AH12" s="8"/>
      <c r="AI12" s="8"/>
      <c r="AJ12" s="8"/>
      <c r="AK12" s="93"/>
      <c r="AL12" s="142"/>
      <c r="AM12" s="8"/>
      <c r="AN12" s="8"/>
      <c r="AO12" s="8"/>
      <c r="AP12" s="93"/>
      <c r="AQ12" s="142"/>
      <c r="AR12" s="8"/>
      <c r="AS12" s="8"/>
      <c r="AT12" s="8"/>
      <c r="AU12" s="8"/>
      <c r="AV12" s="8"/>
      <c r="AW12" s="8"/>
      <c r="AX12" s="8"/>
      <c r="AY12" s="8"/>
      <c r="AZ12" s="8"/>
      <c r="BA12" s="8"/>
      <c r="BB12" s="8"/>
      <c r="BC12" s="93"/>
      <c r="BD12" s="142"/>
      <c r="BE12" s="8"/>
      <c r="BF12" s="8"/>
      <c r="BG12" s="8"/>
      <c r="BH12" s="8"/>
      <c r="BI12" s="8"/>
      <c r="BJ12" s="8"/>
      <c r="BK12" s="8"/>
      <c r="BL12" s="8"/>
      <c r="BM12" s="8"/>
      <c r="BN12" s="8"/>
      <c r="BO12" s="8"/>
      <c r="BP12" s="8"/>
      <c r="BQ12" s="8"/>
      <c r="BR12" s="8"/>
      <c r="BS12" s="8"/>
      <c r="BT12" s="8"/>
      <c r="BU12" s="8"/>
      <c r="BV12" s="8"/>
      <c r="BW12" s="8"/>
      <c r="BX12" s="8"/>
      <c r="BY12" s="8"/>
      <c r="BZ12" s="8"/>
      <c r="CA12" s="93"/>
      <c r="DJ12" s="120"/>
      <c r="DK12" s="120"/>
    </row>
    <row r="13" spans="1:512" ht="15.6" customHeight="1" x14ac:dyDescent="0.25">
      <c r="A13" s="7"/>
      <c r="B13" s="8"/>
      <c r="C13" s="8"/>
      <c r="D13" s="8"/>
      <c r="E13" s="8"/>
      <c r="F13" s="8"/>
      <c r="G13" s="93"/>
      <c r="H13" s="142"/>
      <c r="I13" s="8"/>
      <c r="J13" s="9"/>
      <c r="K13" s="8"/>
      <c r="L13" s="8"/>
      <c r="M13" s="93"/>
      <c r="N13" s="8"/>
      <c r="O13" s="93"/>
      <c r="P13" s="142"/>
      <c r="Q13" s="8"/>
      <c r="R13" s="8"/>
      <c r="S13" s="8"/>
      <c r="T13" s="93"/>
      <c r="U13" s="8"/>
      <c r="V13" s="8"/>
      <c r="W13" s="112"/>
      <c r="X13" s="8"/>
      <c r="Y13" s="8"/>
      <c r="Z13" s="8"/>
      <c r="AA13" s="8"/>
      <c r="AB13" s="142"/>
      <c r="AC13" s="8"/>
      <c r="AD13" s="8"/>
      <c r="AE13" s="8"/>
      <c r="AF13" s="93"/>
      <c r="AG13" s="142"/>
      <c r="AH13" s="8"/>
      <c r="AI13" s="8"/>
      <c r="AJ13" s="8"/>
      <c r="AK13" s="93"/>
      <c r="AL13" s="142"/>
      <c r="AM13" s="8"/>
      <c r="AN13" s="8"/>
      <c r="AO13" s="8"/>
      <c r="AP13" s="93"/>
      <c r="AQ13" s="142"/>
      <c r="AR13" s="8"/>
      <c r="AS13" s="8"/>
      <c r="AT13" s="8"/>
      <c r="AU13" s="8"/>
      <c r="AV13" s="8"/>
      <c r="AW13" s="8"/>
      <c r="AX13" s="8"/>
      <c r="AY13" s="8"/>
      <c r="AZ13" s="8"/>
      <c r="BA13" s="8"/>
      <c r="BB13" s="8"/>
      <c r="BC13" s="93"/>
      <c r="BD13" s="142"/>
      <c r="BE13" s="8"/>
      <c r="BF13" s="8"/>
      <c r="BG13" s="8"/>
      <c r="BH13" s="8"/>
      <c r="BI13" s="8"/>
      <c r="BJ13" s="8"/>
      <c r="BK13" s="8"/>
      <c r="BL13" s="8"/>
      <c r="BM13" s="8"/>
      <c r="BN13" s="8"/>
      <c r="BO13" s="8"/>
      <c r="BP13" s="8"/>
      <c r="BQ13" s="8"/>
      <c r="BR13" s="8"/>
      <c r="BS13" s="8"/>
      <c r="BT13" s="8"/>
      <c r="BU13" s="8"/>
      <c r="BV13" s="8"/>
      <c r="BW13" s="8"/>
      <c r="BX13" s="8"/>
      <c r="BY13" s="8"/>
      <c r="BZ13" s="8"/>
      <c r="CA13" s="93"/>
      <c r="DJ13" s="120"/>
      <c r="DK13" s="120"/>
    </row>
    <row r="14" spans="1:512" ht="15.6" customHeight="1" x14ac:dyDescent="0.25">
      <c r="A14" s="7"/>
      <c r="B14" s="8"/>
      <c r="C14" s="8"/>
      <c r="D14" s="8"/>
      <c r="E14" s="8"/>
      <c r="F14" s="8"/>
      <c r="G14" s="93"/>
      <c r="H14" s="142"/>
      <c r="I14" s="8"/>
      <c r="J14" s="9"/>
      <c r="K14" s="8"/>
      <c r="L14" s="8"/>
      <c r="M14" s="93"/>
      <c r="N14" s="8"/>
      <c r="O14" s="93"/>
      <c r="P14" s="142"/>
      <c r="Q14" s="8"/>
      <c r="R14" s="8"/>
      <c r="S14" s="8"/>
      <c r="T14" s="93"/>
      <c r="U14" s="8"/>
      <c r="V14" s="8"/>
      <c r="W14" s="112"/>
      <c r="X14" s="8"/>
      <c r="Y14" s="8"/>
      <c r="Z14" s="8"/>
      <c r="AA14" s="8"/>
      <c r="AB14" s="142"/>
      <c r="AC14" s="8"/>
      <c r="AD14" s="8"/>
      <c r="AE14" s="8"/>
      <c r="AF14" s="93"/>
      <c r="AG14" s="142"/>
      <c r="AH14" s="8"/>
      <c r="AI14" s="8"/>
      <c r="AJ14" s="8"/>
      <c r="AK14" s="93"/>
      <c r="AL14" s="142"/>
      <c r="AM14" s="8"/>
      <c r="AN14" s="8"/>
      <c r="AO14" s="8"/>
      <c r="AP14" s="93"/>
      <c r="AQ14" s="142"/>
      <c r="AR14" s="8"/>
      <c r="AS14" s="8"/>
      <c r="AT14" s="8"/>
      <c r="AU14" s="8"/>
      <c r="AV14" s="8"/>
      <c r="AW14" s="8"/>
      <c r="AX14" s="8"/>
      <c r="AY14" s="8"/>
      <c r="AZ14" s="8"/>
      <c r="BA14" s="8"/>
      <c r="BB14" s="8"/>
      <c r="BC14" s="93"/>
      <c r="BD14" s="142"/>
      <c r="BE14" s="8"/>
      <c r="BF14" s="8"/>
      <c r="BG14" s="8"/>
      <c r="BH14" s="8"/>
      <c r="BI14" s="8"/>
      <c r="BJ14" s="8"/>
      <c r="BK14" s="8"/>
      <c r="BL14" s="8"/>
      <c r="BM14" s="8"/>
      <c r="BN14" s="8"/>
      <c r="BO14" s="8"/>
      <c r="BP14" s="8"/>
      <c r="BQ14" s="8"/>
      <c r="BR14" s="8"/>
      <c r="BS14" s="8"/>
      <c r="BT14" s="8"/>
      <c r="BU14" s="8"/>
      <c r="BV14" s="8"/>
      <c r="BW14" s="8"/>
      <c r="BX14" s="8"/>
      <c r="BY14" s="8"/>
      <c r="BZ14" s="8"/>
      <c r="CA14" s="93"/>
      <c r="DJ14" s="120"/>
      <c r="DK14" s="120"/>
    </row>
    <row r="15" spans="1:512" ht="15.6" customHeight="1" x14ac:dyDescent="0.25">
      <c r="A15" s="7"/>
      <c r="B15" s="8"/>
      <c r="C15" s="8"/>
      <c r="D15" s="8"/>
      <c r="E15" s="8"/>
      <c r="F15" s="8"/>
      <c r="G15" s="93"/>
      <c r="H15" s="142"/>
      <c r="I15" s="8"/>
      <c r="J15" s="9"/>
      <c r="K15" s="8"/>
      <c r="L15" s="8"/>
      <c r="M15" s="93"/>
      <c r="N15" s="8"/>
      <c r="O15" s="93"/>
      <c r="P15" s="142"/>
      <c r="Q15" s="8"/>
      <c r="R15" s="8"/>
      <c r="S15" s="8"/>
      <c r="T15" s="93"/>
      <c r="U15" s="8"/>
      <c r="V15" s="8"/>
      <c r="W15" s="112"/>
      <c r="X15" s="8"/>
      <c r="Y15" s="8"/>
      <c r="Z15" s="8"/>
      <c r="AA15" s="8"/>
      <c r="AB15" s="142"/>
      <c r="AC15" s="8"/>
      <c r="AD15" s="8"/>
      <c r="AE15" s="8"/>
      <c r="AF15" s="93"/>
      <c r="AG15" s="142"/>
      <c r="AH15" s="8"/>
      <c r="AI15" s="8"/>
      <c r="AJ15" s="8"/>
      <c r="AK15" s="93"/>
      <c r="AL15" s="142"/>
      <c r="AM15" s="8"/>
      <c r="AN15" s="8"/>
      <c r="AO15" s="8"/>
      <c r="AP15" s="93"/>
      <c r="AQ15" s="142"/>
      <c r="AR15" s="8"/>
      <c r="AS15" s="8"/>
      <c r="AT15" s="8"/>
      <c r="AU15" s="8"/>
      <c r="AV15" s="8"/>
      <c r="AW15" s="8"/>
      <c r="AX15" s="8"/>
      <c r="AY15" s="8"/>
      <c r="AZ15" s="8"/>
      <c r="BA15" s="8"/>
      <c r="BB15" s="8"/>
      <c r="BC15" s="93"/>
      <c r="BD15" s="142"/>
      <c r="BE15" s="8"/>
      <c r="BF15" s="8"/>
      <c r="BG15" s="8"/>
      <c r="BH15" s="8"/>
      <c r="BI15" s="8"/>
      <c r="BJ15" s="8"/>
      <c r="BK15" s="8"/>
      <c r="BL15" s="8"/>
      <c r="BM15" s="8"/>
      <c r="BN15" s="8"/>
      <c r="BO15" s="8"/>
      <c r="BP15" s="8"/>
      <c r="BQ15" s="8"/>
      <c r="BR15" s="8"/>
      <c r="BS15" s="8"/>
      <c r="BT15" s="8"/>
      <c r="BU15" s="8"/>
      <c r="BV15" s="8"/>
      <c r="BW15" s="8"/>
      <c r="BX15" s="8"/>
      <c r="BY15" s="8"/>
      <c r="BZ15" s="8"/>
      <c r="CA15" s="93"/>
      <c r="DJ15" s="120"/>
      <c r="DK15" s="120"/>
    </row>
    <row r="16" spans="1:512" ht="15.6" customHeight="1" x14ac:dyDescent="0.25">
      <c r="A16" s="7"/>
      <c r="B16" s="8"/>
      <c r="C16" s="8"/>
      <c r="D16" s="8"/>
      <c r="E16" s="8"/>
      <c r="F16" s="8"/>
      <c r="G16" s="93"/>
      <c r="H16" s="142"/>
      <c r="I16" s="8"/>
      <c r="J16" s="9"/>
      <c r="K16" s="8"/>
      <c r="L16" s="8"/>
      <c r="M16" s="93"/>
      <c r="N16" s="8"/>
      <c r="O16" s="93"/>
      <c r="P16" s="142"/>
      <c r="Q16" s="8"/>
      <c r="R16" s="8"/>
      <c r="S16" s="8"/>
      <c r="T16" s="93"/>
      <c r="U16" s="8"/>
      <c r="V16" s="8"/>
      <c r="W16" s="112"/>
      <c r="X16" s="8"/>
      <c r="Y16" s="8"/>
      <c r="Z16" s="8"/>
      <c r="AA16" s="8"/>
      <c r="AB16" s="142"/>
      <c r="AC16" s="8"/>
      <c r="AD16" s="8"/>
      <c r="AE16" s="8"/>
      <c r="AF16" s="93"/>
      <c r="AG16" s="142"/>
      <c r="AH16" s="8"/>
      <c r="AI16" s="8"/>
      <c r="AJ16" s="8"/>
      <c r="AK16" s="93"/>
      <c r="AL16" s="142"/>
      <c r="AM16" s="8"/>
      <c r="AN16" s="8"/>
      <c r="AO16" s="8"/>
      <c r="AP16" s="93"/>
      <c r="AQ16" s="142"/>
      <c r="AR16" s="8"/>
      <c r="AS16" s="8"/>
      <c r="AT16" s="8"/>
      <c r="AU16" s="8"/>
      <c r="AV16" s="8"/>
      <c r="AW16" s="8"/>
      <c r="AX16" s="8"/>
      <c r="AY16" s="8"/>
      <c r="AZ16" s="8"/>
      <c r="BA16" s="8"/>
      <c r="BB16" s="8"/>
      <c r="BC16" s="93"/>
      <c r="BD16" s="142"/>
      <c r="BE16" s="8"/>
      <c r="BF16" s="8"/>
      <c r="BG16" s="8"/>
      <c r="BH16" s="8"/>
      <c r="BI16" s="8"/>
      <c r="BJ16" s="8"/>
      <c r="BK16" s="8"/>
      <c r="BL16" s="8"/>
      <c r="BM16" s="8"/>
      <c r="BN16" s="8"/>
      <c r="BO16" s="8"/>
      <c r="BP16" s="8"/>
      <c r="BQ16" s="8"/>
      <c r="BR16" s="8"/>
      <c r="BS16" s="8"/>
      <c r="BT16" s="8"/>
      <c r="BU16" s="8"/>
      <c r="BV16" s="8"/>
      <c r="BW16" s="8"/>
      <c r="BX16" s="8"/>
      <c r="BY16" s="8"/>
      <c r="BZ16" s="8"/>
      <c r="CA16" s="93"/>
      <c r="DJ16" s="120"/>
      <c r="DK16" s="120"/>
    </row>
    <row r="17" spans="1:115" ht="15.6" customHeight="1" x14ac:dyDescent="0.25">
      <c r="A17" s="7"/>
      <c r="B17" s="8"/>
      <c r="C17" s="8"/>
      <c r="D17" s="8"/>
      <c r="E17" s="8"/>
      <c r="F17" s="8"/>
      <c r="G17" s="93"/>
      <c r="H17" s="142"/>
      <c r="I17" s="8"/>
      <c r="J17" s="9"/>
      <c r="K17" s="8"/>
      <c r="L17" s="8"/>
      <c r="M17" s="93"/>
      <c r="N17" s="8"/>
      <c r="O17" s="93"/>
      <c r="P17" s="142"/>
      <c r="Q17" s="8"/>
      <c r="R17" s="8"/>
      <c r="S17" s="8"/>
      <c r="T17" s="93"/>
      <c r="U17" s="8"/>
      <c r="V17" s="8"/>
      <c r="W17" s="112"/>
      <c r="X17" s="8"/>
      <c r="Y17" s="8"/>
      <c r="Z17" s="8"/>
      <c r="AA17" s="8"/>
      <c r="AB17" s="142"/>
      <c r="AC17" s="8"/>
      <c r="AD17" s="8"/>
      <c r="AE17" s="8"/>
      <c r="AF17" s="93"/>
      <c r="AG17" s="142"/>
      <c r="AH17" s="8"/>
      <c r="AI17" s="8"/>
      <c r="AJ17" s="8"/>
      <c r="AK17" s="93"/>
      <c r="AL17" s="142"/>
      <c r="AM17" s="8"/>
      <c r="AN17" s="8"/>
      <c r="AO17" s="8"/>
      <c r="AP17" s="93"/>
      <c r="AQ17" s="142"/>
      <c r="AR17" s="8"/>
      <c r="AS17" s="8"/>
      <c r="AT17" s="8"/>
      <c r="AU17" s="8"/>
      <c r="AV17" s="8"/>
      <c r="AW17" s="8"/>
      <c r="AX17" s="8"/>
      <c r="AY17" s="8"/>
      <c r="AZ17" s="8"/>
      <c r="BA17" s="8"/>
      <c r="BB17" s="8"/>
      <c r="BC17" s="93"/>
      <c r="BD17" s="142"/>
      <c r="BE17" s="8"/>
      <c r="BF17" s="8"/>
      <c r="BG17" s="8"/>
      <c r="BH17" s="8"/>
      <c r="BI17" s="8"/>
      <c r="BJ17" s="8"/>
      <c r="BK17" s="8"/>
      <c r="BL17" s="8"/>
      <c r="BM17" s="8"/>
      <c r="BN17" s="8"/>
      <c r="BO17" s="8"/>
      <c r="BP17" s="8"/>
      <c r="BQ17" s="8"/>
      <c r="BR17" s="8"/>
      <c r="BS17" s="8"/>
      <c r="BT17" s="8"/>
      <c r="BU17" s="8"/>
      <c r="BV17" s="8"/>
      <c r="BW17" s="8"/>
      <c r="BX17" s="8"/>
      <c r="BY17" s="8"/>
      <c r="BZ17" s="8"/>
      <c r="CA17" s="93"/>
      <c r="DJ17" s="120"/>
      <c r="DK17" s="120"/>
    </row>
    <row r="18" spans="1:115" ht="15.6" customHeight="1" x14ac:dyDescent="0.25">
      <c r="A18" s="7"/>
      <c r="B18" s="8"/>
      <c r="C18" s="8"/>
      <c r="D18" s="8"/>
      <c r="E18" s="8"/>
      <c r="F18" s="8"/>
      <c r="G18" s="93"/>
      <c r="H18" s="142"/>
      <c r="I18" s="8"/>
      <c r="J18" s="9"/>
      <c r="K18" s="8"/>
      <c r="L18" s="8"/>
      <c r="M18" s="93"/>
      <c r="N18" s="8"/>
      <c r="O18" s="93"/>
      <c r="P18" s="142"/>
      <c r="Q18" s="8"/>
      <c r="R18" s="8"/>
      <c r="S18" s="8"/>
      <c r="T18" s="93"/>
      <c r="U18" s="8"/>
      <c r="V18" s="8"/>
      <c r="W18" s="112"/>
      <c r="X18" s="8"/>
      <c r="Y18" s="8"/>
      <c r="Z18" s="8"/>
      <c r="AA18" s="8"/>
      <c r="AB18" s="142"/>
      <c r="AC18" s="8"/>
      <c r="AD18" s="8"/>
      <c r="AE18" s="8"/>
      <c r="AF18" s="93"/>
      <c r="AG18" s="142"/>
      <c r="AH18" s="8"/>
      <c r="AI18" s="8"/>
      <c r="AJ18" s="8"/>
      <c r="AK18" s="93"/>
      <c r="AL18" s="142"/>
      <c r="AM18" s="8"/>
      <c r="AN18" s="8"/>
      <c r="AO18" s="8"/>
      <c r="AP18" s="93"/>
      <c r="AQ18" s="142"/>
      <c r="AR18" s="8"/>
      <c r="AS18" s="8"/>
      <c r="AT18" s="8"/>
      <c r="AU18" s="8"/>
      <c r="AV18" s="8"/>
      <c r="AW18" s="8"/>
      <c r="AX18" s="8"/>
      <c r="AY18" s="8"/>
      <c r="AZ18" s="8"/>
      <c r="BA18" s="8"/>
      <c r="BB18" s="8"/>
      <c r="BC18" s="93"/>
      <c r="BD18" s="142"/>
      <c r="BE18" s="8"/>
      <c r="BF18" s="8"/>
      <c r="BG18" s="8"/>
      <c r="BH18" s="8"/>
      <c r="BI18" s="8"/>
      <c r="BJ18" s="8"/>
      <c r="BK18" s="8"/>
      <c r="BL18" s="8"/>
      <c r="BM18" s="8"/>
      <c r="BN18" s="8"/>
      <c r="BO18" s="8"/>
      <c r="BP18" s="8"/>
      <c r="BQ18" s="8"/>
      <c r="BR18" s="8"/>
      <c r="BS18" s="8"/>
      <c r="BT18" s="8"/>
      <c r="BU18" s="8"/>
      <c r="BV18" s="8"/>
      <c r="BW18" s="8"/>
      <c r="BX18" s="8"/>
      <c r="BY18" s="8"/>
      <c r="BZ18" s="8"/>
      <c r="CA18" s="93"/>
      <c r="DJ18" s="120"/>
      <c r="DK18" s="120"/>
    </row>
    <row r="19" spans="1:115" ht="15.6" customHeight="1" x14ac:dyDescent="0.25">
      <c r="A19" s="7"/>
      <c r="B19" s="8"/>
      <c r="C19" s="8"/>
      <c r="D19" s="8"/>
      <c r="E19" s="8"/>
      <c r="F19" s="8"/>
      <c r="G19" s="93"/>
      <c r="H19" s="142"/>
      <c r="I19" s="8"/>
      <c r="J19" s="9"/>
      <c r="K19" s="8"/>
      <c r="L19" s="8"/>
      <c r="M19" s="93"/>
      <c r="N19" s="8"/>
      <c r="O19" s="93"/>
      <c r="P19" s="142"/>
      <c r="Q19" s="8"/>
      <c r="R19" s="8"/>
      <c r="S19" s="8"/>
      <c r="T19" s="93"/>
      <c r="U19" s="8"/>
      <c r="V19" s="8"/>
      <c r="W19" s="112"/>
      <c r="X19" s="8"/>
      <c r="Y19" s="8"/>
      <c r="Z19" s="8"/>
      <c r="AA19" s="8"/>
      <c r="AB19" s="142"/>
      <c r="AC19" s="8"/>
      <c r="AD19" s="8"/>
      <c r="AE19" s="8"/>
      <c r="AF19" s="93"/>
      <c r="AG19" s="142"/>
      <c r="AH19" s="8"/>
      <c r="AI19" s="8"/>
      <c r="AJ19" s="8"/>
      <c r="AK19" s="93"/>
      <c r="AL19" s="142"/>
      <c r="AM19" s="8"/>
      <c r="AN19" s="8"/>
      <c r="AO19" s="8"/>
      <c r="AP19" s="93"/>
      <c r="AQ19" s="142"/>
      <c r="AR19" s="8"/>
      <c r="AS19" s="8"/>
      <c r="AT19" s="8"/>
      <c r="AU19" s="8"/>
      <c r="AV19" s="8"/>
      <c r="AW19" s="8"/>
      <c r="AX19" s="8"/>
      <c r="AY19" s="8"/>
      <c r="AZ19" s="8"/>
      <c r="BA19" s="8"/>
      <c r="BB19" s="8"/>
      <c r="BC19" s="93"/>
      <c r="BD19" s="142"/>
      <c r="BE19" s="8"/>
      <c r="BF19" s="8"/>
      <c r="BG19" s="8"/>
      <c r="BH19" s="8"/>
      <c r="BI19" s="8"/>
      <c r="BJ19" s="8"/>
      <c r="BK19" s="8"/>
      <c r="BL19" s="8"/>
      <c r="BM19" s="8"/>
      <c r="BN19" s="8"/>
      <c r="BO19" s="8"/>
      <c r="BP19" s="8"/>
      <c r="BQ19" s="8"/>
      <c r="BR19" s="8"/>
      <c r="BS19" s="8"/>
      <c r="BT19" s="8"/>
      <c r="BU19" s="8"/>
      <c r="BV19" s="8"/>
      <c r="BW19" s="8"/>
      <c r="BX19" s="8"/>
      <c r="BY19" s="8"/>
      <c r="BZ19" s="8"/>
      <c r="CA19" s="93"/>
      <c r="DJ19" s="120"/>
      <c r="DK19" s="120"/>
    </row>
    <row r="20" spans="1:115" ht="15.6" customHeight="1" x14ac:dyDescent="0.25">
      <c r="A20" s="7"/>
      <c r="B20" s="8"/>
      <c r="C20" s="8"/>
      <c r="D20" s="8"/>
      <c r="E20" s="8"/>
      <c r="F20" s="8"/>
      <c r="G20" s="93"/>
      <c r="H20" s="142"/>
      <c r="I20" s="8"/>
      <c r="J20" s="9"/>
      <c r="K20" s="8"/>
      <c r="L20" s="8"/>
      <c r="M20" s="93"/>
      <c r="N20" s="8"/>
      <c r="O20" s="93"/>
      <c r="P20" s="142"/>
      <c r="Q20" s="8"/>
      <c r="R20" s="8"/>
      <c r="S20" s="8"/>
      <c r="T20" s="93"/>
      <c r="U20" s="8"/>
      <c r="V20" s="8"/>
      <c r="W20" s="112"/>
      <c r="X20" s="8"/>
      <c r="Y20" s="8"/>
      <c r="Z20" s="8"/>
      <c r="AA20" s="8"/>
      <c r="AB20" s="142"/>
      <c r="AC20" s="8"/>
      <c r="AD20" s="8"/>
      <c r="AE20" s="8"/>
      <c r="AF20" s="93"/>
      <c r="AG20" s="142"/>
      <c r="AH20" s="8"/>
      <c r="AI20" s="8"/>
      <c r="AJ20" s="8"/>
      <c r="AK20" s="93"/>
      <c r="AL20" s="142"/>
      <c r="AM20" s="8"/>
      <c r="AN20" s="8"/>
      <c r="AO20" s="8"/>
      <c r="AP20" s="93"/>
      <c r="AQ20" s="142"/>
      <c r="AR20" s="8"/>
      <c r="AS20" s="8"/>
      <c r="AT20" s="8"/>
      <c r="AU20" s="8"/>
      <c r="AV20" s="8"/>
      <c r="AW20" s="8"/>
      <c r="AX20" s="8"/>
      <c r="AY20" s="8"/>
      <c r="AZ20" s="8"/>
      <c r="BA20" s="8"/>
      <c r="BB20" s="8"/>
      <c r="BC20" s="93"/>
      <c r="BD20" s="142"/>
      <c r="BE20" s="8"/>
      <c r="BF20" s="8"/>
      <c r="BG20" s="8"/>
      <c r="BH20" s="8"/>
      <c r="BI20" s="8"/>
      <c r="BJ20" s="8"/>
      <c r="BK20" s="8"/>
      <c r="BL20" s="8"/>
      <c r="BM20" s="8"/>
      <c r="BN20" s="8"/>
      <c r="BO20" s="8"/>
      <c r="BP20" s="8"/>
      <c r="BQ20" s="8"/>
      <c r="BR20" s="8"/>
      <c r="BS20" s="8"/>
      <c r="BT20" s="8"/>
      <c r="BU20" s="8"/>
      <c r="BV20" s="8"/>
      <c r="BW20" s="8"/>
      <c r="BX20" s="8"/>
      <c r="BY20" s="8"/>
      <c r="BZ20" s="8"/>
      <c r="CA20" s="93"/>
      <c r="DJ20" s="120"/>
      <c r="DK20" s="120"/>
    </row>
    <row r="21" spans="1:115" ht="15.6" customHeight="1" x14ac:dyDescent="0.25">
      <c r="A21" s="7"/>
      <c r="B21" s="8"/>
      <c r="C21" s="8"/>
      <c r="D21" s="8"/>
      <c r="E21" s="8"/>
      <c r="F21" s="8"/>
      <c r="G21" s="93"/>
      <c r="H21" s="142"/>
      <c r="I21" s="8"/>
      <c r="J21" s="9"/>
      <c r="K21" s="8"/>
      <c r="L21" s="8"/>
      <c r="M21" s="93"/>
      <c r="N21" s="8"/>
      <c r="O21" s="93"/>
      <c r="P21" s="142"/>
      <c r="Q21" s="8"/>
      <c r="R21" s="8"/>
      <c r="S21" s="8"/>
      <c r="T21" s="93"/>
      <c r="U21" s="8"/>
      <c r="V21" s="8"/>
      <c r="W21" s="112"/>
      <c r="X21" s="8"/>
      <c r="Y21" s="8"/>
      <c r="Z21" s="8"/>
      <c r="AA21" s="8"/>
      <c r="AB21" s="142"/>
      <c r="AC21" s="8"/>
      <c r="AD21" s="8"/>
      <c r="AE21" s="8"/>
      <c r="AF21" s="93"/>
      <c r="AG21" s="142"/>
      <c r="AH21" s="8"/>
      <c r="AI21" s="8"/>
      <c r="AJ21" s="8"/>
      <c r="AK21" s="93"/>
      <c r="AL21" s="142"/>
      <c r="AM21" s="8"/>
      <c r="AN21" s="8"/>
      <c r="AO21" s="8"/>
      <c r="AP21" s="93"/>
      <c r="AQ21" s="142"/>
      <c r="AR21" s="8"/>
      <c r="AS21" s="8"/>
      <c r="AT21" s="8"/>
      <c r="AU21" s="8"/>
      <c r="AV21" s="8"/>
      <c r="AW21" s="8"/>
      <c r="AX21" s="8"/>
      <c r="AY21" s="8"/>
      <c r="AZ21" s="8"/>
      <c r="BA21" s="8"/>
      <c r="BB21" s="8"/>
      <c r="BC21" s="93"/>
      <c r="BD21" s="142"/>
      <c r="BE21" s="8"/>
      <c r="BF21" s="8"/>
      <c r="BG21" s="8"/>
      <c r="BH21" s="8"/>
      <c r="BI21" s="8"/>
      <c r="BJ21" s="8"/>
      <c r="BK21" s="8"/>
      <c r="BL21" s="8"/>
      <c r="BM21" s="8"/>
      <c r="BN21" s="8"/>
      <c r="BO21" s="8"/>
      <c r="BP21" s="8"/>
      <c r="BQ21" s="8"/>
      <c r="BR21" s="8"/>
      <c r="BS21" s="8"/>
      <c r="BT21" s="8"/>
      <c r="BU21" s="8"/>
      <c r="BV21" s="8"/>
      <c r="BW21" s="8"/>
      <c r="BX21" s="8"/>
      <c r="BY21" s="8"/>
      <c r="BZ21" s="8"/>
      <c r="CA21" s="93"/>
      <c r="DJ21" s="120"/>
      <c r="DK21" s="120"/>
    </row>
    <row r="22" spans="1:115" ht="15.6" customHeight="1" x14ac:dyDescent="0.25">
      <c r="A22" s="7"/>
      <c r="B22" s="8"/>
      <c r="C22" s="8"/>
      <c r="D22" s="8"/>
      <c r="E22" s="8"/>
      <c r="F22" s="8"/>
      <c r="G22" s="93"/>
      <c r="H22" s="142"/>
      <c r="I22" s="8"/>
      <c r="J22" s="9"/>
      <c r="K22" s="8"/>
      <c r="L22" s="8"/>
      <c r="M22" s="93"/>
      <c r="N22" s="8"/>
      <c r="O22" s="93"/>
      <c r="P22" s="142"/>
      <c r="Q22" s="8"/>
      <c r="R22" s="8"/>
      <c r="S22" s="8"/>
      <c r="T22" s="93"/>
      <c r="U22" s="8"/>
      <c r="V22" s="8"/>
      <c r="W22" s="112"/>
      <c r="X22" s="8"/>
      <c r="Y22" s="8"/>
      <c r="Z22" s="8"/>
      <c r="AA22" s="8"/>
      <c r="AB22" s="142"/>
      <c r="AC22" s="8"/>
      <c r="AD22" s="8"/>
      <c r="AE22" s="8"/>
      <c r="AF22" s="93"/>
      <c r="AG22" s="142"/>
      <c r="AH22" s="8"/>
      <c r="AI22" s="8"/>
      <c r="AJ22" s="8"/>
      <c r="AK22" s="93"/>
      <c r="AL22" s="142"/>
      <c r="AM22" s="8"/>
      <c r="AN22" s="8"/>
      <c r="AO22" s="8"/>
      <c r="AP22" s="93"/>
      <c r="AQ22" s="142"/>
      <c r="AR22" s="8"/>
      <c r="AS22" s="8"/>
      <c r="AT22" s="8"/>
      <c r="AU22" s="8"/>
      <c r="AV22" s="8"/>
      <c r="AW22" s="8"/>
      <c r="AX22" s="8"/>
      <c r="AY22" s="8"/>
      <c r="AZ22" s="8"/>
      <c r="BA22" s="8"/>
      <c r="BB22" s="8"/>
      <c r="BC22" s="93"/>
      <c r="BD22" s="142"/>
      <c r="BE22" s="8"/>
      <c r="BF22" s="8"/>
      <c r="BG22" s="8"/>
      <c r="BH22" s="8"/>
      <c r="BI22" s="8"/>
      <c r="BJ22" s="8"/>
      <c r="BK22" s="8"/>
      <c r="BL22" s="8"/>
      <c r="BM22" s="8"/>
      <c r="BN22" s="8"/>
      <c r="BO22" s="8"/>
      <c r="BP22" s="8"/>
      <c r="BQ22" s="8"/>
      <c r="BR22" s="8"/>
      <c r="BS22" s="8"/>
      <c r="BT22" s="8"/>
      <c r="BU22" s="8"/>
      <c r="BV22" s="8"/>
      <c r="BW22" s="8"/>
      <c r="BX22" s="8"/>
      <c r="BY22" s="8"/>
      <c r="BZ22" s="8"/>
      <c r="CA22" s="93"/>
      <c r="DJ22" s="120"/>
      <c r="DK22" s="120"/>
    </row>
    <row r="23" spans="1:115" ht="15.6" customHeight="1" x14ac:dyDescent="0.25">
      <c r="A23" s="7"/>
      <c r="B23" s="8"/>
      <c r="C23" s="8"/>
      <c r="D23" s="8"/>
      <c r="E23" s="8"/>
      <c r="F23" s="8"/>
      <c r="G23" s="93"/>
      <c r="H23" s="142"/>
      <c r="I23" s="8"/>
      <c r="J23" s="9"/>
      <c r="K23" s="8"/>
      <c r="L23" s="8"/>
      <c r="M23" s="93"/>
      <c r="N23" s="8"/>
      <c r="O23" s="93"/>
      <c r="P23" s="142"/>
      <c r="Q23" s="8"/>
      <c r="R23" s="8"/>
      <c r="S23" s="8"/>
      <c r="T23" s="93"/>
      <c r="U23" s="8"/>
      <c r="V23" s="8"/>
      <c r="W23" s="112"/>
      <c r="X23" s="8"/>
      <c r="Y23" s="8"/>
      <c r="Z23" s="8"/>
      <c r="AA23" s="8"/>
      <c r="AB23" s="142"/>
      <c r="AC23" s="8"/>
      <c r="AD23" s="8"/>
      <c r="AE23" s="8"/>
      <c r="AF23" s="93"/>
      <c r="AG23" s="142"/>
      <c r="AH23" s="8"/>
      <c r="AI23" s="8"/>
      <c r="AJ23" s="8"/>
      <c r="AK23" s="93"/>
      <c r="AL23" s="142"/>
      <c r="AM23" s="8"/>
      <c r="AN23" s="8"/>
      <c r="AO23" s="8"/>
      <c r="AP23" s="93"/>
      <c r="AQ23" s="142"/>
      <c r="AR23" s="8"/>
      <c r="AS23" s="8"/>
      <c r="AT23" s="8"/>
      <c r="AU23" s="8"/>
      <c r="AV23" s="8"/>
      <c r="AW23" s="8"/>
      <c r="AX23" s="8"/>
      <c r="AY23" s="8"/>
      <c r="AZ23" s="8"/>
      <c r="BA23" s="8"/>
      <c r="BB23" s="8"/>
      <c r="BC23" s="93"/>
      <c r="BD23" s="142"/>
      <c r="BE23" s="8"/>
      <c r="BF23" s="8"/>
      <c r="BG23" s="8"/>
      <c r="BH23" s="8"/>
      <c r="BI23" s="8"/>
      <c r="BJ23" s="8"/>
      <c r="BK23" s="8"/>
      <c r="BL23" s="8"/>
      <c r="BM23" s="8"/>
      <c r="BN23" s="8"/>
      <c r="BO23" s="8"/>
      <c r="BP23" s="8"/>
      <c r="BQ23" s="8"/>
      <c r="BR23" s="8"/>
      <c r="BS23" s="8"/>
      <c r="BT23" s="8"/>
      <c r="BU23" s="8"/>
      <c r="BV23" s="8"/>
      <c r="BW23" s="8"/>
      <c r="BX23" s="8"/>
      <c r="BY23" s="8"/>
      <c r="BZ23" s="8"/>
      <c r="CA23" s="93"/>
      <c r="DJ23" s="120"/>
      <c r="DK23" s="120"/>
    </row>
    <row r="24" spans="1:115" ht="15.6" customHeight="1" x14ac:dyDescent="0.25">
      <c r="A24" s="7"/>
      <c r="B24" s="8"/>
      <c r="C24" s="8"/>
      <c r="D24" s="8"/>
      <c r="E24" s="8"/>
      <c r="F24" s="8"/>
      <c r="G24" s="93"/>
      <c r="H24" s="142"/>
      <c r="I24" s="8"/>
      <c r="J24" s="9"/>
      <c r="K24" s="8"/>
      <c r="L24" s="8"/>
      <c r="M24" s="93"/>
      <c r="N24" s="8"/>
      <c r="O24" s="93"/>
      <c r="P24" s="142"/>
      <c r="Q24" s="8"/>
      <c r="R24" s="8"/>
      <c r="S24" s="8"/>
      <c r="T24" s="93"/>
      <c r="U24" s="8"/>
      <c r="V24" s="8"/>
      <c r="W24" s="112"/>
      <c r="X24" s="8"/>
      <c r="Y24" s="8"/>
      <c r="Z24" s="8"/>
      <c r="AA24" s="8"/>
      <c r="AB24" s="142"/>
      <c r="AC24" s="8"/>
      <c r="AD24" s="8"/>
      <c r="AE24" s="8"/>
      <c r="AF24" s="93"/>
      <c r="AG24" s="142"/>
      <c r="AH24" s="8"/>
      <c r="AI24" s="8"/>
      <c r="AJ24" s="8"/>
      <c r="AK24" s="93"/>
      <c r="AL24" s="142"/>
      <c r="AM24" s="8"/>
      <c r="AN24" s="8"/>
      <c r="AO24" s="8"/>
      <c r="AP24" s="93"/>
      <c r="AQ24" s="142"/>
      <c r="AR24" s="8"/>
      <c r="AS24" s="8"/>
      <c r="AT24" s="8"/>
      <c r="AU24" s="8"/>
      <c r="AV24" s="8"/>
      <c r="AW24" s="8"/>
      <c r="AX24" s="8"/>
      <c r="AY24" s="8"/>
      <c r="AZ24" s="8"/>
      <c r="BA24" s="8"/>
      <c r="BB24" s="8"/>
      <c r="BC24" s="93"/>
      <c r="BD24" s="142"/>
      <c r="BE24" s="8"/>
      <c r="BF24" s="8"/>
      <c r="BG24" s="8"/>
      <c r="BH24" s="8"/>
      <c r="BI24" s="8"/>
      <c r="BJ24" s="8"/>
      <c r="BK24" s="8"/>
      <c r="BL24" s="8"/>
      <c r="BM24" s="8"/>
      <c r="BN24" s="8"/>
      <c r="BO24" s="8"/>
      <c r="BP24" s="8"/>
      <c r="BQ24" s="8"/>
      <c r="BR24" s="8"/>
      <c r="BS24" s="8"/>
      <c r="BT24" s="8"/>
      <c r="BU24" s="8"/>
      <c r="BV24" s="8"/>
      <c r="BW24" s="8"/>
      <c r="BX24" s="8"/>
      <c r="BY24" s="8"/>
      <c r="BZ24" s="8"/>
      <c r="CA24" s="93"/>
      <c r="DJ24" s="120"/>
      <c r="DK24" s="120"/>
    </row>
    <row r="25" spans="1:115" ht="15.6" customHeight="1" x14ac:dyDescent="0.25">
      <c r="A25" s="7"/>
      <c r="B25" s="8"/>
      <c r="C25" s="8"/>
      <c r="D25" s="8"/>
      <c r="E25" s="8"/>
      <c r="F25" s="8"/>
      <c r="G25" s="93"/>
      <c r="H25" s="142"/>
      <c r="I25" s="8"/>
      <c r="J25" s="9"/>
      <c r="K25" s="8"/>
      <c r="L25" s="8"/>
      <c r="M25" s="93"/>
      <c r="N25" s="8"/>
      <c r="O25" s="93"/>
      <c r="P25" s="142"/>
      <c r="Q25" s="8"/>
      <c r="R25" s="8"/>
      <c r="S25" s="8"/>
      <c r="T25" s="93"/>
      <c r="U25" s="8"/>
      <c r="V25" s="8"/>
      <c r="W25" s="112"/>
      <c r="X25" s="8"/>
      <c r="Y25" s="8"/>
      <c r="Z25" s="8"/>
      <c r="AA25" s="8"/>
      <c r="AB25" s="142"/>
      <c r="AC25" s="8"/>
      <c r="AD25" s="8"/>
      <c r="AE25" s="8"/>
      <c r="AF25" s="93"/>
      <c r="AG25" s="142"/>
      <c r="AH25" s="8"/>
      <c r="AI25" s="8"/>
      <c r="AJ25" s="8"/>
      <c r="AK25" s="93"/>
      <c r="AL25" s="142"/>
      <c r="AM25" s="8"/>
      <c r="AN25" s="8"/>
      <c r="AO25" s="8"/>
      <c r="AP25" s="93"/>
      <c r="AQ25" s="142"/>
      <c r="AR25" s="8"/>
      <c r="AS25" s="8"/>
      <c r="AT25" s="8"/>
      <c r="AU25" s="8"/>
      <c r="AV25" s="8"/>
      <c r="AW25" s="8"/>
      <c r="AX25" s="8"/>
      <c r="AY25" s="8"/>
      <c r="AZ25" s="8"/>
      <c r="BA25" s="8"/>
      <c r="BB25" s="8"/>
      <c r="BC25" s="93"/>
      <c r="BD25" s="142"/>
      <c r="BE25" s="8"/>
      <c r="BF25" s="8"/>
      <c r="BG25" s="8"/>
      <c r="BH25" s="8"/>
      <c r="BI25" s="8"/>
      <c r="BJ25" s="8"/>
      <c r="BK25" s="8"/>
      <c r="BL25" s="8"/>
      <c r="BM25" s="8"/>
      <c r="BN25" s="8"/>
      <c r="BO25" s="8"/>
      <c r="BP25" s="8"/>
      <c r="BQ25" s="8"/>
      <c r="BR25" s="8"/>
      <c r="BS25" s="8"/>
      <c r="BT25" s="8"/>
      <c r="BU25" s="8"/>
      <c r="BV25" s="8"/>
      <c r="BW25" s="8"/>
      <c r="BX25" s="8"/>
      <c r="BY25" s="8"/>
      <c r="BZ25" s="8"/>
      <c r="CA25" s="93"/>
      <c r="DJ25" s="120"/>
      <c r="DK25" s="120"/>
    </row>
    <row r="26" spans="1:115" ht="15.6" customHeight="1" x14ac:dyDescent="0.25">
      <c r="A26" s="7"/>
      <c r="B26" s="8"/>
      <c r="C26" s="8"/>
      <c r="D26" s="8"/>
      <c r="E26" s="8"/>
      <c r="F26" s="8"/>
      <c r="G26" s="93"/>
      <c r="H26" s="142"/>
      <c r="I26" s="8"/>
      <c r="J26" s="9"/>
      <c r="K26" s="8"/>
      <c r="L26" s="8"/>
      <c r="M26" s="93"/>
      <c r="N26" s="8"/>
      <c r="O26" s="93"/>
      <c r="P26" s="142"/>
      <c r="Q26" s="8"/>
      <c r="R26" s="8"/>
      <c r="S26" s="8"/>
      <c r="T26" s="93"/>
      <c r="U26" s="8"/>
      <c r="V26" s="8"/>
      <c r="W26" s="112"/>
      <c r="X26" s="8"/>
      <c r="Y26" s="8"/>
      <c r="Z26" s="8"/>
      <c r="AA26" s="8"/>
      <c r="AB26" s="142"/>
      <c r="AC26" s="8"/>
      <c r="AD26" s="8"/>
      <c r="AE26" s="8"/>
      <c r="AF26" s="93"/>
      <c r="AG26" s="142"/>
      <c r="AH26" s="8"/>
      <c r="AI26" s="8"/>
      <c r="AJ26" s="8"/>
      <c r="AK26" s="93"/>
      <c r="AL26" s="142"/>
      <c r="AM26" s="8"/>
      <c r="AN26" s="8"/>
      <c r="AO26" s="8"/>
      <c r="AP26" s="93"/>
      <c r="AQ26" s="142"/>
      <c r="AR26" s="8"/>
      <c r="AS26" s="8"/>
      <c r="AT26" s="8"/>
      <c r="AU26" s="8"/>
      <c r="AV26" s="8"/>
      <c r="AW26" s="8"/>
      <c r="AX26" s="8"/>
      <c r="AY26" s="8"/>
      <c r="AZ26" s="8"/>
      <c r="BA26" s="8"/>
      <c r="BB26" s="8"/>
      <c r="BC26" s="93"/>
      <c r="BD26" s="142"/>
      <c r="BE26" s="8"/>
      <c r="BF26" s="8"/>
      <c r="BG26" s="8"/>
      <c r="BH26" s="8"/>
      <c r="BI26" s="8"/>
      <c r="BJ26" s="8"/>
      <c r="BK26" s="8"/>
      <c r="BL26" s="8"/>
      <c r="BM26" s="8"/>
      <c r="BN26" s="8"/>
      <c r="BO26" s="8"/>
      <c r="BP26" s="8"/>
      <c r="BQ26" s="8"/>
      <c r="BR26" s="8"/>
      <c r="BS26" s="8"/>
      <c r="BT26" s="8"/>
      <c r="BU26" s="8"/>
      <c r="BV26" s="8"/>
      <c r="BW26" s="8"/>
      <c r="BX26" s="8"/>
      <c r="BY26" s="8"/>
      <c r="BZ26" s="8"/>
      <c r="CA26" s="93"/>
    </row>
    <row r="27" spans="1:115" ht="15.6" customHeight="1" x14ac:dyDescent="0.25">
      <c r="A27" s="7"/>
      <c r="B27" s="8"/>
      <c r="C27" s="8"/>
      <c r="D27" s="8"/>
      <c r="E27" s="8"/>
      <c r="F27" s="8"/>
      <c r="G27" s="93"/>
      <c r="H27" s="142"/>
      <c r="I27" s="8"/>
      <c r="J27" s="9"/>
      <c r="K27" s="8"/>
      <c r="L27" s="8"/>
      <c r="M27" s="93"/>
      <c r="N27" s="8"/>
      <c r="O27" s="93"/>
      <c r="P27" s="142"/>
      <c r="Q27" s="8"/>
      <c r="R27" s="8"/>
      <c r="S27" s="8"/>
      <c r="T27" s="93"/>
      <c r="U27" s="8"/>
      <c r="V27" s="8"/>
      <c r="W27" s="112"/>
      <c r="X27" s="8"/>
      <c r="Y27" s="8"/>
      <c r="Z27" s="8"/>
      <c r="AA27" s="8"/>
      <c r="AB27" s="142"/>
      <c r="AC27" s="8"/>
      <c r="AD27" s="8"/>
      <c r="AE27" s="8"/>
      <c r="AF27" s="93"/>
      <c r="AG27" s="142"/>
      <c r="AH27" s="8"/>
      <c r="AI27" s="8"/>
      <c r="AJ27" s="8"/>
      <c r="AK27" s="93"/>
      <c r="AL27" s="142"/>
      <c r="AM27" s="8"/>
      <c r="AN27" s="8"/>
      <c r="AO27" s="8"/>
      <c r="AP27" s="93"/>
      <c r="AQ27" s="142"/>
      <c r="AR27" s="8"/>
      <c r="AS27" s="8"/>
      <c r="AT27" s="8"/>
      <c r="AU27" s="8"/>
      <c r="AV27" s="8"/>
      <c r="AW27" s="8"/>
      <c r="AX27" s="8"/>
      <c r="AY27" s="8"/>
      <c r="AZ27" s="8"/>
      <c r="BA27" s="8"/>
      <c r="BB27" s="8"/>
      <c r="BC27" s="93"/>
      <c r="BD27" s="142"/>
      <c r="BE27" s="8"/>
      <c r="BF27" s="8"/>
      <c r="BG27" s="8"/>
      <c r="BH27" s="8"/>
      <c r="BI27" s="8"/>
      <c r="BJ27" s="8"/>
      <c r="BK27" s="8"/>
      <c r="BL27" s="8"/>
      <c r="BM27" s="8"/>
      <c r="BN27" s="8"/>
      <c r="BO27" s="8"/>
      <c r="BP27" s="8"/>
      <c r="BQ27" s="8"/>
      <c r="BR27" s="8"/>
      <c r="BS27" s="8"/>
      <c r="BT27" s="8"/>
      <c r="BU27" s="8"/>
      <c r="BV27" s="8"/>
      <c r="BW27" s="8"/>
      <c r="BX27" s="8"/>
      <c r="BY27" s="8"/>
      <c r="BZ27" s="8"/>
      <c r="CA27" s="93"/>
    </row>
    <row r="28" spans="1:115" ht="15.6" customHeight="1" x14ac:dyDescent="0.25">
      <c r="A28" s="7"/>
      <c r="B28" s="8"/>
      <c r="C28" s="8"/>
      <c r="D28" s="8"/>
      <c r="E28" s="8"/>
      <c r="F28" s="8"/>
      <c r="G28" s="93"/>
      <c r="H28" s="142"/>
      <c r="I28" s="8"/>
      <c r="J28" s="9"/>
      <c r="K28" s="8"/>
      <c r="L28" s="8"/>
      <c r="M28" s="93"/>
      <c r="N28" s="8"/>
      <c r="O28" s="93"/>
      <c r="P28" s="142"/>
      <c r="Q28" s="8"/>
      <c r="R28" s="8"/>
      <c r="S28" s="8"/>
      <c r="T28" s="93"/>
      <c r="U28" s="8"/>
      <c r="V28" s="8"/>
      <c r="W28" s="8"/>
      <c r="X28" s="8"/>
      <c r="Y28" s="8"/>
      <c r="Z28" s="8"/>
      <c r="AA28" s="8"/>
      <c r="AB28" s="142"/>
      <c r="AC28" s="8"/>
      <c r="AD28" s="8"/>
      <c r="AE28" s="8"/>
      <c r="AF28" s="93"/>
      <c r="AG28" s="142"/>
      <c r="AH28" s="8"/>
      <c r="AI28" s="8"/>
      <c r="AJ28" s="8"/>
      <c r="AK28" s="93"/>
      <c r="AL28" s="142"/>
      <c r="AM28" s="8"/>
      <c r="AN28" s="8"/>
      <c r="AO28" s="8"/>
      <c r="AP28" s="93"/>
      <c r="AQ28" s="142"/>
      <c r="AR28" s="8"/>
      <c r="AS28" s="8"/>
      <c r="AT28" s="8"/>
      <c r="AU28" s="8"/>
      <c r="AV28" s="8"/>
      <c r="AW28" s="8"/>
      <c r="AX28" s="8"/>
      <c r="AY28" s="8"/>
      <c r="AZ28" s="8"/>
      <c r="BA28" s="8"/>
      <c r="BB28" s="8"/>
      <c r="BC28" s="93"/>
      <c r="BD28" s="142"/>
      <c r="BE28" s="8"/>
      <c r="BF28" s="8"/>
      <c r="BG28" s="8"/>
      <c r="BH28" s="8"/>
      <c r="BI28" s="8"/>
      <c r="BJ28" s="8"/>
      <c r="BK28" s="8"/>
      <c r="BL28" s="8"/>
      <c r="BM28" s="8"/>
      <c r="BN28" s="8"/>
      <c r="BO28" s="8"/>
      <c r="BP28" s="8"/>
      <c r="BQ28" s="8"/>
      <c r="BR28" s="8"/>
      <c r="BS28" s="8"/>
      <c r="BT28" s="8"/>
      <c r="BU28" s="8"/>
      <c r="BV28" s="8"/>
      <c r="BW28" s="8"/>
      <c r="BX28" s="8"/>
      <c r="BY28" s="8"/>
      <c r="BZ28" s="8"/>
      <c r="CA28" s="93"/>
    </row>
    <row r="29" spans="1:115" ht="15.6" customHeight="1" x14ac:dyDescent="0.25">
      <c r="A29" s="7"/>
      <c r="B29" s="8"/>
      <c r="C29" s="8"/>
      <c r="D29" s="8"/>
      <c r="E29" s="8"/>
      <c r="F29" s="8"/>
      <c r="G29" s="93"/>
      <c r="H29" s="142"/>
      <c r="I29" s="8"/>
      <c r="J29" s="9"/>
      <c r="K29" s="8"/>
      <c r="L29" s="8"/>
      <c r="M29" s="93"/>
      <c r="N29" s="8"/>
      <c r="O29" s="93"/>
      <c r="P29" s="142"/>
      <c r="Q29" s="8"/>
      <c r="R29" s="8"/>
      <c r="S29" s="8"/>
      <c r="T29" s="93"/>
      <c r="U29" s="8"/>
      <c r="V29" s="8"/>
      <c r="W29" s="8"/>
      <c r="X29" s="8"/>
      <c r="Y29" s="8"/>
      <c r="Z29" s="8"/>
      <c r="AA29" s="8"/>
      <c r="AB29" s="142"/>
      <c r="AC29" s="8"/>
      <c r="AD29" s="8"/>
      <c r="AE29" s="8"/>
      <c r="AF29" s="93"/>
      <c r="AG29" s="142"/>
      <c r="AH29" s="8"/>
      <c r="AI29" s="8"/>
      <c r="AJ29" s="8"/>
      <c r="AK29" s="93"/>
      <c r="AL29" s="142"/>
      <c r="AM29" s="8"/>
      <c r="AN29" s="8"/>
      <c r="AO29" s="8"/>
      <c r="AP29" s="93"/>
      <c r="AQ29" s="142"/>
      <c r="AR29" s="8"/>
      <c r="AS29" s="8"/>
      <c r="AT29" s="8"/>
      <c r="AU29" s="8"/>
      <c r="AV29" s="8"/>
      <c r="AW29" s="8"/>
      <c r="AX29" s="8"/>
      <c r="AY29" s="8"/>
      <c r="AZ29" s="8"/>
      <c r="BA29" s="8"/>
      <c r="BB29" s="8"/>
      <c r="BC29" s="93"/>
      <c r="BD29" s="142"/>
      <c r="BE29" s="8"/>
      <c r="BF29" s="8"/>
      <c r="BG29" s="8"/>
      <c r="BH29" s="8"/>
      <c r="BI29" s="8"/>
      <c r="BJ29" s="8"/>
      <c r="BK29" s="8"/>
      <c r="BL29" s="8"/>
      <c r="BM29" s="8"/>
      <c r="BN29" s="8"/>
      <c r="BO29" s="8"/>
      <c r="BP29" s="8"/>
      <c r="BQ29" s="8"/>
      <c r="BR29" s="8"/>
      <c r="BS29" s="8"/>
      <c r="BT29" s="8"/>
      <c r="BU29" s="8"/>
      <c r="BV29" s="8"/>
      <c r="BW29" s="8"/>
      <c r="BX29" s="8"/>
      <c r="BY29" s="8"/>
      <c r="BZ29" s="8"/>
      <c r="CA29" s="93"/>
    </row>
    <row r="30" spans="1:115" ht="15.6" customHeight="1" x14ac:dyDescent="0.25">
      <c r="A30" s="7"/>
      <c r="B30" s="8"/>
      <c r="C30" s="8"/>
      <c r="D30" s="8"/>
      <c r="E30" s="8"/>
      <c r="F30" s="8"/>
      <c r="G30" s="93"/>
      <c r="H30" s="142"/>
      <c r="I30" s="8"/>
      <c r="J30" s="9"/>
      <c r="K30" s="8"/>
      <c r="L30" s="8"/>
      <c r="M30" s="93"/>
      <c r="N30" s="8"/>
      <c r="O30" s="93"/>
      <c r="P30" s="142"/>
      <c r="Q30" s="8"/>
      <c r="R30" s="8"/>
      <c r="S30" s="8"/>
      <c r="T30" s="93"/>
      <c r="U30" s="8"/>
      <c r="V30" s="8"/>
      <c r="W30" s="8"/>
      <c r="X30" s="8"/>
      <c r="Y30" s="8"/>
      <c r="Z30" s="8"/>
      <c r="AA30" s="8"/>
      <c r="AB30" s="142"/>
      <c r="AC30" s="8"/>
      <c r="AD30" s="8"/>
      <c r="AE30" s="8"/>
      <c r="AF30" s="93"/>
      <c r="AG30" s="142"/>
      <c r="AH30" s="8"/>
      <c r="AI30" s="8"/>
      <c r="AJ30" s="8"/>
      <c r="AK30" s="93"/>
      <c r="AL30" s="142"/>
      <c r="AM30" s="8"/>
      <c r="AN30" s="8"/>
      <c r="AO30" s="8"/>
      <c r="AP30" s="93"/>
      <c r="AQ30" s="142"/>
      <c r="AR30" s="8"/>
      <c r="AS30" s="8"/>
      <c r="AT30" s="8"/>
      <c r="AU30" s="8"/>
      <c r="AV30" s="8"/>
      <c r="AW30" s="8"/>
      <c r="AX30" s="8"/>
      <c r="AY30" s="8"/>
      <c r="AZ30" s="8"/>
      <c r="BA30" s="8"/>
      <c r="BB30" s="8"/>
      <c r="BC30" s="93"/>
      <c r="BD30" s="142"/>
      <c r="BE30" s="8"/>
      <c r="BF30" s="8"/>
      <c r="BG30" s="8"/>
      <c r="BH30" s="8"/>
      <c r="BI30" s="8"/>
      <c r="BJ30" s="8"/>
      <c r="BK30" s="8"/>
      <c r="BL30" s="8"/>
      <c r="BM30" s="8"/>
      <c r="BN30" s="8"/>
      <c r="BO30" s="8"/>
      <c r="BP30" s="8"/>
      <c r="BQ30" s="8"/>
      <c r="BR30" s="8"/>
      <c r="BS30" s="8"/>
      <c r="BT30" s="8"/>
      <c r="BU30" s="8"/>
      <c r="BV30" s="8"/>
      <c r="BW30" s="8"/>
      <c r="BX30" s="8"/>
      <c r="BY30" s="8"/>
      <c r="BZ30" s="8"/>
      <c r="CA30" s="93"/>
    </row>
    <row r="31" spans="1:115" ht="15.6" customHeight="1" x14ac:dyDescent="0.25">
      <c r="A31" s="7"/>
      <c r="B31" s="8"/>
      <c r="C31" s="8"/>
      <c r="D31" s="8"/>
      <c r="E31" s="8"/>
      <c r="F31" s="8"/>
      <c r="G31" s="93"/>
      <c r="H31" s="142"/>
      <c r="I31" s="8"/>
      <c r="J31" s="9"/>
      <c r="K31" s="8"/>
      <c r="L31" s="8"/>
      <c r="M31" s="93"/>
      <c r="N31" s="8"/>
      <c r="O31" s="93"/>
      <c r="P31" s="142"/>
      <c r="Q31" s="8"/>
      <c r="R31" s="8"/>
      <c r="S31" s="8"/>
      <c r="T31" s="93"/>
      <c r="U31" s="8"/>
      <c r="V31" s="8"/>
      <c r="W31" s="8"/>
      <c r="X31" s="8"/>
      <c r="Y31" s="8"/>
      <c r="Z31" s="8"/>
      <c r="AA31" s="8"/>
      <c r="AB31" s="142"/>
      <c r="AC31" s="8"/>
      <c r="AD31" s="8"/>
      <c r="AE31" s="8"/>
      <c r="AF31" s="93"/>
      <c r="AG31" s="142"/>
      <c r="AH31" s="8"/>
      <c r="AI31" s="8"/>
      <c r="AJ31" s="8"/>
      <c r="AK31" s="93"/>
      <c r="AL31" s="142"/>
      <c r="AM31" s="8"/>
      <c r="AN31" s="8"/>
      <c r="AO31" s="8"/>
      <c r="AP31" s="93"/>
      <c r="AQ31" s="142"/>
      <c r="AR31" s="8"/>
      <c r="AS31" s="8"/>
      <c r="AT31" s="8"/>
      <c r="AU31" s="8"/>
      <c r="AV31" s="8"/>
      <c r="AW31" s="8"/>
      <c r="AX31" s="8"/>
      <c r="AY31" s="8"/>
      <c r="AZ31" s="8"/>
      <c r="BA31" s="8"/>
      <c r="BB31" s="8"/>
      <c r="BC31" s="93"/>
      <c r="BD31" s="142"/>
      <c r="BE31" s="8"/>
      <c r="BF31" s="8"/>
      <c r="BG31" s="8"/>
      <c r="BH31" s="8"/>
      <c r="BI31" s="8"/>
      <c r="BJ31" s="8"/>
      <c r="BK31" s="8"/>
      <c r="BL31" s="8"/>
      <c r="BM31" s="8"/>
      <c r="BN31" s="8"/>
      <c r="BO31" s="8"/>
      <c r="BP31" s="8"/>
      <c r="BQ31" s="8"/>
      <c r="BR31" s="8"/>
      <c r="BS31" s="8"/>
      <c r="BT31" s="8"/>
      <c r="BU31" s="8"/>
      <c r="BV31" s="8"/>
      <c r="BW31" s="8"/>
      <c r="BX31" s="8"/>
      <c r="BY31" s="8"/>
      <c r="BZ31" s="8"/>
      <c r="CA31" s="93"/>
    </row>
    <row r="32" spans="1:115" ht="15.6" customHeight="1" x14ac:dyDescent="0.25">
      <c r="A32" s="7"/>
      <c r="B32" s="8"/>
      <c r="C32" s="8"/>
      <c r="D32" s="8"/>
      <c r="E32" s="8"/>
      <c r="F32" s="8"/>
      <c r="G32" s="93"/>
      <c r="H32" s="142"/>
      <c r="I32" s="8"/>
      <c r="J32" s="9"/>
      <c r="K32" s="8"/>
      <c r="L32" s="8"/>
      <c r="M32" s="93"/>
      <c r="N32" s="8"/>
      <c r="O32" s="93"/>
      <c r="P32" s="142"/>
      <c r="Q32" s="8"/>
      <c r="R32" s="8"/>
      <c r="S32" s="8"/>
      <c r="T32" s="93"/>
      <c r="U32" s="8"/>
      <c r="V32" s="8"/>
      <c r="W32" s="8"/>
      <c r="X32" s="8"/>
      <c r="Y32" s="8"/>
      <c r="Z32" s="8"/>
      <c r="AA32" s="8"/>
      <c r="AB32" s="142"/>
      <c r="AC32" s="8"/>
      <c r="AD32" s="8"/>
      <c r="AE32" s="8"/>
      <c r="AF32" s="93"/>
      <c r="AG32" s="142"/>
      <c r="AH32" s="8"/>
      <c r="AI32" s="8"/>
      <c r="AJ32" s="8"/>
      <c r="AK32" s="93"/>
      <c r="AL32" s="142"/>
      <c r="AM32" s="8"/>
      <c r="AN32" s="8"/>
      <c r="AO32" s="8"/>
      <c r="AP32" s="93"/>
      <c r="AQ32" s="142"/>
      <c r="AR32" s="8"/>
      <c r="AS32" s="8"/>
      <c r="AT32" s="8"/>
      <c r="AU32" s="8"/>
      <c r="AV32" s="8"/>
      <c r="AW32" s="8"/>
      <c r="AX32" s="8"/>
      <c r="AY32" s="8"/>
      <c r="AZ32" s="8"/>
      <c r="BA32" s="8"/>
      <c r="BB32" s="8"/>
      <c r="BC32" s="93"/>
      <c r="BD32" s="142"/>
      <c r="BE32" s="8"/>
      <c r="BF32" s="8"/>
      <c r="BG32" s="8"/>
      <c r="BH32" s="8"/>
      <c r="BI32" s="8"/>
      <c r="BJ32" s="8"/>
      <c r="BK32" s="8"/>
      <c r="BL32" s="8"/>
      <c r="BM32" s="8"/>
      <c r="BN32" s="8"/>
      <c r="BO32" s="8"/>
      <c r="BP32" s="8"/>
      <c r="BQ32" s="8"/>
      <c r="BR32" s="8"/>
      <c r="BS32" s="8"/>
      <c r="BT32" s="8"/>
      <c r="BU32" s="8"/>
      <c r="BV32" s="8"/>
      <c r="BW32" s="8"/>
      <c r="BX32" s="8"/>
      <c r="BY32" s="8"/>
      <c r="BZ32" s="8"/>
      <c r="CA32" s="93"/>
    </row>
    <row r="33" spans="1:79" ht="15.6" customHeight="1" x14ac:dyDescent="0.25">
      <c r="A33" s="7"/>
      <c r="B33" s="8"/>
      <c r="C33" s="8"/>
      <c r="D33" s="8"/>
      <c r="E33" s="8"/>
      <c r="F33" s="8"/>
      <c r="G33" s="93"/>
      <c r="H33" s="142"/>
      <c r="I33" s="8"/>
      <c r="J33" s="9"/>
      <c r="K33" s="8"/>
      <c r="L33" s="8"/>
      <c r="M33" s="93"/>
      <c r="N33" s="8"/>
      <c r="O33" s="93"/>
      <c r="P33" s="142"/>
      <c r="Q33" s="8"/>
      <c r="R33" s="8"/>
      <c r="S33" s="8"/>
      <c r="T33" s="93"/>
      <c r="U33" s="8"/>
      <c r="V33" s="8"/>
      <c r="W33" s="8"/>
      <c r="X33" s="8"/>
      <c r="Y33" s="8"/>
      <c r="Z33" s="8"/>
      <c r="AA33" s="8"/>
      <c r="AB33" s="142"/>
      <c r="AC33" s="8"/>
      <c r="AD33" s="8"/>
      <c r="AE33" s="8"/>
      <c r="AF33" s="93"/>
      <c r="AG33" s="142"/>
      <c r="AH33" s="8"/>
      <c r="AI33" s="8"/>
      <c r="AJ33" s="8"/>
      <c r="AK33" s="93"/>
      <c r="AL33" s="142"/>
      <c r="AM33" s="8"/>
      <c r="AN33" s="8"/>
      <c r="AO33" s="8"/>
      <c r="AP33" s="93"/>
      <c r="AQ33" s="142"/>
      <c r="AR33" s="8"/>
      <c r="AS33" s="8"/>
      <c r="AT33" s="8"/>
      <c r="AU33" s="8"/>
      <c r="AV33" s="8"/>
      <c r="AW33" s="8"/>
      <c r="AX33" s="8"/>
      <c r="AY33" s="8"/>
      <c r="AZ33" s="8"/>
      <c r="BA33" s="8"/>
      <c r="BB33" s="8"/>
      <c r="BC33" s="93"/>
      <c r="BD33" s="142"/>
      <c r="BE33" s="8"/>
      <c r="BF33" s="8"/>
      <c r="BG33" s="8"/>
      <c r="BH33" s="8"/>
      <c r="BI33" s="8"/>
      <c r="BJ33" s="8"/>
      <c r="BK33" s="8"/>
      <c r="BL33" s="8"/>
      <c r="BM33" s="8"/>
      <c r="BN33" s="8"/>
      <c r="BO33" s="8"/>
      <c r="BP33" s="8"/>
      <c r="BQ33" s="8"/>
      <c r="BR33" s="8"/>
      <c r="BS33" s="8"/>
      <c r="BT33" s="8"/>
      <c r="BU33" s="8"/>
      <c r="BV33" s="8"/>
      <c r="BW33" s="8"/>
      <c r="BX33" s="8"/>
      <c r="BY33" s="8"/>
      <c r="BZ33" s="8"/>
      <c r="CA33" s="93"/>
    </row>
    <row r="34" spans="1:79" ht="15.6" customHeight="1" x14ac:dyDescent="0.25">
      <c r="A34" s="7"/>
      <c r="B34" s="8"/>
      <c r="C34" s="8"/>
      <c r="D34" s="8"/>
      <c r="E34" s="8"/>
      <c r="F34" s="8"/>
      <c r="G34" s="93"/>
      <c r="H34" s="142"/>
      <c r="I34" s="8"/>
      <c r="J34" s="9"/>
      <c r="K34" s="8"/>
      <c r="L34" s="8"/>
      <c r="M34" s="93"/>
      <c r="N34" s="8"/>
      <c r="O34" s="93"/>
      <c r="P34" s="142"/>
      <c r="Q34" s="8"/>
      <c r="R34" s="8"/>
      <c r="S34" s="8"/>
      <c r="T34" s="93"/>
      <c r="U34" s="8"/>
      <c r="V34" s="8"/>
      <c r="W34" s="8"/>
      <c r="X34" s="8"/>
      <c r="Y34" s="8"/>
      <c r="Z34" s="8"/>
      <c r="AA34" s="8"/>
      <c r="AB34" s="142"/>
      <c r="AC34" s="8"/>
      <c r="AD34" s="8"/>
      <c r="AE34" s="8"/>
      <c r="AF34" s="93"/>
      <c r="AG34" s="142"/>
      <c r="AH34" s="8"/>
      <c r="AI34" s="8"/>
      <c r="AJ34" s="8"/>
      <c r="AK34" s="93"/>
      <c r="AL34" s="142"/>
      <c r="AM34" s="8"/>
      <c r="AN34" s="8"/>
      <c r="AO34" s="8"/>
      <c r="AP34" s="93"/>
      <c r="AQ34" s="142"/>
      <c r="AR34" s="8"/>
      <c r="AS34" s="8"/>
      <c r="AT34" s="8"/>
      <c r="AU34" s="8"/>
      <c r="AV34" s="8"/>
      <c r="AW34" s="8"/>
      <c r="AX34" s="8"/>
      <c r="AY34" s="8"/>
      <c r="AZ34" s="8"/>
      <c r="BA34" s="8"/>
      <c r="BB34" s="8"/>
      <c r="BC34" s="93"/>
      <c r="BD34" s="142"/>
      <c r="BE34" s="8"/>
      <c r="BF34" s="8"/>
      <c r="BG34" s="8"/>
      <c r="BH34" s="8"/>
      <c r="BI34" s="8"/>
      <c r="BJ34" s="8"/>
      <c r="BK34" s="8"/>
      <c r="BL34" s="8"/>
      <c r="BM34" s="8"/>
      <c r="BN34" s="8"/>
      <c r="BO34" s="8"/>
      <c r="BP34" s="8"/>
      <c r="BQ34" s="8"/>
      <c r="BR34" s="8"/>
      <c r="BS34" s="8"/>
      <c r="BT34" s="8"/>
      <c r="BU34" s="8"/>
      <c r="BV34" s="8"/>
      <c r="BW34" s="8"/>
      <c r="BX34" s="8"/>
      <c r="BY34" s="8"/>
      <c r="BZ34" s="8"/>
      <c r="CA34" s="93"/>
    </row>
    <row r="35" spans="1:79" ht="15.6" customHeight="1" x14ac:dyDescent="0.25">
      <c r="A35" s="7"/>
      <c r="B35" s="8"/>
      <c r="C35" s="8"/>
      <c r="D35" s="8"/>
      <c r="E35" s="8"/>
      <c r="F35" s="8"/>
      <c r="G35" s="93"/>
      <c r="H35" s="142"/>
      <c r="I35" s="8"/>
      <c r="J35" s="9"/>
      <c r="K35" s="8"/>
      <c r="L35" s="8"/>
      <c r="M35" s="93"/>
      <c r="N35" s="8"/>
      <c r="O35" s="93"/>
      <c r="P35" s="142"/>
      <c r="Q35" s="8"/>
      <c r="R35" s="8"/>
      <c r="S35" s="8"/>
      <c r="T35" s="93"/>
      <c r="U35" s="8"/>
      <c r="V35" s="8"/>
      <c r="W35" s="8"/>
      <c r="X35" s="8"/>
      <c r="Y35" s="8"/>
      <c r="Z35" s="8"/>
      <c r="AA35" s="8"/>
      <c r="AB35" s="142"/>
      <c r="AC35" s="8"/>
      <c r="AD35" s="8"/>
      <c r="AE35" s="8"/>
      <c r="AF35" s="93"/>
      <c r="AG35" s="142"/>
      <c r="AH35" s="8"/>
      <c r="AI35" s="8"/>
      <c r="AJ35" s="8"/>
      <c r="AK35" s="93"/>
      <c r="AL35" s="142"/>
      <c r="AM35" s="8"/>
      <c r="AN35" s="8"/>
      <c r="AO35" s="8"/>
      <c r="AP35" s="93"/>
      <c r="AQ35" s="142"/>
      <c r="AR35" s="8"/>
      <c r="AS35" s="8"/>
      <c r="AT35" s="8"/>
      <c r="AU35" s="8"/>
      <c r="AV35" s="8"/>
      <c r="AW35" s="8"/>
      <c r="AX35" s="8"/>
      <c r="AY35" s="8"/>
      <c r="AZ35" s="8"/>
      <c r="BA35" s="8"/>
      <c r="BB35" s="8"/>
      <c r="BC35" s="93"/>
      <c r="BD35" s="142"/>
      <c r="BE35" s="8"/>
      <c r="BF35" s="8"/>
      <c r="BG35" s="8"/>
      <c r="BH35" s="8"/>
      <c r="BI35" s="8"/>
      <c r="BJ35" s="8"/>
      <c r="BK35" s="8"/>
      <c r="BL35" s="8"/>
      <c r="BM35" s="8"/>
      <c r="BN35" s="8"/>
      <c r="BO35" s="8"/>
      <c r="BP35" s="8"/>
      <c r="BQ35" s="8"/>
      <c r="BR35" s="8"/>
      <c r="BS35" s="8"/>
      <c r="BT35" s="8"/>
      <c r="BU35" s="8"/>
      <c r="BV35" s="8"/>
      <c r="BW35" s="8"/>
      <c r="BX35" s="8"/>
      <c r="BY35" s="8"/>
      <c r="BZ35" s="8"/>
      <c r="CA35" s="93"/>
    </row>
    <row r="36" spans="1:79" ht="15.6" customHeight="1" x14ac:dyDescent="0.25">
      <c r="A36" s="7"/>
      <c r="B36" s="8"/>
      <c r="C36" s="8"/>
      <c r="D36" s="8"/>
      <c r="E36" s="8"/>
      <c r="F36" s="8"/>
      <c r="G36" s="93"/>
      <c r="H36" s="142"/>
      <c r="I36" s="8"/>
      <c r="J36" s="9"/>
      <c r="K36" s="8"/>
      <c r="L36" s="8"/>
      <c r="M36" s="93"/>
      <c r="N36" s="8"/>
      <c r="O36" s="93"/>
      <c r="P36" s="142"/>
      <c r="Q36" s="8"/>
      <c r="R36" s="8"/>
      <c r="S36" s="8"/>
      <c r="T36" s="93"/>
      <c r="U36" s="8"/>
      <c r="V36" s="8"/>
      <c r="W36" s="8"/>
      <c r="X36" s="8"/>
      <c r="Y36" s="8"/>
      <c r="Z36" s="8"/>
      <c r="AA36" s="8"/>
      <c r="AB36" s="142"/>
      <c r="AC36" s="8"/>
      <c r="AD36" s="8"/>
      <c r="AE36" s="8"/>
      <c r="AF36" s="93"/>
      <c r="AG36" s="142"/>
      <c r="AH36" s="8"/>
      <c r="AI36" s="8"/>
      <c r="AJ36" s="8"/>
      <c r="AK36" s="93"/>
      <c r="AL36" s="142"/>
      <c r="AM36" s="8"/>
      <c r="AN36" s="8"/>
      <c r="AO36" s="8"/>
      <c r="AP36" s="93"/>
      <c r="AQ36" s="142"/>
      <c r="AR36" s="8"/>
      <c r="AS36" s="8"/>
      <c r="AT36" s="8"/>
      <c r="AU36" s="8"/>
      <c r="AV36" s="8"/>
      <c r="AW36" s="8"/>
      <c r="AX36" s="8"/>
      <c r="AY36" s="8"/>
      <c r="AZ36" s="8"/>
      <c r="BA36" s="8"/>
      <c r="BB36" s="8"/>
      <c r="BC36" s="93"/>
      <c r="BD36" s="142"/>
      <c r="BE36" s="8"/>
      <c r="BF36" s="8"/>
      <c r="BG36" s="8"/>
      <c r="BH36" s="8"/>
      <c r="BI36" s="8"/>
      <c r="BJ36" s="8"/>
      <c r="BK36" s="8"/>
      <c r="BL36" s="8"/>
      <c r="BM36" s="8"/>
      <c r="BN36" s="8"/>
      <c r="BO36" s="8"/>
      <c r="BP36" s="8"/>
      <c r="BQ36" s="8"/>
      <c r="BR36" s="8"/>
      <c r="BS36" s="8"/>
      <c r="BT36" s="8"/>
      <c r="BU36" s="8"/>
      <c r="BV36" s="8"/>
      <c r="BW36" s="8"/>
      <c r="BX36" s="8"/>
      <c r="BY36" s="8"/>
      <c r="BZ36" s="8"/>
      <c r="CA36" s="93"/>
    </row>
    <row r="37" spans="1:79" ht="15.6" customHeight="1" x14ac:dyDescent="0.25">
      <c r="A37" s="7"/>
      <c r="B37" s="8"/>
      <c r="C37" s="8"/>
      <c r="D37" s="8"/>
      <c r="E37" s="8"/>
      <c r="F37" s="8"/>
      <c r="G37" s="93"/>
      <c r="H37" s="142"/>
      <c r="I37" s="8"/>
      <c r="J37" s="9"/>
      <c r="K37" s="8"/>
      <c r="L37" s="8"/>
      <c r="M37" s="93"/>
      <c r="N37" s="8"/>
      <c r="O37" s="93"/>
      <c r="P37" s="142"/>
      <c r="Q37" s="8"/>
      <c r="R37" s="8"/>
      <c r="S37" s="8"/>
      <c r="T37" s="93"/>
      <c r="U37" s="8"/>
      <c r="V37" s="8"/>
      <c r="W37" s="8"/>
      <c r="X37" s="8"/>
      <c r="Y37" s="8"/>
      <c r="Z37" s="8"/>
      <c r="AA37" s="8"/>
      <c r="AB37" s="142"/>
      <c r="AC37" s="8"/>
      <c r="AD37" s="8"/>
      <c r="AE37" s="8"/>
      <c r="AF37" s="93"/>
      <c r="AG37" s="142"/>
      <c r="AH37" s="8"/>
      <c r="AI37" s="8"/>
      <c r="AJ37" s="8"/>
      <c r="AK37" s="93"/>
      <c r="AL37" s="142"/>
      <c r="AM37" s="8"/>
      <c r="AN37" s="8"/>
      <c r="AO37" s="8"/>
      <c r="AP37" s="93"/>
      <c r="AQ37" s="142"/>
      <c r="AR37" s="8"/>
      <c r="AS37" s="8"/>
      <c r="AT37" s="8"/>
      <c r="AU37" s="8"/>
      <c r="AV37" s="8"/>
      <c r="AW37" s="8"/>
      <c r="AX37" s="8"/>
      <c r="AY37" s="8"/>
      <c r="AZ37" s="8"/>
      <c r="BA37" s="8"/>
      <c r="BB37" s="8"/>
      <c r="BC37" s="93"/>
      <c r="BD37" s="142"/>
      <c r="BE37" s="8"/>
      <c r="BF37" s="8"/>
      <c r="BG37" s="8"/>
      <c r="BH37" s="8"/>
      <c r="BI37" s="8"/>
      <c r="BJ37" s="8"/>
      <c r="BK37" s="8"/>
      <c r="BL37" s="8"/>
      <c r="BM37" s="8"/>
      <c r="BN37" s="8"/>
      <c r="BO37" s="8"/>
      <c r="BP37" s="8"/>
      <c r="BQ37" s="8"/>
      <c r="BR37" s="8"/>
      <c r="BS37" s="8"/>
      <c r="BT37" s="8"/>
      <c r="BU37" s="8"/>
      <c r="BV37" s="8"/>
      <c r="BW37" s="8"/>
      <c r="BX37" s="8"/>
      <c r="BY37" s="8"/>
      <c r="BZ37" s="8"/>
      <c r="CA37" s="93"/>
    </row>
    <row r="38" spans="1:79" ht="15.6" customHeight="1" x14ac:dyDescent="0.25">
      <c r="A38" s="7"/>
      <c r="B38" s="8"/>
      <c r="C38" s="8"/>
      <c r="D38" s="8"/>
      <c r="E38" s="8"/>
      <c r="F38" s="8"/>
      <c r="G38" s="93"/>
      <c r="H38" s="142"/>
      <c r="I38" s="8"/>
      <c r="J38" s="9"/>
      <c r="K38" s="8"/>
      <c r="L38" s="8"/>
      <c r="M38" s="93"/>
      <c r="N38" s="8"/>
      <c r="O38" s="93"/>
      <c r="P38" s="142"/>
      <c r="Q38" s="8"/>
      <c r="R38" s="8"/>
      <c r="S38" s="8"/>
      <c r="T38" s="93"/>
      <c r="U38" s="8"/>
      <c r="V38" s="8"/>
      <c r="W38" s="8"/>
      <c r="X38" s="8"/>
      <c r="Y38" s="8"/>
      <c r="Z38" s="8"/>
      <c r="AA38" s="8"/>
      <c r="AB38" s="142"/>
      <c r="AC38" s="8"/>
      <c r="AD38" s="8"/>
      <c r="AE38" s="8"/>
      <c r="AF38" s="93"/>
      <c r="AG38" s="142"/>
      <c r="AH38" s="8"/>
      <c r="AI38" s="8"/>
      <c r="AJ38" s="8"/>
      <c r="AK38" s="93"/>
      <c r="AL38" s="142"/>
      <c r="AM38" s="8"/>
      <c r="AN38" s="8"/>
      <c r="AO38" s="8"/>
      <c r="AP38" s="93"/>
      <c r="AQ38" s="142"/>
      <c r="AR38" s="8"/>
      <c r="AS38" s="8"/>
      <c r="AT38" s="8"/>
      <c r="AU38" s="8"/>
      <c r="AV38" s="8"/>
      <c r="AW38" s="8"/>
      <c r="AX38" s="8"/>
      <c r="AY38" s="8"/>
      <c r="AZ38" s="8"/>
      <c r="BA38" s="8"/>
      <c r="BB38" s="8"/>
      <c r="BC38" s="93"/>
      <c r="BD38" s="142"/>
      <c r="BE38" s="8"/>
      <c r="BF38" s="8"/>
      <c r="BG38" s="8"/>
      <c r="BH38" s="8"/>
      <c r="BI38" s="8"/>
      <c r="BJ38" s="8"/>
      <c r="BK38" s="8"/>
      <c r="BL38" s="8"/>
      <c r="BM38" s="8"/>
      <c r="BN38" s="8"/>
      <c r="BO38" s="8"/>
      <c r="BP38" s="8"/>
      <c r="BQ38" s="8"/>
      <c r="BR38" s="8"/>
      <c r="BS38" s="8"/>
      <c r="BT38" s="8"/>
      <c r="BU38" s="8"/>
      <c r="BV38" s="8"/>
      <c r="BW38" s="8"/>
      <c r="BX38" s="8"/>
      <c r="BY38" s="8"/>
      <c r="BZ38" s="8"/>
      <c r="CA38" s="93"/>
    </row>
    <row r="39" spans="1:79" ht="15.6" customHeight="1" x14ac:dyDescent="0.25">
      <c r="A39" s="7"/>
      <c r="B39" s="8"/>
      <c r="C39" s="8"/>
      <c r="D39" s="8"/>
      <c r="E39" s="8"/>
      <c r="F39" s="8"/>
      <c r="G39" s="93"/>
      <c r="H39" s="142"/>
      <c r="I39" s="8"/>
      <c r="J39" s="9"/>
      <c r="K39" s="8"/>
      <c r="L39" s="8"/>
      <c r="M39" s="93"/>
      <c r="N39" s="8"/>
      <c r="O39" s="93"/>
      <c r="P39" s="142"/>
      <c r="Q39" s="8"/>
      <c r="R39" s="8"/>
      <c r="S39" s="8"/>
      <c r="T39" s="93"/>
      <c r="U39" s="8"/>
      <c r="V39" s="8"/>
      <c r="W39" s="8"/>
      <c r="X39" s="8"/>
      <c r="Y39" s="8"/>
      <c r="Z39" s="8"/>
      <c r="AA39" s="8"/>
      <c r="AB39" s="142"/>
      <c r="AC39" s="8"/>
      <c r="AD39" s="8"/>
      <c r="AE39" s="8"/>
      <c r="AF39" s="93"/>
      <c r="AG39" s="142"/>
      <c r="AH39" s="8"/>
      <c r="AI39" s="8"/>
      <c r="AJ39" s="8"/>
      <c r="AK39" s="93"/>
      <c r="AL39" s="142"/>
      <c r="AM39" s="8"/>
      <c r="AN39" s="8"/>
      <c r="AO39" s="8"/>
      <c r="AP39" s="93"/>
      <c r="AQ39" s="142"/>
      <c r="AR39" s="8"/>
      <c r="AS39" s="8"/>
      <c r="AT39" s="8"/>
      <c r="AU39" s="8"/>
      <c r="AV39" s="8"/>
      <c r="AW39" s="8"/>
      <c r="AX39" s="8"/>
      <c r="AY39" s="8"/>
      <c r="AZ39" s="8"/>
      <c r="BA39" s="8"/>
      <c r="BB39" s="8"/>
      <c r="BC39" s="93"/>
      <c r="BD39" s="142"/>
      <c r="BE39" s="8"/>
      <c r="BF39" s="8"/>
      <c r="BG39" s="8"/>
      <c r="BH39" s="8"/>
      <c r="BI39" s="8"/>
      <c r="BJ39" s="8"/>
      <c r="BK39" s="8"/>
      <c r="BL39" s="8"/>
      <c r="BM39" s="8"/>
      <c r="BN39" s="8"/>
      <c r="BO39" s="8"/>
      <c r="BP39" s="8"/>
      <c r="BQ39" s="8"/>
      <c r="BR39" s="8"/>
      <c r="BS39" s="8"/>
      <c r="BT39" s="8"/>
      <c r="BU39" s="8"/>
      <c r="BV39" s="8"/>
      <c r="BW39" s="8"/>
      <c r="BX39" s="8"/>
      <c r="BY39" s="8"/>
      <c r="BZ39" s="8"/>
      <c r="CA39" s="93"/>
    </row>
    <row r="40" spans="1:79" ht="15" x14ac:dyDescent="0.25">
      <c r="A40" s="7"/>
      <c r="B40" s="8"/>
      <c r="C40" s="8"/>
      <c r="D40" s="8"/>
      <c r="E40" s="8"/>
      <c r="F40" s="8"/>
      <c r="G40" s="93"/>
      <c r="H40" s="142"/>
      <c r="I40" s="8"/>
      <c r="J40" s="9"/>
      <c r="K40" s="8"/>
      <c r="L40" s="8"/>
      <c r="M40" s="93"/>
      <c r="N40" s="8"/>
      <c r="O40" s="93"/>
      <c r="P40" s="142"/>
      <c r="Q40" s="8"/>
      <c r="R40" s="8"/>
      <c r="S40" s="8"/>
      <c r="T40" s="93"/>
      <c r="U40" s="8"/>
      <c r="V40" s="8"/>
      <c r="W40" s="8"/>
      <c r="X40" s="8"/>
      <c r="Y40" s="8"/>
      <c r="Z40" s="8"/>
      <c r="AA40" s="8"/>
      <c r="AB40" s="142"/>
      <c r="AC40" s="8"/>
      <c r="AD40" s="8"/>
      <c r="AE40" s="8"/>
      <c r="AF40" s="93"/>
      <c r="AG40" s="142"/>
      <c r="AH40" s="8"/>
      <c r="AI40" s="8"/>
      <c r="AJ40" s="8"/>
      <c r="AK40" s="93"/>
      <c r="AL40" s="142"/>
      <c r="AM40" s="8"/>
      <c r="AN40" s="8"/>
      <c r="AO40" s="8"/>
      <c r="AP40" s="93"/>
      <c r="AQ40" s="142"/>
      <c r="AR40" s="8"/>
      <c r="AS40" s="8"/>
      <c r="AT40" s="8"/>
      <c r="AU40" s="8"/>
      <c r="AV40" s="8"/>
      <c r="AW40" s="8"/>
      <c r="AX40" s="8"/>
      <c r="AY40" s="8"/>
      <c r="AZ40" s="8"/>
      <c r="BA40" s="8"/>
      <c r="BB40" s="8"/>
      <c r="BC40" s="93"/>
      <c r="BD40" s="142"/>
      <c r="BE40" s="8"/>
      <c r="BF40" s="8"/>
      <c r="BG40" s="8"/>
      <c r="BH40" s="8"/>
      <c r="BI40" s="8"/>
      <c r="BJ40" s="8"/>
      <c r="BK40" s="8"/>
      <c r="BL40" s="8"/>
      <c r="BM40" s="8"/>
      <c r="BN40" s="8"/>
      <c r="BO40" s="8"/>
      <c r="BP40" s="8"/>
      <c r="BQ40" s="8"/>
      <c r="BR40" s="8"/>
      <c r="BS40" s="8"/>
      <c r="BT40" s="8"/>
      <c r="BU40" s="8"/>
      <c r="BV40" s="8"/>
      <c r="BW40" s="8"/>
      <c r="BX40" s="8"/>
      <c r="BY40" s="8"/>
      <c r="BZ40" s="8"/>
      <c r="CA40" s="93"/>
    </row>
    <row r="41" spans="1:79" ht="15.6" customHeight="1" x14ac:dyDescent="0.25">
      <c r="A41" s="7"/>
      <c r="B41" s="8"/>
      <c r="C41" s="8"/>
      <c r="D41" s="8"/>
      <c r="E41" s="8"/>
      <c r="F41" s="8"/>
      <c r="G41" s="93"/>
      <c r="H41" s="142"/>
      <c r="I41" s="8"/>
      <c r="J41" s="9"/>
      <c r="K41" s="8"/>
      <c r="L41" s="8"/>
      <c r="M41" s="93"/>
      <c r="N41" s="8"/>
      <c r="O41" s="93"/>
      <c r="P41" s="142"/>
      <c r="Q41" s="8"/>
      <c r="R41" s="8"/>
      <c r="S41" s="8"/>
      <c r="T41" s="93"/>
      <c r="U41" s="8"/>
      <c r="V41" s="8"/>
      <c r="W41" s="8"/>
      <c r="X41" s="8"/>
      <c r="Y41" s="8"/>
      <c r="Z41" s="8"/>
      <c r="AA41" s="8"/>
      <c r="AB41" s="142"/>
      <c r="AC41" s="8"/>
      <c r="AD41" s="8"/>
      <c r="AE41" s="8"/>
      <c r="AF41" s="93"/>
      <c r="AG41" s="142"/>
      <c r="AH41" s="8"/>
      <c r="AI41" s="8"/>
      <c r="AJ41" s="8"/>
      <c r="AK41" s="93"/>
      <c r="AL41" s="142"/>
      <c r="AM41" s="8"/>
      <c r="AN41" s="8"/>
      <c r="AO41" s="8"/>
      <c r="AP41" s="93"/>
      <c r="AQ41" s="142"/>
      <c r="AR41" s="8"/>
      <c r="AS41" s="8"/>
      <c r="AT41" s="8"/>
      <c r="AU41" s="8"/>
      <c r="AV41" s="8"/>
      <c r="AW41" s="8"/>
      <c r="AX41" s="8"/>
      <c r="AY41" s="8"/>
      <c r="AZ41" s="8"/>
      <c r="BA41" s="8"/>
      <c r="BB41" s="8"/>
      <c r="BC41" s="93"/>
      <c r="BD41" s="142"/>
      <c r="BE41" s="8"/>
      <c r="BF41" s="8"/>
      <c r="BG41" s="8"/>
      <c r="BH41" s="8"/>
      <c r="BI41" s="8"/>
      <c r="BJ41" s="8"/>
      <c r="BK41" s="8"/>
      <c r="BL41" s="8"/>
      <c r="BM41" s="8"/>
      <c r="BN41" s="8"/>
      <c r="BO41" s="8"/>
      <c r="BP41" s="8"/>
      <c r="BQ41" s="8"/>
      <c r="BR41" s="8"/>
      <c r="BS41" s="8"/>
      <c r="BT41" s="8"/>
      <c r="BU41" s="8"/>
      <c r="BV41" s="8"/>
      <c r="BW41" s="8"/>
      <c r="BX41" s="8"/>
      <c r="BY41" s="8"/>
      <c r="BZ41" s="8"/>
      <c r="CA41" s="93"/>
    </row>
    <row r="42" spans="1:79" ht="15.6" customHeight="1" x14ac:dyDescent="0.25">
      <c r="A42" s="7"/>
      <c r="B42" s="8"/>
      <c r="C42" s="8"/>
      <c r="D42" s="8"/>
      <c r="E42" s="8"/>
      <c r="F42" s="8"/>
      <c r="G42" s="93"/>
      <c r="H42" s="142"/>
      <c r="I42" s="8"/>
      <c r="J42" s="9"/>
      <c r="K42" s="8"/>
      <c r="L42" s="8"/>
      <c r="M42" s="93"/>
      <c r="N42" s="8"/>
      <c r="O42" s="93"/>
      <c r="P42" s="142"/>
      <c r="Q42" s="8"/>
      <c r="R42" s="8"/>
      <c r="S42" s="8"/>
      <c r="T42" s="93"/>
      <c r="U42" s="8"/>
      <c r="V42" s="8"/>
      <c r="W42" s="8"/>
      <c r="X42" s="8"/>
      <c r="Y42" s="8"/>
      <c r="Z42" s="8"/>
      <c r="AA42" s="8"/>
      <c r="AB42" s="142"/>
      <c r="AC42" s="8"/>
      <c r="AD42" s="8"/>
      <c r="AE42" s="8"/>
      <c r="AF42" s="93"/>
      <c r="AG42" s="142"/>
      <c r="AH42" s="8"/>
      <c r="AI42" s="8"/>
      <c r="AJ42" s="8"/>
      <c r="AK42" s="93"/>
      <c r="AL42" s="142"/>
      <c r="AM42" s="8"/>
      <c r="AN42" s="8"/>
      <c r="AO42" s="8"/>
      <c r="AP42" s="93"/>
      <c r="AQ42" s="142"/>
      <c r="AR42" s="8"/>
      <c r="AS42" s="8"/>
      <c r="AT42" s="8"/>
      <c r="AU42" s="8"/>
      <c r="AV42" s="8"/>
      <c r="AW42" s="8"/>
      <c r="AX42" s="8"/>
      <c r="AY42" s="8"/>
      <c r="AZ42" s="8"/>
      <c r="BA42" s="8"/>
      <c r="BB42" s="8"/>
      <c r="BC42" s="93"/>
      <c r="BD42" s="142"/>
      <c r="BE42" s="8"/>
      <c r="BF42" s="8"/>
      <c r="BG42" s="8"/>
      <c r="BH42" s="8"/>
      <c r="BI42" s="8"/>
      <c r="BJ42" s="8"/>
      <c r="BK42" s="8"/>
      <c r="BL42" s="8"/>
      <c r="BM42" s="8"/>
      <c r="BN42" s="8"/>
      <c r="BO42" s="8"/>
      <c r="BP42" s="8"/>
      <c r="BQ42" s="8"/>
      <c r="BR42" s="8"/>
      <c r="BS42" s="8"/>
      <c r="BT42" s="8"/>
      <c r="BU42" s="8"/>
      <c r="BV42" s="8"/>
      <c r="BW42" s="8"/>
      <c r="BX42" s="8"/>
      <c r="BY42" s="8"/>
      <c r="BZ42" s="8"/>
      <c r="CA42" s="93"/>
    </row>
    <row r="43" spans="1:79" ht="15.6" customHeight="1" x14ac:dyDescent="0.25">
      <c r="A43" s="7"/>
      <c r="B43" s="8"/>
      <c r="C43" s="8"/>
      <c r="D43" s="8"/>
      <c r="E43" s="8"/>
      <c r="F43" s="8"/>
      <c r="G43" s="93"/>
      <c r="H43" s="142"/>
      <c r="I43" s="8"/>
      <c r="J43" s="9"/>
      <c r="K43" s="8"/>
      <c r="L43" s="8"/>
      <c r="M43" s="93"/>
      <c r="N43" s="8"/>
      <c r="O43" s="93"/>
      <c r="P43" s="142"/>
      <c r="Q43" s="8"/>
      <c r="R43" s="8"/>
      <c r="S43" s="8"/>
      <c r="T43" s="93"/>
      <c r="U43" s="8"/>
      <c r="V43" s="8"/>
      <c r="W43" s="8"/>
      <c r="X43" s="8"/>
      <c r="Y43" s="8"/>
      <c r="Z43" s="8"/>
      <c r="AA43" s="8"/>
      <c r="AB43" s="142"/>
      <c r="AC43" s="8"/>
      <c r="AD43" s="8"/>
      <c r="AE43" s="8"/>
      <c r="AF43" s="93"/>
      <c r="AG43" s="142"/>
      <c r="AH43" s="8"/>
      <c r="AI43" s="8"/>
      <c r="AJ43" s="8"/>
      <c r="AK43" s="93"/>
      <c r="AL43" s="142"/>
      <c r="AM43" s="8"/>
      <c r="AN43" s="8"/>
      <c r="AO43" s="8"/>
      <c r="AP43" s="93"/>
      <c r="AQ43" s="142"/>
      <c r="AR43" s="8"/>
      <c r="AS43" s="8"/>
      <c r="AT43" s="8"/>
      <c r="AU43" s="8"/>
      <c r="AV43" s="8"/>
      <c r="AW43" s="8"/>
      <c r="AX43" s="8"/>
      <c r="AY43" s="8"/>
      <c r="AZ43" s="8"/>
      <c r="BA43" s="8"/>
      <c r="BB43" s="8"/>
      <c r="BC43" s="93"/>
      <c r="BD43" s="142"/>
      <c r="BE43" s="8"/>
      <c r="BF43" s="8"/>
      <c r="BG43" s="8"/>
      <c r="BH43" s="8"/>
      <c r="BI43" s="8"/>
      <c r="BJ43" s="8"/>
      <c r="BK43" s="8"/>
      <c r="BL43" s="8"/>
      <c r="BM43" s="8"/>
      <c r="BN43" s="8"/>
      <c r="BO43" s="8"/>
      <c r="BP43" s="8"/>
      <c r="BQ43" s="8"/>
      <c r="BR43" s="8"/>
      <c r="BS43" s="8"/>
      <c r="BT43" s="8"/>
      <c r="BU43" s="8"/>
      <c r="BV43" s="8"/>
      <c r="BW43" s="8"/>
      <c r="BX43" s="8"/>
      <c r="BY43" s="8"/>
      <c r="BZ43" s="8"/>
      <c r="CA43" s="93"/>
    </row>
    <row r="44" spans="1:79" ht="15.6" customHeight="1" x14ac:dyDescent="0.25">
      <c r="A44" s="7"/>
      <c r="B44" s="8"/>
      <c r="C44" s="8"/>
      <c r="D44" s="8"/>
      <c r="E44" s="8"/>
      <c r="F44" s="8"/>
      <c r="G44" s="93"/>
      <c r="H44" s="142"/>
      <c r="I44" s="8"/>
      <c r="J44" s="9"/>
      <c r="K44" s="8"/>
      <c r="L44" s="8"/>
      <c r="M44" s="93"/>
      <c r="N44" s="8"/>
      <c r="O44" s="93"/>
      <c r="P44" s="142"/>
      <c r="Q44" s="8"/>
      <c r="R44" s="8"/>
      <c r="S44" s="8"/>
      <c r="T44" s="93"/>
      <c r="U44" s="8"/>
      <c r="V44" s="8"/>
      <c r="W44" s="8"/>
      <c r="X44" s="8"/>
      <c r="Y44" s="8"/>
      <c r="Z44" s="8"/>
      <c r="AA44" s="8"/>
      <c r="AB44" s="142"/>
      <c r="AC44" s="8"/>
      <c r="AD44" s="8"/>
      <c r="AE44" s="8"/>
      <c r="AF44" s="93"/>
      <c r="AG44" s="142"/>
      <c r="AH44" s="8"/>
      <c r="AI44" s="8"/>
      <c r="AJ44" s="8"/>
      <c r="AK44" s="93"/>
      <c r="AL44" s="142"/>
      <c r="AM44" s="8"/>
      <c r="AN44" s="8"/>
      <c r="AO44" s="8"/>
      <c r="AP44" s="93"/>
      <c r="AQ44" s="142"/>
      <c r="AR44" s="8"/>
      <c r="AS44" s="8"/>
      <c r="AT44" s="8"/>
      <c r="AU44" s="8"/>
      <c r="AV44" s="8"/>
      <c r="AW44" s="8"/>
      <c r="AX44" s="8"/>
      <c r="AY44" s="8"/>
      <c r="AZ44" s="8"/>
      <c r="BA44" s="8"/>
      <c r="BB44" s="8"/>
      <c r="BC44" s="93"/>
      <c r="BD44" s="142"/>
      <c r="BE44" s="8"/>
      <c r="BF44" s="8"/>
      <c r="BG44" s="8"/>
      <c r="BH44" s="8"/>
      <c r="BI44" s="8"/>
      <c r="BJ44" s="8"/>
      <c r="BK44" s="8"/>
      <c r="BL44" s="8"/>
      <c r="BM44" s="8"/>
      <c r="BN44" s="8"/>
      <c r="BO44" s="8"/>
      <c r="BP44" s="8"/>
      <c r="BQ44" s="8"/>
      <c r="BR44" s="8"/>
      <c r="BS44" s="8"/>
      <c r="BT44" s="8"/>
      <c r="BU44" s="8"/>
      <c r="BV44" s="8"/>
      <c r="BW44" s="8"/>
      <c r="BX44" s="8"/>
      <c r="BY44" s="8"/>
      <c r="BZ44" s="8"/>
      <c r="CA44" s="93"/>
    </row>
    <row r="45" spans="1:79" ht="15.6" customHeight="1" x14ac:dyDescent="0.25">
      <c r="A45" s="7"/>
      <c r="B45" s="8"/>
      <c r="C45" s="8"/>
      <c r="D45" s="8"/>
      <c r="E45" s="8"/>
      <c r="F45" s="8"/>
      <c r="G45" s="93"/>
      <c r="H45" s="142"/>
      <c r="I45" s="8"/>
      <c r="J45" s="9"/>
      <c r="K45" s="8"/>
      <c r="L45" s="8"/>
      <c r="M45" s="93"/>
      <c r="N45" s="8"/>
      <c r="O45" s="93"/>
      <c r="P45" s="142"/>
      <c r="Q45" s="8"/>
      <c r="R45" s="8"/>
      <c r="S45" s="8"/>
      <c r="T45" s="93"/>
      <c r="U45" s="8"/>
      <c r="V45" s="8"/>
      <c r="W45" s="8"/>
      <c r="X45" s="8"/>
      <c r="Y45" s="8"/>
      <c r="Z45" s="8"/>
      <c r="AA45" s="8"/>
      <c r="AB45" s="142"/>
      <c r="AC45" s="8"/>
      <c r="AD45" s="8"/>
      <c r="AE45" s="8"/>
      <c r="AF45" s="93"/>
      <c r="AG45" s="142"/>
      <c r="AH45" s="8"/>
      <c r="AI45" s="8"/>
      <c r="AJ45" s="8"/>
      <c r="AK45" s="93"/>
      <c r="AL45" s="142"/>
      <c r="AM45" s="8"/>
      <c r="AN45" s="8"/>
      <c r="AO45" s="8"/>
      <c r="AP45" s="93"/>
      <c r="AQ45" s="142"/>
      <c r="AR45" s="8"/>
      <c r="AS45" s="8"/>
      <c r="AT45" s="8"/>
      <c r="AU45" s="8"/>
      <c r="AV45" s="8"/>
      <c r="AW45" s="8"/>
      <c r="AX45" s="8"/>
      <c r="AY45" s="8"/>
      <c r="AZ45" s="8"/>
      <c r="BA45" s="8"/>
      <c r="BB45" s="8"/>
      <c r="BC45" s="93"/>
      <c r="BD45" s="142"/>
      <c r="BE45" s="8"/>
      <c r="BF45" s="8"/>
      <c r="BG45" s="8"/>
      <c r="BH45" s="8"/>
      <c r="BI45" s="8"/>
      <c r="BJ45" s="8"/>
      <c r="BK45" s="8"/>
      <c r="BL45" s="8"/>
      <c r="BM45" s="8"/>
      <c r="BN45" s="8"/>
      <c r="BO45" s="8"/>
      <c r="BP45" s="8"/>
      <c r="BQ45" s="8"/>
      <c r="BR45" s="8"/>
      <c r="BS45" s="8"/>
      <c r="BT45" s="8"/>
      <c r="BU45" s="8"/>
      <c r="BV45" s="8"/>
      <c r="BW45" s="8"/>
      <c r="BX45" s="8"/>
      <c r="BY45" s="8"/>
      <c r="BZ45" s="8"/>
      <c r="CA45" s="93"/>
    </row>
    <row r="46" spans="1:79" ht="15.6" customHeight="1" x14ac:dyDescent="0.25">
      <c r="A46" s="7"/>
      <c r="B46" s="8"/>
      <c r="C46" s="8"/>
      <c r="D46" s="8"/>
      <c r="E46" s="8"/>
      <c r="F46" s="8"/>
      <c r="G46" s="93"/>
      <c r="H46" s="142"/>
      <c r="I46" s="8"/>
      <c r="J46" s="9"/>
      <c r="K46" s="8"/>
      <c r="L46" s="8"/>
      <c r="M46" s="93"/>
      <c r="N46" s="8"/>
      <c r="O46" s="93"/>
      <c r="P46" s="142"/>
      <c r="Q46" s="8"/>
      <c r="R46" s="8"/>
      <c r="S46" s="8"/>
      <c r="T46" s="93"/>
      <c r="U46" s="8"/>
      <c r="V46" s="8"/>
      <c r="W46" s="8"/>
      <c r="X46" s="8"/>
      <c r="Y46" s="8"/>
      <c r="Z46" s="8"/>
      <c r="AA46" s="8"/>
      <c r="AB46" s="142"/>
      <c r="AC46" s="8"/>
      <c r="AD46" s="8"/>
      <c r="AE46" s="8"/>
      <c r="AF46" s="93"/>
      <c r="AG46" s="142"/>
      <c r="AH46" s="8"/>
      <c r="AI46" s="8"/>
      <c r="AJ46" s="8"/>
      <c r="AK46" s="93"/>
      <c r="AL46" s="142"/>
      <c r="AM46" s="8"/>
      <c r="AN46" s="8"/>
      <c r="AO46" s="8"/>
      <c r="AP46" s="93"/>
      <c r="AQ46" s="142"/>
      <c r="AR46" s="8"/>
      <c r="AS46" s="8"/>
      <c r="AT46" s="8"/>
      <c r="AU46" s="8"/>
      <c r="AV46" s="8"/>
      <c r="AW46" s="8"/>
      <c r="AX46" s="8"/>
      <c r="AY46" s="8"/>
      <c r="AZ46" s="8"/>
      <c r="BA46" s="8"/>
      <c r="BB46" s="8"/>
      <c r="BC46" s="93"/>
      <c r="BD46" s="142"/>
      <c r="BE46" s="8"/>
      <c r="BF46" s="8"/>
      <c r="BG46" s="8"/>
      <c r="BH46" s="8"/>
      <c r="BI46" s="8"/>
      <c r="BJ46" s="8"/>
      <c r="BK46" s="8"/>
      <c r="BL46" s="8"/>
      <c r="BM46" s="8"/>
      <c r="BN46" s="8"/>
      <c r="BO46" s="8"/>
      <c r="BP46" s="8"/>
      <c r="BQ46" s="8"/>
      <c r="BR46" s="8"/>
      <c r="BS46" s="8"/>
      <c r="BT46" s="8"/>
      <c r="BU46" s="8"/>
      <c r="BV46" s="8"/>
      <c r="BW46" s="8"/>
      <c r="BX46" s="8"/>
      <c r="BY46" s="8"/>
      <c r="BZ46" s="8"/>
      <c r="CA46" s="93"/>
    </row>
    <row r="47" spans="1:79" ht="15.6" customHeight="1" x14ac:dyDescent="0.25">
      <c r="A47" s="7"/>
      <c r="B47" s="8"/>
      <c r="C47" s="8"/>
      <c r="D47" s="8"/>
      <c r="E47" s="8"/>
      <c r="F47" s="8"/>
      <c r="G47" s="93"/>
      <c r="H47" s="142"/>
      <c r="I47" s="8"/>
      <c r="J47" s="9"/>
      <c r="K47" s="8"/>
      <c r="L47" s="8"/>
      <c r="M47" s="93"/>
      <c r="N47" s="8"/>
      <c r="O47" s="93"/>
      <c r="P47" s="142"/>
      <c r="Q47" s="8"/>
      <c r="R47" s="8"/>
      <c r="S47" s="8"/>
      <c r="T47" s="93"/>
      <c r="U47" s="8"/>
      <c r="V47" s="8"/>
      <c r="W47" s="8"/>
      <c r="X47" s="8"/>
      <c r="Y47" s="8"/>
      <c r="Z47" s="8"/>
      <c r="AA47" s="8"/>
      <c r="AB47" s="142"/>
      <c r="AC47" s="8"/>
      <c r="AD47" s="8"/>
      <c r="AE47" s="8"/>
      <c r="AF47" s="93"/>
      <c r="AG47" s="142"/>
      <c r="AH47" s="8"/>
      <c r="AI47" s="8"/>
      <c r="AJ47" s="8"/>
      <c r="AK47" s="93"/>
      <c r="AL47" s="142"/>
      <c r="AM47" s="8"/>
      <c r="AN47" s="8"/>
      <c r="AO47" s="8"/>
      <c r="AP47" s="93"/>
      <c r="AQ47" s="142"/>
      <c r="AR47" s="8"/>
      <c r="AS47" s="8"/>
      <c r="AT47" s="8"/>
      <c r="AU47" s="8"/>
      <c r="AV47" s="8"/>
      <c r="AW47" s="8"/>
      <c r="AX47" s="8"/>
      <c r="AY47" s="8"/>
      <c r="AZ47" s="8"/>
      <c r="BA47" s="8"/>
      <c r="BB47" s="8"/>
      <c r="BC47" s="93"/>
      <c r="BD47" s="142"/>
      <c r="BE47" s="8"/>
      <c r="BF47" s="8"/>
      <c r="BG47" s="8"/>
      <c r="BH47" s="8"/>
      <c r="BI47" s="8"/>
      <c r="BJ47" s="8"/>
      <c r="BK47" s="8"/>
      <c r="BL47" s="8"/>
      <c r="BM47" s="8"/>
      <c r="BN47" s="8"/>
      <c r="BO47" s="8"/>
      <c r="BP47" s="8"/>
      <c r="BQ47" s="8"/>
      <c r="BR47" s="8"/>
      <c r="BS47" s="8"/>
      <c r="BT47" s="8"/>
      <c r="BU47" s="8"/>
      <c r="BV47" s="8"/>
      <c r="BW47" s="8"/>
      <c r="BX47" s="8"/>
      <c r="BY47" s="8"/>
      <c r="BZ47" s="8"/>
      <c r="CA47" s="93"/>
    </row>
    <row r="48" spans="1:79" ht="15.6" customHeight="1" x14ac:dyDescent="0.25">
      <c r="A48" s="7"/>
      <c r="B48" s="8"/>
      <c r="C48" s="8"/>
      <c r="D48" s="8"/>
      <c r="E48" s="8"/>
      <c r="F48" s="8"/>
      <c r="G48" s="93"/>
      <c r="H48" s="142"/>
      <c r="I48" s="8"/>
      <c r="J48" s="9"/>
      <c r="K48" s="8"/>
      <c r="L48" s="8"/>
      <c r="M48" s="93"/>
      <c r="N48" s="8"/>
      <c r="O48" s="93"/>
      <c r="P48" s="142"/>
      <c r="Q48" s="8"/>
      <c r="R48" s="8"/>
      <c r="S48" s="8"/>
      <c r="T48" s="93"/>
      <c r="U48" s="8"/>
      <c r="V48" s="8"/>
      <c r="W48" s="8"/>
      <c r="X48" s="8"/>
      <c r="Y48" s="8"/>
      <c r="Z48" s="8"/>
      <c r="AA48" s="8"/>
      <c r="AB48" s="142"/>
      <c r="AC48" s="8"/>
      <c r="AD48" s="8"/>
      <c r="AE48" s="8"/>
      <c r="AF48" s="93"/>
      <c r="AG48" s="142"/>
      <c r="AH48" s="8"/>
      <c r="AI48" s="8"/>
      <c r="AJ48" s="8"/>
      <c r="AK48" s="93"/>
      <c r="AL48" s="142"/>
      <c r="AM48" s="8"/>
      <c r="AN48" s="8"/>
      <c r="AO48" s="8"/>
      <c r="AP48" s="93"/>
      <c r="AQ48" s="142"/>
      <c r="AR48" s="8"/>
      <c r="AS48" s="8"/>
      <c r="AT48" s="8"/>
      <c r="AU48" s="8"/>
      <c r="AV48" s="8"/>
      <c r="AW48" s="8"/>
      <c r="AX48" s="8"/>
      <c r="AY48" s="8"/>
      <c r="AZ48" s="8"/>
      <c r="BA48" s="8"/>
      <c r="BB48" s="8"/>
      <c r="BC48" s="93"/>
      <c r="BD48" s="142"/>
      <c r="BE48" s="8"/>
      <c r="BF48" s="8"/>
      <c r="BG48" s="8"/>
      <c r="BH48" s="8"/>
      <c r="BI48" s="8"/>
      <c r="BJ48" s="8"/>
      <c r="BK48" s="8"/>
      <c r="BL48" s="8"/>
      <c r="BM48" s="8"/>
      <c r="BN48" s="8"/>
      <c r="BO48" s="8"/>
      <c r="BP48" s="8"/>
      <c r="BQ48" s="8"/>
      <c r="BR48" s="8"/>
      <c r="BS48" s="8"/>
      <c r="BT48" s="8"/>
      <c r="BU48" s="8"/>
      <c r="BV48" s="8"/>
      <c r="BW48" s="8"/>
      <c r="BX48" s="8"/>
      <c r="BY48" s="8"/>
      <c r="BZ48" s="8"/>
      <c r="CA48" s="93"/>
    </row>
    <row r="49" spans="1:79" ht="15.6" customHeight="1" x14ac:dyDescent="0.25">
      <c r="A49" s="7"/>
      <c r="B49" s="8"/>
      <c r="C49" s="8"/>
      <c r="D49" s="8"/>
      <c r="E49" s="8"/>
      <c r="F49" s="8"/>
      <c r="G49" s="93"/>
      <c r="H49" s="142"/>
      <c r="I49" s="8"/>
      <c r="J49" s="9"/>
      <c r="K49" s="8"/>
      <c r="L49" s="8"/>
      <c r="M49" s="93"/>
      <c r="N49" s="8"/>
      <c r="O49" s="93"/>
      <c r="P49" s="142"/>
      <c r="Q49" s="8"/>
      <c r="R49" s="8"/>
      <c r="S49" s="8"/>
      <c r="T49" s="93"/>
      <c r="U49" s="8"/>
      <c r="V49" s="8"/>
      <c r="W49" s="8"/>
      <c r="X49" s="8"/>
      <c r="Y49" s="8"/>
      <c r="Z49" s="8"/>
      <c r="AA49" s="8"/>
      <c r="AB49" s="142"/>
      <c r="AC49" s="8"/>
      <c r="AD49" s="8"/>
      <c r="AE49" s="8"/>
      <c r="AF49" s="93"/>
      <c r="AG49" s="142"/>
      <c r="AH49" s="8"/>
      <c r="AI49" s="8"/>
      <c r="AJ49" s="8"/>
      <c r="AK49" s="93"/>
      <c r="AL49" s="142"/>
      <c r="AM49" s="8"/>
      <c r="AN49" s="8"/>
      <c r="AO49" s="8"/>
      <c r="AP49" s="93"/>
      <c r="AQ49" s="142"/>
      <c r="AR49" s="8"/>
      <c r="AS49" s="8"/>
      <c r="AT49" s="8"/>
      <c r="AU49" s="8"/>
      <c r="AV49" s="8"/>
      <c r="AW49" s="8"/>
      <c r="AX49" s="8"/>
      <c r="AY49" s="8"/>
      <c r="AZ49" s="8"/>
      <c r="BA49" s="8"/>
      <c r="BB49" s="8"/>
      <c r="BC49" s="93"/>
      <c r="BD49" s="142"/>
      <c r="BE49" s="8"/>
      <c r="BF49" s="8"/>
      <c r="BG49" s="8"/>
      <c r="BH49" s="8"/>
      <c r="BI49" s="8"/>
      <c r="BJ49" s="8"/>
      <c r="BK49" s="8"/>
      <c r="BL49" s="8"/>
      <c r="BM49" s="8"/>
      <c r="BN49" s="8"/>
      <c r="BO49" s="8"/>
      <c r="BP49" s="8"/>
      <c r="BQ49" s="8"/>
      <c r="BR49" s="8"/>
      <c r="BS49" s="8"/>
      <c r="BT49" s="8"/>
      <c r="BU49" s="8"/>
      <c r="BV49" s="8"/>
      <c r="BW49" s="8"/>
      <c r="BX49" s="8"/>
      <c r="BY49" s="8"/>
      <c r="BZ49" s="8"/>
      <c r="CA49" s="93"/>
    </row>
    <row r="50" spans="1:79" ht="15.6" customHeight="1" x14ac:dyDescent="0.25">
      <c r="A50" s="7"/>
      <c r="B50" s="8"/>
      <c r="C50" s="8"/>
      <c r="D50" s="8"/>
      <c r="E50" s="8"/>
      <c r="F50" s="8"/>
      <c r="G50" s="93"/>
      <c r="H50" s="142"/>
      <c r="I50" s="8"/>
      <c r="J50" s="9"/>
      <c r="K50" s="8"/>
      <c r="L50" s="8"/>
      <c r="M50" s="93"/>
      <c r="N50" s="8"/>
      <c r="O50" s="93"/>
      <c r="P50" s="142"/>
      <c r="Q50" s="8"/>
      <c r="R50" s="8"/>
      <c r="S50" s="8"/>
      <c r="T50" s="93"/>
      <c r="U50" s="8"/>
      <c r="V50" s="8"/>
      <c r="W50" s="8"/>
      <c r="X50" s="8"/>
      <c r="Y50" s="8"/>
      <c r="Z50" s="8"/>
      <c r="AA50" s="8"/>
      <c r="AB50" s="142"/>
      <c r="AC50" s="8"/>
      <c r="AD50" s="8"/>
      <c r="AE50" s="8"/>
      <c r="AF50" s="93"/>
      <c r="AG50" s="142"/>
      <c r="AH50" s="8"/>
      <c r="AI50" s="8"/>
      <c r="AJ50" s="8"/>
      <c r="AK50" s="93"/>
      <c r="AL50" s="142"/>
      <c r="AM50" s="8"/>
      <c r="AN50" s="8"/>
      <c r="AO50" s="8"/>
      <c r="AP50" s="93"/>
      <c r="AQ50" s="142"/>
      <c r="AR50" s="8"/>
      <c r="AS50" s="8"/>
      <c r="AT50" s="8"/>
      <c r="AU50" s="8"/>
      <c r="AV50" s="8"/>
      <c r="AW50" s="8"/>
      <c r="AX50" s="8"/>
      <c r="AY50" s="8"/>
      <c r="AZ50" s="8"/>
      <c r="BA50" s="8"/>
      <c r="BB50" s="8"/>
      <c r="BC50" s="93"/>
      <c r="BD50" s="142"/>
      <c r="BE50" s="8"/>
      <c r="BF50" s="8"/>
      <c r="BG50" s="8"/>
      <c r="BH50" s="8"/>
      <c r="BI50" s="8"/>
      <c r="BJ50" s="8"/>
      <c r="BK50" s="8"/>
      <c r="BL50" s="8"/>
      <c r="BM50" s="8"/>
      <c r="BN50" s="8"/>
      <c r="BO50" s="8"/>
      <c r="BP50" s="8"/>
      <c r="BQ50" s="8"/>
      <c r="BR50" s="8"/>
      <c r="BS50" s="8"/>
      <c r="BT50" s="8"/>
      <c r="BU50" s="8"/>
      <c r="BV50" s="8"/>
      <c r="BW50" s="8"/>
      <c r="BX50" s="8"/>
      <c r="BY50" s="8"/>
      <c r="BZ50" s="8"/>
      <c r="CA50" s="93"/>
    </row>
    <row r="51" spans="1:79" ht="15.6" customHeight="1" x14ac:dyDescent="0.25">
      <c r="A51" s="7"/>
      <c r="B51" s="8"/>
      <c r="C51" s="8"/>
      <c r="D51" s="8"/>
      <c r="E51" s="8"/>
      <c r="F51" s="8"/>
      <c r="G51" s="93"/>
      <c r="H51" s="142"/>
      <c r="I51" s="8"/>
      <c r="J51" s="9"/>
      <c r="K51" s="8"/>
      <c r="L51" s="8"/>
      <c r="M51" s="93"/>
      <c r="N51" s="8"/>
      <c r="O51" s="93"/>
      <c r="P51" s="142"/>
      <c r="Q51" s="8"/>
      <c r="R51" s="8"/>
      <c r="S51" s="8"/>
      <c r="T51" s="93"/>
      <c r="U51" s="8"/>
      <c r="V51" s="8"/>
      <c r="W51" s="8"/>
      <c r="X51" s="8"/>
      <c r="Y51" s="8"/>
      <c r="Z51" s="8"/>
      <c r="AA51" s="8"/>
      <c r="AB51" s="142"/>
      <c r="AC51" s="8"/>
      <c r="AD51" s="8"/>
      <c r="AE51" s="8"/>
      <c r="AF51" s="93"/>
      <c r="AG51" s="142"/>
      <c r="AH51" s="8"/>
      <c r="AI51" s="8"/>
      <c r="AJ51" s="8"/>
      <c r="AK51" s="93"/>
      <c r="AL51" s="142"/>
      <c r="AM51" s="8"/>
      <c r="AN51" s="8"/>
      <c r="AO51" s="8"/>
      <c r="AP51" s="93"/>
      <c r="AQ51" s="142"/>
      <c r="AR51" s="8"/>
      <c r="AS51" s="8"/>
      <c r="AT51" s="8"/>
      <c r="AU51" s="8"/>
      <c r="AV51" s="8"/>
      <c r="AW51" s="8"/>
      <c r="AX51" s="8"/>
      <c r="AY51" s="8"/>
      <c r="AZ51" s="8"/>
      <c r="BA51" s="8"/>
      <c r="BB51" s="8"/>
      <c r="BC51" s="93"/>
      <c r="BD51" s="142"/>
      <c r="BE51" s="8"/>
      <c r="BF51" s="8"/>
      <c r="BG51" s="8"/>
      <c r="BH51" s="8"/>
      <c r="BI51" s="8"/>
      <c r="BJ51" s="8"/>
      <c r="BK51" s="8"/>
      <c r="BL51" s="8"/>
      <c r="BM51" s="8"/>
      <c r="BN51" s="8"/>
      <c r="BO51" s="8"/>
      <c r="BP51" s="8"/>
      <c r="BQ51" s="8"/>
      <c r="BR51" s="8"/>
      <c r="BS51" s="8"/>
      <c r="BT51" s="8"/>
      <c r="BU51" s="8"/>
      <c r="BV51" s="8"/>
      <c r="BW51" s="8"/>
      <c r="BX51" s="8"/>
      <c r="BY51" s="8"/>
      <c r="BZ51" s="8"/>
      <c r="CA51" s="93"/>
    </row>
    <row r="52" spans="1:79" ht="15.6" customHeight="1" x14ac:dyDescent="0.25">
      <c r="A52" s="7"/>
      <c r="B52" s="8"/>
      <c r="C52" s="8"/>
      <c r="D52" s="8"/>
      <c r="E52" s="8"/>
      <c r="F52" s="8"/>
      <c r="G52" s="93"/>
      <c r="H52" s="142"/>
      <c r="I52" s="8"/>
      <c r="J52" s="9"/>
      <c r="K52" s="8"/>
      <c r="L52" s="8"/>
      <c r="M52" s="93"/>
      <c r="N52" s="8"/>
      <c r="O52" s="93"/>
      <c r="P52" s="142"/>
      <c r="Q52" s="8"/>
      <c r="R52" s="8"/>
      <c r="S52" s="8"/>
      <c r="T52" s="93"/>
      <c r="U52" s="8"/>
      <c r="V52" s="8"/>
      <c r="W52" s="8"/>
      <c r="X52" s="8"/>
      <c r="Y52" s="8"/>
      <c r="Z52" s="8"/>
      <c r="AA52" s="8"/>
      <c r="AB52" s="142"/>
      <c r="AC52" s="8"/>
      <c r="AD52" s="8"/>
      <c r="AE52" s="8"/>
      <c r="AF52" s="93"/>
      <c r="AG52" s="142"/>
      <c r="AH52" s="8"/>
      <c r="AI52" s="8"/>
      <c r="AJ52" s="8"/>
      <c r="AK52" s="93"/>
      <c r="AL52" s="142"/>
      <c r="AM52" s="8"/>
      <c r="AN52" s="8"/>
      <c r="AO52" s="8"/>
      <c r="AP52" s="93"/>
      <c r="AQ52" s="142"/>
      <c r="AR52" s="8"/>
      <c r="AS52" s="8"/>
      <c r="AT52" s="8"/>
      <c r="AU52" s="8"/>
      <c r="AV52" s="8"/>
      <c r="AW52" s="8"/>
      <c r="AX52" s="8"/>
      <c r="AY52" s="8"/>
      <c r="AZ52" s="8"/>
      <c r="BA52" s="8"/>
      <c r="BB52" s="8"/>
      <c r="BC52" s="93"/>
      <c r="BD52" s="142"/>
      <c r="BE52" s="8"/>
      <c r="BF52" s="8"/>
      <c r="BG52" s="8"/>
      <c r="BH52" s="8"/>
      <c r="BI52" s="8"/>
      <c r="BJ52" s="8"/>
      <c r="BK52" s="8"/>
      <c r="BL52" s="8"/>
      <c r="BM52" s="8"/>
      <c r="BN52" s="8"/>
      <c r="BO52" s="8"/>
      <c r="BP52" s="8"/>
      <c r="BQ52" s="8"/>
      <c r="BR52" s="8"/>
      <c r="BS52" s="8"/>
      <c r="BT52" s="8"/>
      <c r="BU52" s="8"/>
      <c r="BV52" s="8"/>
      <c r="BW52" s="8"/>
      <c r="BX52" s="8"/>
      <c r="BY52" s="8"/>
      <c r="BZ52" s="8"/>
      <c r="CA52" s="93"/>
    </row>
    <row r="53" spans="1:79" ht="15.6" customHeight="1" x14ac:dyDescent="0.25">
      <c r="A53" s="7"/>
      <c r="B53" s="8"/>
      <c r="C53" s="8"/>
      <c r="D53" s="8"/>
      <c r="E53" s="8"/>
      <c r="F53" s="8"/>
      <c r="G53" s="93"/>
      <c r="H53" s="142"/>
      <c r="I53" s="8"/>
      <c r="J53" s="9"/>
      <c r="K53" s="8"/>
      <c r="L53" s="8"/>
      <c r="M53" s="93"/>
      <c r="N53" s="8"/>
      <c r="O53" s="93"/>
      <c r="P53" s="142"/>
      <c r="Q53" s="8"/>
      <c r="R53" s="8"/>
      <c r="S53" s="8"/>
      <c r="T53" s="93"/>
      <c r="U53" s="8"/>
      <c r="V53" s="8"/>
      <c r="W53" s="8"/>
      <c r="X53" s="8"/>
      <c r="Y53" s="8"/>
      <c r="Z53" s="8"/>
      <c r="AA53" s="8"/>
      <c r="AB53" s="142"/>
      <c r="AC53" s="8"/>
      <c r="AD53" s="8"/>
      <c r="AE53" s="8"/>
      <c r="AF53" s="93"/>
      <c r="AG53" s="142"/>
      <c r="AH53" s="8"/>
      <c r="AI53" s="8"/>
      <c r="AJ53" s="8"/>
      <c r="AK53" s="93"/>
      <c r="AL53" s="142"/>
      <c r="AM53" s="8"/>
      <c r="AN53" s="8"/>
      <c r="AO53" s="8"/>
      <c r="AP53" s="93"/>
      <c r="AQ53" s="142"/>
      <c r="AR53" s="8"/>
      <c r="AS53" s="8"/>
      <c r="AT53" s="8"/>
      <c r="AU53" s="8"/>
      <c r="AV53" s="8"/>
      <c r="AW53" s="8"/>
      <c r="AX53" s="8"/>
      <c r="AY53" s="8"/>
      <c r="AZ53" s="8"/>
      <c r="BA53" s="8"/>
      <c r="BB53" s="8"/>
      <c r="BC53" s="93"/>
      <c r="BD53" s="142"/>
      <c r="BE53" s="8"/>
      <c r="BF53" s="8"/>
      <c r="BG53" s="8"/>
      <c r="BH53" s="8"/>
      <c r="BI53" s="8"/>
      <c r="BJ53" s="8"/>
      <c r="BK53" s="8"/>
      <c r="BL53" s="8"/>
      <c r="BM53" s="8"/>
      <c r="BN53" s="8"/>
      <c r="BO53" s="8"/>
      <c r="BP53" s="8"/>
      <c r="BQ53" s="8"/>
      <c r="BR53" s="8"/>
      <c r="BS53" s="8"/>
      <c r="BT53" s="8"/>
      <c r="BU53" s="8"/>
      <c r="BV53" s="8"/>
      <c r="BW53" s="8"/>
      <c r="BX53" s="8"/>
      <c r="BY53" s="8"/>
      <c r="BZ53" s="8"/>
      <c r="CA53" s="93"/>
    </row>
    <row r="54" spans="1:79" ht="15.6" customHeight="1" x14ac:dyDescent="0.25">
      <c r="A54" s="7"/>
      <c r="B54" s="8"/>
      <c r="C54" s="8"/>
      <c r="D54" s="8"/>
      <c r="E54" s="8"/>
      <c r="F54" s="8"/>
      <c r="G54" s="93"/>
      <c r="H54" s="142"/>
      <c r="I54" s="8"/>
      <c r="J54" s="9"/>
      <c r="K54" s="8"/>
      <c r="L54" s="8"/>
      <c r="M54" s="93"/>
      <c r="N54" s="8"/>
      <c r="O54" s="93"/>
      <c r="P54" s="142"/>
      <c r="Q54" s="8"/>
      <c r="R54" s="8"/>
      <c r="S54" s="8"/>
      <c r="T54" s="93"/>
      <c r="U54" s="8"/>
      <c r="V54" s="8"/>
      <c r="W54" s="8"/>
      <c r="X54" s="8"/>
      <c r="Y54" s="8"/>
      <c r="Z54" s="8"/>
      <c r="AA54" s="8"/>
      <c r="AB54" s="142"/>
      <c r="AC54" s="8"/>
      <c r="AD54" s="8"/>
      <c r="AE54" s="8"/>
      <c r="AF54" s="93"/>
      <c r="AG54" s="142"/>
      <c r="AH54" s="8"/>
      <c r="AI54" s="8"/>
      <c r="AJ54" s="8"/>
      <c r="AK54" s="93"/>
      <c r="AL54" s="142"/>
      <c r="AM54" s="8"/>
      <c r="AN54" s="8"/>
      <c r="AO54" s="8"/>
      <c r="AP54" s="93"/>
      <c r="AQ54" s="142"/>
      <c r="AR54" s="8"/>
      <c r="AS54" s="8"/>
      <c r="AT54" s="8"/>
      <c r="AU54" s="8"/>
      <c r="AV54" s="8"/>
      <c r="AW54" s="8"/>
      <c r="AX54" s="8"/>
      <c r="AY54" s="8"/>
      <c r="AZ54" s="8"/>
      <c r="BA54" s="8"/>
      <c r="BB54" s="8"/>
      <c r="BC54" s="93"/>
      <c r="BD54" s="142"/>
      <c r="BE54" s="8"/>
      <c r="BF54" s="8"/>
      <c r="BG54" s="8"/>
      <c r="BH54" s="8"/>
      <c r="BI54" s="8"/>
      <c r="BJ54" s="8"/>
      <c r="BK54" s="8"/>
      <c r="BL54" s="8"/>
      <c r="BM54" s="8"/>
      <c r="BN54" s="8"/>
      <c r="BO54" s="8"/>
      <c r="BP54" s="8"/>
      <c r="BQ54" s="8"/>
      <c r="BR54" s="8"/>
      <c r="BS54" s="8"/>
      <c r="BT54" s="8"/>
      <c r="BU54" s="8"/>
      <c r="BV54" s="8"/>
      <c r="BW54" s="8"/>
      <c r="BX54" s="8"/>
      <c r="BY54" s="8"/>
      <c r="BZ54" s="8"/>
      <c r="CA54" s="93"/>
    </row>
    <row r="55" spans="1:79" ht="15.6" customHeight="1" x14ac:dyDescent="0.25">
      <c r="A55" s="7"/>
      <c r="B55" s="8"/>
      <c r="C55" s="8"/>
      <c r="D55" s="8"/>
      <c r="E55" s="8"/>
      <c r="F55" s="8"/>
      <c r="G55" s="93"/>
      <c r="H55" s="142"/>
      <c r="I55" s="8"/>
      <c r="J55" s="9"/>
      <c r="K55" s="8"/>
      <c r="L55" s="8"/>
      <c r="M55" s="93"/>
      <c r="N55" s="8"/>
      <c r="O55" s="93"/>
      <c r="P55" s="142"/>
      <c r="Q55" s="8"/>
      <c r="R55" s="8"/>
      <c r="S55" s="8"/>
      <c r="T55" s="93"/>
      <c r="U55" s="8"/>
      <c r="V55" s="8"/>
      <c r="W55" s="8"/>
      <c r="X55" s="8"/>
      <c r="Y55" s="8"/>
      <c r="Z55" s="8"/>
      <c r="AA55" s="8"/>
      <c r="AB55" s="142"/>
      <c r="AC55" s="8"/>
      <c r="AD55" s="8"/>
      <c r="AE55" s="8"/>
      <c r="AF55" s="93"/>
      <c r="AG55" s="142"/>
      <c r="AH55" s="8"/>
      <c r="AI55" s="8"/>
      <c r="AJ55" s="8"/>
      <c r="AK55" s="93"/>
      <c r="AL55" s="142"/>
      <c r="AM55" s="8"/>
      <c r="AN55" s="8"/>
      <c r="AO55" s="8"/>
      <c r="AP55" s="93"/>
      <c r="AQ55" s="142"/>
      <c r="AR55" s="8"/>
      <c r="AS55" s="8"/>
      <c r="AT55" s="8"/>
      <c r="AU55" s="8"/>
      <c r="AV55" s="8"/>
      <c r="AW55" s="8"/>
      <c r="AX55" s="8"/>
      <c r="AY55" s="8"/>
      <c r="AZ55" s="8"/>
      <c r="BA55" s="8"/>
      <c r="BB55" s="8"/>
      <c r="BC55" s="93"/>
      <c r="BD55" s="142"/>
      <c r="BE55" s="8"/>
      <c r="BF55" s="8"/>
      <c r="BG55" s="8"/>
      <c r="BH55" s="8"/>
      <c r="BI55" s="8"/>
      <c r="BJ55" s="8"/>
      <c r="BK55" s="8"/>
      <c r="BL55" s="8"/>
      <c r="BM55" s="8"/>
      <c r="BN55" s="8"/>
      <c r="BO55" s="8"/>
      <c r="BP55" s="8"/>
      <c r="BQ55" s="8"/>
      <c r="BR55" s="8"/>
      <c r="BS55" s="8"/>
      <c r="BT55" s="8"/>
      <c r="BU55" s="8"/>
      <c r="BV55" s="8"/>
      <c r="BW55" s="8"/>
      <c r="BX55" s="8"/>
      <c r="BY55" s="8"/>
      <c r="BZ55" s="8"/>
      <c r="CA55" s="93"/>
    </row>
    <row r="56" spans="1:79" ht="15.6" customHeight="1" x14ac:dyDescent="0.25">
      <c r="A56" s="7"/>
      <c r="B56" s="8"/>
      <c r="C56" s="8"/>
      <c r="D56" s="8"/>
      <c r="E56" s="8"/>
      <c r="F56" s="8"/>
      <c r="G56" s="93"/>
      <c r="H56" s="142"/>
      <c r="I56" s="8"/>
      <c r="J56" s="9"/>
      <c r="K56" s="8"/>
      <c r="L56" s="8"/>
      <c r="M56" s="93"/>
      <c r="N56" s="8"/>
      <c r="O56" s="93"/>
      <c r="P56" s="142"/>
      <c r="Q56" s="8"/>
      <c r="R56" s="8"/>
      <c r="S56" s="8"/>
      <c r="T56" s="93"/>
      <c r="U56" s="8"/>
      <c r="V56" s="8"/>
      <c r="W56" s="8"/>
      <c r="X56" s="8"/>
      <c r="Y56" s="8"/>
      <c r="Z56" s="8"/>
      <c r="AA56" s="8"/>
      <c r="AB56" s="142"/>
      <c r="AC56" s="8"/>
      <c r="AD56" s="8"/>
      <c r="AE56" s="8"/>
      <c r="AF56" s="93"/>
      <c r="AG56" s="142"/>
      <c r="AH56" s="8"/>
      <c r="AI56" s="8"/>
      <c r="AJ56" s="8"/>
      <c r="AK56" s="93"/>
      <c r="AL56" s="142"/>
      <c r="AM56" s="8"/>
      <c r="AN56" s="8"/>
      <c r="AO56" s="8"/>
      <c r="AP56" s="93"/>
      <c r="AQ56" s="142"/>
      <c r="AR56" s="8"/>
      <c r="AS56" s="8"/>
      <c r="AT56" s="8"/>
      <c r="AU56" s="8"/>
      <c r="AV56" s="8"/>
      <c r="AW56" s="8"/>
      <c r="AX56" s="8"/>
      <c r="AY56" s="8"/>
      <c r="AZ56" s="8"/>
      <c r="BA56" s="8"/>
      <c r="BB56" s="8"/>
      <c r="BC56" s="93"/>
      <c r="BD56" s="142"/>
      <c r="BE56" s="8"/>
      <c r="BF56" s="8"/>
      <c r="BG56" s="8"/>
      <c r="BH56" s="8"/>
      <c r="BI56" s="8"/>
      <c r="BJ56" s="8"/>
      <c r="BK56" s="8"/>
      <c r="BL56" s="8"/>
      <c r="BM56" s="8"/>
      <c r="BN56" s="8"/>
      <c r="BO56" s="8"/>
      <c r="BP56" s="8"/>
      <c r="BQ56" s="8"/>
      <c r="BR56" s="8"/>
      <c r="BS56" s="8"/>
      <c r="BT56" s="8"/>
      <c r="BU56" s="8"/>
      <c r="BV56" s="8"/>
      <c r="BW56" s="8"/>
      <c r="BX56" s="8"/>
      <c r="BY56" s="8"/>
      <c r="BZ56" s="8"/>
      <c r="CA56" s="93"/>
    </row>
    <row r="57" spans="1:79" ht="15.6" customHeight="1" x14ac:dyDescent="0.25">
      <c r="A57" s="7"/>
      <c r="B57" s="8"/>
      <c r="C57" s="8"/>
      <c r="D57" s="8"/>
      <c r="E57" s="8"/>
      <c r="F57" s="8"/>
      <c r="G57" s="93"/>
      <c r="H57" s="142"/>
      <c r="I57" s="8"/>
      <c r="J57" s="9"/>
      <c r="K57" s="8"/>
      <c r="L57" s="8"/>
      <c r="M57" s="93"/>
      <c r="N57" s="8"/>
      <c r="O57" s="93"/>
      <c r="P57" s="142"/>
      <c r="Q57" s="8"/>
      <c r="R57" s="8"/>
      <c r="S57" s="8"/>
      <c r="T57" s="93"/>
      <c r="U57" s="8"/>
      <c r="V57" s="8"/>
      <c r="W57" s="8"/>
      <c r="X57" s="8"/>
      <c r="Y57" s="8"/>
      <c r="Z57" s="8"/>
      <c r="AA57" s="8"/>
      <c r="AB57" s="142"/>
      <c r="AC57" s="8"/>
      <c r="AD57" s="8"/>
      <c r="AE57" s="8"/>
      <c r="AF57" s="93"/>
      <c r="AG57" s="142"/>
      <c r="AH57" s="8"/>
      <c r="AI57" s="8"/>
      <c r="AJ57" s="8"/>
      <c r="AK57" s="93"/>
      <c r="AL57" s="142"/>
      <c r="AM57" s="8"/>
      <c r="AN57" s="8"/>
      <c r="AO57" s="8"/>
      <c r="AP57" s="93"/>
      <c r="AQ57" s="142"/>
      <c r="AR57" s="8"/>
      <c r="AS57" s="8"/>
      <c r="AT57" s="8"/>
      <c r="AU57" s="8"/>
      <c r="AV57" s="8"/>
      <c r="AW57" s="8"/>
      <c r="AX57" s="8"/>
      <c r="AY57" s="8"/>
      <c r="AZ57" s="8"/>
      <c r="BA57" s="8"/>
      <c r="BB57" s="8"/>
      <c r="BC57" s="93"/>
      <c r="BD57" s="142"/>
      <c r="BE57" s="8"/>
      <c r="BF57" s="8"/>
      <c r="BG57" s="8"/>
      <c r="BH57" s="8"/>
      <c r="BI57" s="8"/>
      <c r="BJ57" s="8"/>
      <c r="BK57" s="8"/>
      <c r="BL57" s="8"/>
      <c r="BM57" s="8"/>
      <c r="BN57" s="8"/>
      <c r="BO57" s="8"/>
      <c r="BP57" s="8"/>
      <c r="BQ57" s="8"/>
      <c r="BR57" s="8"/>
      <c r="BS57" s="8"/>
      <c r="BT57" s="8"/>
      <c r="BU57" s="8"/>
      <c r="BV57" s="8"/>
      <c r="BW57" s="8"/>
      <c r="BX57" s="8"/>
      <c r="BY57" s="8"/>
      <c r="BZ57" s="8"/>
      <c r="CA57" s="93"/>
    </row>
    <row r="58" spans="1:79" ht="15.6" customHeight="1" x14ac:dyDescent="0.25">
      <c r="A58" s="7"/>
      <c r="B58" s="8"/>
      <c r="C58" s="8"/>
      <c r="D58" s="8"/>
      <c r="E58" s="8"/>
      <c r="F58" s="8"/>
      <c r="G58" s="93"/>
      <c r="H58" s="142"/>
      <c r="I58" s="8"/>
      <c r="J58" s="9"/>
      <c r="K58" s="8"/>
      <c r="L58" s="8"/>
      <c r="M58" s="93"/>
      <c r="N58" s="8"/>
      <c r="O58" s="93"/>
      <c r="P58" s="142"/>
      <c r="Q58" s="8"/>
      <c r="R58" s="8"/>
      <c r="S58" s="8"/>
      <c r="T58" s="93"/>
      <c r="U58" s="8"/>
      <c r="V58" s="8"/>
      <c r="W58" s="8"/>
      <c r="X58" s="8"/>
      <c r="Y58" s="8"/>
      <c r="Z58" s="8"/>
      <c r="AA58" s="8"/>
      <c r="AB58" s="142"/>
      <c r="AC58" s="8"/>
      <c r="AD58" s="8"/>
      <c r="AE58" s="8"/>
      <c r="AF58" s="93"/>
      <c r="AG58" s="142"/>
      <c r="AH58" s="8"/>
      <c r="AI58" s="8"/>
      <c r="AJ58" s="8"/>
      <c r="AK58" s="93"/>
      <c r="AL58" s="142"/>
      <c r="AM58" s="8"/>
      <c r="AN58" s="8"/>
      <c r="AO58" s="8"/>
      <c r="AP58" s="93"/>
      <c r="AQ58" s="142"/>
      <c r="AR58" s="8"/>
      <c r="AS58" s="8"/>
      <c r="AT58" s="8"/>
      <c r="AU58" s="8"/>
      <c r="AV58" s="8"/>
      <c r="AW58" s="8"/>
      <c r="AX58" s="8"/>
      <c r="AY58" s="8"/>
      <c r="AZ58" s="8"/>
      <c r="BA58" s="8"/>
      <c r="BB58" s="8"/>
      <c r="BC58" s="93"/>
      <c r="BD58" s="142"/>
      <c r="BE58" s="8"/>
      <c r="BF58" s="8"/>
      <c r="BG58" s="8"/>
      <c r="BH58" s="8"/>
      <c r="BI58" s="8"/>
      <c r="BJ58" s="8"/>
      <c r="BK58" s="8"/>
      <c r="BL58" s="8"/>
      <c r="BM58" s="8"/>
      <c r="BN58" s="8"/>
      <c r="BO58" s="8"/>
      <c r="BP58" s="8"/>
      <c r="BQ58" s="8"/>
      <c r="BR58" s="8"/>
      <c r="BS58" s="8"/>
      <c r="BT58" s="8"/>
      <c r="BU58" s="8"/>
      <c r="BV58" s="8"/>
      <c r="BW58" s="8"/>
      <c r="BX58" s="8"/>
      <c r="BY58" s="8"/>
      <c r="BZ58" s="8"/>
      <c r="CA58" s="93"/>
    </row>
    <row r="59" spans="1:79" ht="15.6" customHeight="1" x14ac:dyDescent="0.25">
      <c r="A59" s="7"/>
      <c r="B59" s="8"/>
      <c r="C59" s="8"/>
      <c r="D59" s="8"/>
      <c r="E59" s="8"/>
      <c r="F59" s="8"/>
      <c r="G59" s="93"/>
      <c r="H59" s="142"/>
      <c r="I59" s="8"/>
      <c r="J59" s="9"/>
      <c r="K59" s="8"/>
      <c r="L59" s="8"/>
      <c r="M59" s="93"/>
      <c r="N59" s="8"/>
      <c r="O59" s="93"/>
      <c r="P59" s="142"/>
      <c r="Q59" s="8"/>
      <c r="R59" s="8"/>
      <c r="S59" s="8"/>
      <c r="T59" s="93"/>
      <c r="U59" s="8"/>
      <c r="V59" s="8"/>
      <c r="W59" s="8"/>
      <c r="X59" s="8"/>
      <c r="Y59" s="8"/>
      <c r="Z59" s="8"/>
      <c r="AA59" s="8"/>
      <c r="AB59" s="142"/>
      <c r="AC59" s="8"/>
      <c r="AD59" s="8"/>
      <c r="AE59" s="8"/>
      <c r="AF59" s="93"/>
      <c r="AG59" s="142"/>
      <c r="AH59" s="8"/>
      <c r="AI59" s="8"/>
      <c r="AJ59" s="8"/>
      <c r="AK59" s="93"/>
      <c r="AL59" s="142"/>
      <c r="AM59" s="8"/>
      <c r="AN59" s="8"/>
      <c r="AO59" s="8"/>
      <c r="AP59" s="93"/>
      <c r="AQ59" s="142"/>
      <c r="AR59" s="8"/>
      <c r="AS59" s="8"/>
      <c r="AT59" s="8"/>
      <c r="AU59" s="8"/>
      <c r="AV59" s="8"/>
      <c r="AW59" s="8"/>
      <c r="AX59" s="8"/>
      <c r="AY59" s="8"/>
      <c r="AZ59" s="8"/>
      <c r="BA59" s="8"/>
      <c r="BB59" s="8"/>
      <c r="BC59" s="93"/>
      <c r="BD59" s="142"/>
      <c r="BE59" s="8"/>
      <c r="BF59" s="8"/>
      <c r="BG59" s="8"/>
      <c r="BH59" s="8"/>
      <c r="BI59" s="8"/>
      <c r="BJ59" s="8"/>
      <c r="BK59" s="8"/>
      <c r="BL59" s="8"/>
      <c r="BM59" s="8"/>
      <c r="BN59" s="8"/>
      <c r="BO59" s="8"/>
      <c r="BP59" s="8"/>
      <c r="BQ59" s="8"/>
      <c r="BR59" s="8"/>
      <c r="BS59" s="8"/>
      <c r="BT59" s="8"/>
      <c r="BU59" s="8"/>
      <c r="BV59" s="8"/>
      <c r="BW59" s="8"/>
      <c r="BX59" s="8"/>
      <c r="BY59" s="8"/>
      <c r="BZ59" s="8"/>
      <c r="CA59" s="93"/>
    </row>
    <row r="60" spans="1:79" ht="15.6" customHeight="1" x14ac:dyDescent="0.25">
      <c r="A60" s="7"/>
      <c r="B60" s="8"/>
      <c r="C60" s="8"/>
      <c r="D60" s="8"/>
      <c r="E60" s="8"/>
      <c r="F60" s="8"/>
      <c r="G60" s="93"/>
      <c r="H60" s="142"/>
      <c r="I60" s="8"/>
      <c r="J60" s="9"/>
      <c r="K60" s="8"/>
      <c r="L60" s="8"/>
      <c r="M60" s="93"/>
      <c r="N60" s="8"/>
      <c r="O60" s="93"/>
      <c r="P60" s="142"/>
      <c r="Q60" s="8"/>
      <c r="R60" s="8"/>
      <c r="S60" s="8"/>
      <c r="T60" s="93"/>
      <c r="U60" s="8"/>
      <c r="V60" s="8"/>
      <c r="W60" s="8"/>
      <c r="X60" s="8"/>
      <c r="Y60" s="8"/>
      <c r="Z60" s="8"/>
      <c r="AA60" s="8"/>
      <c r="AB60" s="142"/>
      <c r="AC60" s="8"/>
      <c r="AD60" s="8"/>
      <c r="AE60" s="8"/>
      <c r="AF60" s="93"/>
      <c r="AG60" s="142"/>
      <c r="AH60" s="8"/>
      <c r="AI60" s="8"/>
      <c r="AJ60" s="8"/>
      <c r="AK60" s="93"/>
      <c r="AL60" s="142"/>
      <c r="AM60" s="8"/>
      <c r="AN60" s="8"/>
      <c r="AO60" s="8"/>
      <c r="AP60" s="93"/>
      <c r="AQ60" s="142"/>
      <c r="AR60" s="8"/>
      <c r="AS60" s="8"/>
      <c r="AT60" s="8"/>
      <c r="AU60" s="8"/>
      <c r="AV60" s="8"/>
      <c r="AW60" s="8"/>
      <c r="AX60" s="8"/>
      <c r="AY60" s="8"/>
      <c r="AZ60" s="8"/>
      <c r="BA60" s="8"/>
      <c r="BB60" s="8"/>
      <c r="BC60" s="93"/>
      <c r="BD60" s="142"/>
      <c r="BE60" s="8"/>
      <c r="BF60" s="8"/>
      <c r="BG60" s="8"/>
      <c r="BH60" s="8"/>
      <c r="BI60" s="8"/>
      <c r="BJ60" s="8"/>
      <c r="BK60" s="8"/>
      <c r="BL60" s="8"/>
      <c r="BM60" s="8"/>
      <c r="BN60" s="8"/>
      <c r="BO60" s="8"/>
      <c r="BP60" s="8"/>
      <c r="BQ60" s="8"/>
      <c r="BR60" s="8"/>
      <c r="BS60" s="8"/>
      <c r="BT60" s="8"/>
      <c r="BU60" s="8"/>
      <c r="BV60" s="8"/>
      <c r="BW60" s="8"/>
      <c r="BX60" s="8"/>
      <c r="BY60" s="8"/>
      <c r="BZ60" s="8"/>
      <c r="CA60" s="93"/>
    </row>
    <row r="61" spans="1:79" ht="15.6" customHeight="1" x14ac:dyDescent="0.25">
      <c r="A61" s="7"/>
      <c r="B61" s="8"/>
      <c r="C61" s="8"/>
      <c r="D61" s="8"/>
      <c r="E61" s="8"/>
      <c r="F61" s="8"/>
      <c r="G61" s="93"/>
      <c r="H61" s="142"/>
      <c r="I61" s="8"/>
      <c r="J61" s="9"/>
      <c r="K61" s="8"/>
      <c r="L61" s="8"/>
      <c r="M61" s="93"/>
      <c r="N61" s="8"/>
      <c r="O61" s="93"/>
      <c r="P61" s="142"/>
      <c r="Q61" s="8"/>
      <c r="R61" s="8"/>
      <c r="S61" s="8"/>
      <c r="T61" s="93"/>
      <c r="U61" s="8"/>
      <c r="V61" s="8"/>
      <c r="W61" s="8"/>
      <c r="X61" s="8"/>
      <c r="Y61" s="8"/>
      <c r="Z61" s="8"/>
      <c r="AA61" s="8"/>
      <c r="AB61" s="142"/>
      <c r="AC61" s="8"/>
      <c r="AD61" s="8"/>
      <c r="AE61" s="8"/>
      <c r="AF61" s="93"/>
      <c r="AG61" s="142"/>
      <c r="AH61" s="8"/>
      <c r="AI61" s="8"/>
      <c r="AJ61" s="8"/>
      <c r="AK61" s="93"/>
      <c r="AL61" s="142"/>
      <c r="AM61" s="8"/>
      <c r="AN61" s="8"/>
      <c r="AO61" s="8"/>
      <c r="AP61" s="93"/>
      <c r="AQ61" s="142"/>
      <c r="AR61" s="8"/>
      <c r="AS61" s="8"/>
      <c r="AT61" s="8"/>
      <c r="AU61" s="8"/>
      <c r="AV61" s="8"/>
      <c r="AW61" s="8"/>
      <c r="AX61" s="8"/>
      <c r="AY61" s="8"/>
      <c r="AZ61" s="8"/>
      <c r="BA61" s="8"/>
      <c r="BB61" s="8"/>
      <c r="BC61" s="93"/>
      <c r="BD61" s="142"/>
      <c r="BE61" s="8"/>
      <c r="BF61" s="8"/>
      <c r="BG61" s="8"/>
      <c r="BH61" s="8"/>
      <c r="BI61" s="8"/>
      <c r="BJ61" s="8"/>
      <c r="BK61" s="8"/>
      <c r="BL61" s="8"/>
      <c r="BM61" s="8"/>
      <c r="BN61" s="8"/>
      <c r="BO61" s="8"/>
      <c r="BP61" s="8"/>
      <c r="BQ61" s="8"/>
      <c r="BR61" s="8"/>
      <c r="BS61" s="8"/>
      <c r="BT61" s="8"/>
      <c r="BU61" s="8"/>
      <c r="BV61" s="8"/>
      <c r="BW61" s="8"/>
      <c r="BX61" s="8"/>
      <c r="BY61" s="8"/>
      <c r="BZ61" s="8"/>
      <c r="CA61" s="93"/>
    </row>
    <row r="62" spans="1:79" ht="15.6" customHeight="1" x14ac:dyDescent="0.25">
      <c r="A62" s="7"/>
      <c r="B62" s="8"/>
      <c r="C62" s="8"/>
      <c r="D62" s="8"/>
      <c r="E62" s="8"/>
      <c r="F62" s="8"/>
      <c r="G62" s="93"/>
      <c r="H62" s="142"/>
      <c r="I62" s="8"/>
      <c r="J62" s="9"/>
      <c r="K62" s="8"/>
      <c r="L62" s="8"/>
      <c r="M62" s="93"/>
      <c r="N62" s="8"/>
      <c r="O62" s="93"/>
      <c r="P62" s="142"/>
      <c r="Q62" s="8"/>
      <c r="R62" s="8"/>
      <c r="S62" s="8"/>
      <c r="T62" s="93"/>
      <c r="U62" s="8"/>
      <c r="V62" s="8"/>
      <c r="W62" s="8"/>
      <c r="X62" s="8"/>
      <c r="Y62" s="8"/>
      <c r="Z62" s="8"/>
      <c r="AA62" s="8"/>
      <c r="AB62" s="142"/>
      <c r="AC62" s="8"/>
      <c r="AD62" s="8"/>
      <c r="AE62" s="8"/>
      <c r="AF62" s="93"/>
      <c r="AG62" s="142"/>
      <c r="AH62" s="8"/>
      <c r="AI62" s="8"/>
      <c r="AJ62" s="8"/>
      <c r="AK62" s="93"/>
      <c r="AL62" s="142"/>
      <c r="AM62" s="8"/>
      <c r="AN62" s="8"/>
      <c r="AO62" s="8"/>
      <c r="AP62" s="93"/>
      <c r="AQ62" s="142"/>
      <c r="AR62" s="8"/>
      <c r="AS62" s="8"/>
      <c r="AT62" s="8"/>
      <c r="AU62" s="8"/>
      <c r="AV62" s="8"/>
      <c r="AW62" s="8"/>
      <c r="AX62" s="8"/>
      <c r="AY62" s="8"/>
      <c r="AZ62" s="8"/>
      <c r="BA62" s="8"/>
      <c r="BB62" s="8"/>
      <c r="BC62" s="93"/>
      <c r="BD62" s="142"/>
      <c r="BE62" s="8"/>
      <c r="BF62" s="8"/>
      <c r="BG62" s="8"/>
      <c r="BH62" s="8"/>
      <c r="BI62" s="8"/>
      <c r="BJ62" s="8"/>
      <c r="BK62" s="8"/>
      <c r="BL62" s="8"/>
      <c r="BM62" s="8"/>
      <c r="BN62" s="8"/>
      <c r="BO62" s="8"/>
      <c r="BP62" s="8"/>
      <c r="BQ62" s="8"/>
      <c r="BR62" s="8"/>
      <c r="BS62" s="8"/>
      <c r="BT62" s="8"/>
      <c r="BU62" s="8"/>
      <c r="BV62" s="8"/>
      <c r="BW62" s="8"/>
      <c r="BX62" s="8"/>
      <c r="BY62" s="8"/>
      <c r="BZ62" s="8"/>
      <c r="CA62" s="93"/>
    </row>
    <row r="63" spans="1:79" ht="15.6" customHeight="1" x14ac:dyDescent="0.25">
      <c r="A63" s="7"/>
      <c r="B63" s="8"/>
      <c r="C63" s="8"/>
      <c r="D63" s="8"/>
      <c r="E63" s="8"/>
      <c r="F63" s="8"/>
      <c r="G63" s="93"/>
      <c r="H63" s="142"/>
      <c r="I63" s="8"/>
      <c r="J63" s="9"/>
      <c r="K63" s="8"/>
      <c r="L63" s="8"/>
      <c r="M63" s="93"/>
      <c r="N63" s="8"/>
      <c r="O63" s="93"/>
      <c r="P63" s="142"/>
      <c r="Q63" s="8"/>
      <c r="R63" s="8"/>
      <c r="S63" s="8"/>
      <c r="T63" s="93"/>
      <c r="U63" s="8"/>
      <c r="V63" s="8"/>
      <c r="W63" s="8"/>
      <c r="X63" s="8"/>
      <c r="Y63" s="8"/>
      <c r="Z63" s="8"/>
      <c r="AA63" s="8"/>
      <c r="AB63" s="142"/>
      <c r="AC63" s="8"/>
      <c r="AD63" s="8"/>
      <c r="AE63" s="8"/>
      <c r="AF63" s="93"/>
      <c r="AG63" s="142"/>
      <c r="AH63" s="8"/>
      <c r="AI63" s="8"/>
      <c r="AJ63" s="8"/>
      <c r="AK63" s="93"/>
      <c r="AL63" s="142"/>
      <c r="AM63" s="8"/>
      <c r="AN63" s="8"/>
      <c r="AO63" s="8"/>
      <c r="AP63" s="93"/>
      <c r="AQ63" s="142"/>
      <c r="AR63" s="8"/>
      <c r="AS63" s="8"/>
      <c r="AT63" s="8"/>
      <c r="AU63" s="8"/>
      <c r="AV63" s="8"/>
      <c r="AW63" s="8"/>
      <c r="AX63" s="8"/>
      <c r="AY63" s="8"/>
      <c r="AZ63" s="8"/>
      <c r="BA63" s="8"/>
      <c r="BB63" s="8"/>
      <c r="BC63" s="93"/>
      <c r="BD63" s="142"/>
      <c r="BE63" s="8"/>
      <c r="BF63" s="8"/>
      <c r="BG63" s="8"/>
      <c r="BH63" s="8"/>
      <c r="BI63" s="8"/>
      <c r="BJ63" s="8"/>
      <c r="BK63" s="8"/>
      <c r="BL63" s="8"/>
      <c r="BM63" s="8"/>
      <c r="BN63" s="8"/>
      <c r="BO63" s="8"/>
      <c r="BP63" s="8"/>
      <c r="BQ63" s="8"/>
      <c r="BR63" s="8"/>
      <c r="BS63" s="8"/>
      <c r="BT63" s="8"/>
      <c r="BU63" s="8"/>
      <c r="BV63" s="8"/>
      <c r="BW63" s="8"/>
      <c r="BX63" s="8"/>
      <c r="BY63" s="8"/>
      <c r="BZ63" s="8"/>
      <c r="CA63" s="93"/>
    </row>
    <row r="64" spans="1:79" ht="15.6" customHeight="1" x14ac:dyDescent="0.25">
      <c r="A64" s="7"/>
      <c r="B64" s="8"/>
      <c r="C64" s="8"/>
      <c r="D64" s="8"/>
      <c r="E64" s="8"/>
      <c r="F64" s="8"/>
      <c r="G64" s="93"/>
      <c r="H64" s="142"/>
      <c r="I64" s="8"/>
      <c r="J64" s="9"/>
      <c r="K64" s="8"/>
      <c r="L64" s="8"/>
      <c r="M64" s="93"/>
      <c r="N64" s="8"/>
      <c r="O64" s="93"/>
      <c r="P64" s="142"/>
      <c r="Q64" s="8"/>
      <c r="R64" s="8"/>
      <c r="S64" s="8"/>
      <c r="T64" s="93"/>
      <c r="U64" s="8"/>
      <c r="V64" s="8"/>
      <c r="W64" s="8"/>
      <c r="X64" s="8"/>
      <c r="Y64" s="8"/>
      <c r="Z64" s="8"/>
      <c r="AA64" s="8"/>
      <c r="AB64" s="142"/>
      <c r="AC64" s="8"/>
      <c r="AD64" s="8"/>
      <c r="AE64" s="8"/>
      <c r="AF64" s="93"/>
      <c r="AG64" s="142"/>
      <c r="AH64" s="8"/>
      <c r="AI64" s="8"/>
      <c r="AJ64" s="8"/>
      <c r="AK64" s="93"/>
      <c r="AL64" s="142"/>
      <c r="AM64" s="8"/>
      <c r="AN64" s="8"/>
      <c r="AO64" s="8"/>
      <c r="AP64" s="93"/>
      <c r="AQ64" s="142"/>
      <c r="AR64" s="8"/>
      <c r="AS64" s="8"/>
      <c r="AT64" s="8"/>
      <c r="AU64" s="8"/>
      <c r="AV64" s="8"/>
      <c r="AW64" s="8"/>
      <c r="AX64" s="8"/>
      <c r="AY64" s="8"/>
      <c r="AZ64" s="8"/>
      <c r="BA64" s="8"/>
      <c r="BB64" s="8"/>
      <c r="BC64" s="93"/>
      <c r="BD64" s="142"/>
      <c r="BE64" s="8"/>
      <c r="BF64" s="8"/>
      <c r="BG64" s="8"/>
      <c r="BH64" s="8"/>
      <c r="BI64" s="8"/>
      <c r="BJ64" s="8"/>
      <c r="BK64" s="8"/>
      <c r="BL64" s="8"/>
      <c r="BM64" s="8"/>
      <c r="BN64" s="8"/>
      <c r="BO64" s="8"/>
      <c r="BP64" s="8"/>
      <c r="BQ64" s="8"/>
      <c r="BR64" s="8"/>
      <c r="BS64" s="8"/>
      <c r="BT64" s="8"/>
      <c r="BU64" s="8"/>
      <c r="BV64" s="8"/>
      <c r="BW64" s="8"/>
      <c r="BX64" s="8"/>
      <c r="BY64" s="8"/>
      <c r="BZ64" s="8"/>
      <c r="CA64" s="93"/>
    </row>
    <row r="65" spans="1:79" ht="15.6" customHeight="1" x14ac:dyDescent="0.25">
      <c r="A65" s="7"/>
      <c r="B65" s="8"/>
      <c r="C65" s="8"/>
      <c r="D65" s="8"/>
      <c r="E65" s="8"/>
      <c r="F65" s="8"/>
      <c r="G65" s="93"/>
      <c r="H65" s="142"/>
      <c r="I65" s="8"/>
      <c r="J65" s="9"/>
      <c r="K65" s="8"/>
      <c r="L65" s="8"/>
      <c r="M65" s="93"/>
      <c r="N65" s="8"/>
      <c r="O65" s="93"/>
      <c r="P65" s="142"/>
      <c r="Q65" s="8"/>
      <c r="R65" s="8"/>
      <c r="S65" s="8"/>
      <c r="T65" s="93"/>
      <c r="U65" s="8"/>
      <c r="V65" s="8"/>
      <c r="W65" s="8"/>
      <c r="X65" s="8"/>
      <c r="Y65" s="8"/>
      <c r="Z65" s="8"/>
      <c r="AA65" s="8"/>
      <c r="AB65" s="142"/>
      <c r="AC65" s="8"/>
      <c r="AD65" s="8"/>
      <c r="AE65" s="8"/>
      <c r="AF65" s="93"/>
      <c r="AG65" s="142"/>
      <c r="AH65" s="8"/>
      <c r="AI65" s="8"/>
      <c r="AJ65" s="8"/>
      <c r="AK65" s="93"/>
      <c r="AL65" s="142"/>
      <c r="AM65" s="8"/>
      <c r="AN65" s="8"/>
      <c r="AO65" s="8"/>
      <c r="AP65" s="93"/>
      <c r="AQ65" s="142"/>
      <c r="AR65" s="8"/>
      <c r="AS65" s="8"/>
      <c r="AT65" s="8"/>
      <c r="AU65" s="8"/>
      <c r="AV65" s="8"/>
      <c r="AW65" s="8"/>
      <c r="AX65" s="8"/>
      <c r="AY65" s="8"/>
      <c r="AZ65" s="8"/>
      <c r="BA65" s="8"/>
      <c r="BB65" s="8"/>
      <c r="BC65" s="93"/>
      <c r="BD65" s="142"/>
      <c r="BE65" s="8"/>
      <c r="BF65" s="8"/>
      <c r="BG65" s="8"/>
      <c r="BH65" s="8"/>
      <c r="BI65" s="8"/>
      <c r="BJ65" s="8"/>
      <c r="BK65" s="8"/>
      <c r="BL65" s="8"/>
      <c r="BM65" s="8"/>
      <c r="BN65" s="8"/>
      <c r="BO65" s="8"/>
      <c r="BP65" s="8"/>
      <c r="BQ65" s="8"/>
      <c r="BR65" s="8"/>
      <c r="BS65" s="8"/>
      <c r="BT65" s="8"/>
      <c r="BU65" s="8"/>
      <c r="BV65" s="8"/>
      <c r="BW65" s="8"/>
      <c r="BX65" s="8"/>
      <c r="BY65" s="8"/>
      <c r="BZ65" s="8"/>
      <c r="CA65" s="93"/>
    </row>
    <row r="66" spans="1:79" ht="15.6" customHeight="1" x14ac:dyDescent="0.25">
      <c r="A66" s="7"/>
      <c r="B66" s="8"/>
      <c r="C66" s="8"/>
      <c r="D66" s="8"/>
      <c r="E66" s="8"/>
      <c r="F66" s="8"/>
      <c r="G66" s="93"/>
      <c r="H66" s="142"/>
      <c r="I66" s="8"/>
      <c r="J66" s="9"/>
      <c r="K66" s="8"/>
      <c r="L66" s="8"/>
      <c r="M66" s="93"/>
      <c r="N66" s="8"/>
      <c r="O66" s="93"/>
      <c r="P66" s="142"/>
      <c r="Q66" s="8"/>
      <c r="R66" s="8"/>
      <c r="S66" s="8"/>
      <c r="T66" s="93"/>
      <c r="U66" s="8"/>
      <c r="V66" s="8"/>
      <c r="W66" s="8"/>
      <c r="X66" s="8"/>
      <c r="Y66" s="8"/>
      <c r="Z66" s="8"/>
      <c r="AA66" s="8"/>
      <c r="AB66" s="142"/>
      <c r="AC66" s="8"/>
      <c r="AD66" s="8"/>
      <c r="AE66" s="8"/>
      <c r="AF66" s="93"/>
      <c r="AG66" s="142"/>
      <c r="AH66" s="8"/>
      <c r="AI66" s="8"/>
      <c r="AJ66" s="8"/>
      <c r="AK66" s="93"/>
      <c r="AL66" s="142"/>
      <c r="AM66" s="8"/>
      <c r="AN66" s="8"/>
      <c r="AO66" s="8"/>
      <c r="AP66" s="93"/>
      <c r="AQ66" s="142"/>
      <c r="AR66" s="8"/>
      <c r="AS66" s="8"/>
      <c r="AT66" s="8"/>
      <c r="AU66" s="8"/>
      <c r="AV66" s="8"/>
      <c r="AW66" s="8"/>
      <c r="AX66" s="8"/>
      <c r="AY66" s="8"/>
      <c r="AZ66" s="8"/>
      <c r="BA66" s="8"/>
      <c r="BB66" s="8"/>
      <c r="BC66" s="93"/>
      <c r="BD66" s="142"/>
      <c r="BE66" s="8"/>
      <c r="BF66" s="8"/>
      <c r="BG66" s="8"/>
      <c r="BH66" s="8"/>
      <c r="BI66" s="8"/>
      <c r="BJ66" s="8"/>
      <c r="BK66" s="8"/>
      <c r="BL66" s="8"/>
      <c r="BM66" s="8"/>
      <c r="BN66" s="8"/>
      <c r="BO66" s="8"/>
      <c r="BP66" s="8"/>
      <c r="BQ66" s="8"/>
      <c r="BR66" s="8"/>
      <c r="BS66" s="8"/>
      <c r="BT66" s="8"/>
      <c r="BU66" s="8"/>
      <c r="BV66" s="8"/>
      <c r="BW66" s="8"/>
      <c r="BX66" s="8"/>
      <c r="BY66" s="8"/>
      <c r="BZ66" s="8"/>
      <c r="CA66" s="93"/>
    </row>
    <row r="67" spans="1:79" ht="15.6" customHeight="1" x14ac:dyDescent="0.25">
      <c r="A67" s="7"/>
      <c r="B67" s="8"/>
      <c r="C67" s="8"/>
      <c r="D67" s="8"/>
      <c r="E67" s="8"/>
      <c r="F67" s="8"/>
      <c r="G67" s="93"/>
      <c r="H67" s="142"/>
      <c r="I67" s="8"/>
      <c r="J67" s="9"/>
      <c r="K67" s="8"/>
      <c r="L67" s="8"/>
      <c r="M67" s="93"/>
      <c r="N67" s="8"/>
      <c r="O67" s="93"/>
      <c r="P67" s="142"/>
      <c r="Q67" s="8"/>
      <c r="R67" s="8"/>
      <c r="S67" s="8"/>
      <c r="T67" s="93"/>
      <c r="U67" s="8"/>
      <c r="V67" s="8"/>
      <c r="W67" s="8"/>
      <c r="X67" s="8"/>
      <c r="Y67" s="8"/>
      <c r="Z67" s="8"/>
      <c r="AA67" s="8"/>
      <c r="AB67" s="142"/>
      <c r="AC67" s="8"/>
      <c r="AD67" s="8"/>
      <c r="AE67" s="8"/>
      <c r="AF67" s="93"/>
      <c r="AG67" s="142"/>
      <c r="AH67" s="8"/>
      <c r="AI67" s="8"/>
      <c r="AJ67" s="8"/>
      <c r="AK67" s="93"/>
      <c r="AL67" s="142"/>
      <c r="AM67" s="8"/>
      <c r="AN67" s="8"/>
      <c r="AO67" s="8"/>
      <c r="AP67" s="93"/>
      <c r="AQ67" s="142"/>
      <c r="AR67" s="8"/>
      <c r="AS67" s="8"/>
      <c r="AT67" s="8"/>
      <c r="AU67" s="8"/>
      <c r="AV67" s="8"/>
      <c r="AW67" s="8"/>
      <c r="AX67" s="8"/>
      <c r="AY67" s="8"/>
      <c r="AZ67" s="8"/>
      <c r="BA67" s="8"/>
      <c r="BB67" s="8"/>
      <c r="BC67" s="93"/>
      <c r="BD67" s="142"/>
      <c r="BE67" s="8"/>
      <c r="BF67" s="8"/>
      <c r="BG67" s="8"/>
      <c r="BH67" s="8"/>
      <c r="BI67" s="8"/>
      <c r="BJ67" s="8"/>
      <c r="BK67" s="8"/>
      <c r="BL67" s="8"/>
      <c r="BM67" s="8"/>
      <c r="BN67" s="8"/>
      <c r="BO67" s="8"/>
      <c r="BP67" s="8"/>
      <c r="BQ67" s="8"/>
      <c r="BR67" s="8"/>
      <c r="BS67" s="8"/>
      <c r="BT67" s="8"/>
      <c r="BU67" s="8"/>
      <c r="BV67" s="8"/>
      <c r="BW67" s="8"/>
      <c r="BX67" s="8"/>
      <c r="BY67" s="8"/>
      <c r="BZ67" s="8"/>
      <c r="CA67" s="93"/>
    </row>
    <row r="68" spans="1:79" ht="15.6" customHeight="1" x14ac:dyDescent="0.25">
      <c r="A68" s="7"/>
      <c r="B68" s="8"/>
      <c r="C68" s="8"/>
      <c r="D68" s="8"/>
      <c r="E68" s="8"/>
      <c r="F68" s="8"/>
      <c r="G68" s="93"/>
      <c r="H68" s="142"/>
      <c r="I68" s="8"/>
      <c r="J68" s="9"/>
      <c r="K68" s="8"/>
      <c r="L68" s="8"/>
      <c r="M68" s="93"/>
      <c r="N68" s="8"/>
      <c r="O68" s="93"/>
      <c r="P68" s="142"/>
      <c r="Q68" s="8"/>
      <c r="R68" s="8"/>
      <c r="S68" s="8"/>
      <c r="T68" s="93"/>
      <c r="U68" s="8"/>
      <c r="V68" s="8"/>
      <c r="W68" s="8"/>
      <c r="X68" s="8"/>
      <c r="Y68" s="8"/>
      <c r="Z68" s="8"/>
      <c r="AA68" s="8"/>
      <c r="AB68" s="142"/>
      <c r="AC68" s="8"/>
      <c r="AD68" s="8"/>
      <c r="AE68" s="8"/>
      <c r="AF68" s="93"/>
      <c r="AG68" s="142"/>
      <c r="AH68" s="8"/>
      <c r="AI68" s="8"/>
      <c r="AJ68" s="8"/>
      <c r="AK68" s="93"/>
      <c r="AL68" s="142"/>
      <c r="AM68" s="8"/>
      <c r="AN68" s="8"/>
      <c r="AO68" s="8"/>
      <c r="AP68" s="93"/>
      <c r="AQ68" s="142"/>
      <c r="AR68" s="8"/>
      <c r="AS68" s="8"/>
      <c r="AT68" s="8"/>
      <c r="AU68" s="8"/>
      <c r="AV68" s="8"/>
      <c r="AW68" s="8"/>
      <c r="AX68" s="8"/>
      <c r="AY68" s="8"/>
      <c r="AZ68" s="8"/>
      <c r="BA68" s="8"/>
      <c r="BB68" s="8"/>
      <c r="BC68" s="93"/>
      <c r="BD68" s="142"/>
      <c r="BE68" s="8"/>
      <c r="BF68" s="8"/>
      <c r="BG68" s="8"/>
      <c r="BH68" s="8"/>
      <c r="BI68" s="8"/>
      <c r="BJ68" s="8"/>
      <c r="BK68" s="8"/>
      <c r="BL68" s="8"/>
      <c r="BM68" s="8"/>
      <c r="BN68" s="8"/>
      <c r="BO68" s="8"/>
      <c r="BP68" s="8"/>
      <c r="BQ68" s="8"/>
      <c r="BR68" s="8"/>
      <c r="BS68" s="8"/>
      <c r="BT68" s="8"/>
      <c r="BU68" s="8"/>
      <c r="BV68" s="8"/>
      <c r="BW68" s="8"/>
      <c r="BX68" s="8"/>
      <c r="BY68" s="8"/>
      <c r="BZ68" s="8"/>
      <c r="CA68" s="93"/>
    </row>
    <row r="69" spans="1:79" ht="15.6" customHeight="1" x14ac:dyDescent="0.25">
      <c r="A69" s="7"/>
      <c r="B69" s="8"/>
      <c r="C69" s="8"/>
      <c r="D69" s="8"/>
      <c r="E69" s="8"/>
      <c r="F69" s="8"/>
      <c r="G69" s="93"/>
      <c r="H69" s="142"/>
      <c r="I69" s="8"/>
      <c r="J69" s="9"/>
      <c r="K69" s="8"/>
      <c r="L69" s="8"/>
      <c r="M69" s="93"/>
      <c r="N69" s="8"/>
      <c r="O69" s="93"/>
      <c r="P69" s="142"/>
      <c r="Q69" s="8"/>
      <c r="R69" s="8"/>
      <c r="S69" s="8"/>
      <c r="T69" s="93"/>
      <c r="U69" s="8"/>
      <c r="V69" s="8"/>
      <c r="W69" s="8"/>
      <c r="X69" s="8"/>
      <c r="Y69" s="8"/>
      <c r="Z69" s="8"/>
      <c r="AA69" s="8"/>
      <c r="AB69" s="142"/>
      <c r="AC69" s="8"/>
      <c r="AD69" s="8"/>
      <c r="AE69" s="8"/>
      <c r="AF69" s="93"/>
      <c r="AG69" s="142"/>
      <c r="AH69" s="8"/>
      <c r="AI69" s="8"/>
      <c r="AJ69" s="8"/>
      <c r="AK69" s="93"/>
      <c r="AL69" s="142"/>
      <c r="AM69" s="8"/>
      <c r="AN69" s="8"/>
      <c r="AO69" s="8"/>
      <c r="AP69" s="93"/>
      <c r="AQ69" s="142"/>
      <c r="AR69" s="8"/>
      <c r="AS69" s="8"/>
      <c r="AT69" s="8"/>
      <c r="AU69" s="8"/>
      <c r="AV69" s="8"/>
      <c r="AW69" s="8"/>
      <c r="AX69" s="8"/>
      <c r="AY69" s="8"/>
      <c r="AZ69" s="8"/>
      <c r="BA69" s="8"/>
      <c r="BB69" s="8"/>
      <c r="BC69" s="93"/>
      <c r="BD69" s="142"/>
      <c r="BE69" s="8"/>
      <c r="BF69" s="8"/>
      <c r="BG69" s="8"/>
      <c r="BH69" s="8"/>
      <c r="BI69" s="8"/>
      <c r="BJ69" s="8"/>
      <c r="BK69" s="8"/>
      <c r="BL69" s="8"/>
      <c r="BM69" s="8"/>
      <c r="BN69" s="8"/>
      <c r="BO69" s="8"/>
      <c r="BP69" s="8"/>
      <c r="BQ69" s="8"/>
      <c r="BR69" s="8"/>
      <c r="BS69" s="8"/>
      <c r="BT69" s="8"/>
      <c r="BU69" s="8"/>
      <c r="BV69" s="8"/>
      <c r="BW69" s="8"/>
      <c r="BX69" s="8"/>
      <c r="BY69" s="8"/>
      <c r="BZ69" s="8"/>
      <c r="CA69" s="93"/>
    </row>
    <row r="70" spans="1:79" ht="15.6" customHeight="1" x14ac:dyDescent="0.25">
      <c r="A70" s="7"/>
      <c r="B70" s="8"/>
      <c r="C70" s="8"/>
      <c r="D70" s="8"/>
      <c r="E70" s="8"/>
      <c r="F70" s="8"/>
      <c r="G70" s="93"/>
      <c r="H70" s="142"/>
      <c r="I70" s="8"/>
      <c r="J70" s="9"/>
      <c r="K70" s="8"/>
      <c r="L70" s="8"/>
      <c r="M70" s="93"/>
      <c r="N70" s="8"/>
      <c r="O70" s="93"/>
      <c r="P70" s="142"/>
      <c r="Q70" s="8"/>
      <c r="R70" s="8"/>
      <c r="S70" s="8"/>
      <c r="T70" s="93"/>
      <c r="U70" s="8"/>
      <c r="V70" s="8"/>
      <c r="W70" s="8"/>
      <c r="X70" s="8"/>
      <c r="Y70" s="8"/>
      <c r="Z70" s="8"/>
      <c r="AA70" s="8"/>
      <c r="AB70" s="142"/>
      <c r="AC70" s="8"/>
      <c r="AD70" s="8"/>
      <c r="AE70" s="8"/>
      <c r="AF70" s="93"/>
      <c r="AG70" s="142"/>
      <c r="AH70" s="8"/>
      <c r="AI70" s="8"/>
      <c r="AJ70" s="8"/>
      <c r="AK70" s="93"/>
      <c r="AL70" s="142"/>
      <c r="AM70" s="8"/>
      <c r="AN70" s="8"/>
      <c r="AO70" s="8"/>
      <c r="AP70" s="93"/>
      <c r="AQ70" s="142"/>
      <c r="AR70" s="8"/>
      <c r="AS70" s="8"/>
      <c r="AT70" s="8"/>
      <c r="AU70" s="8"/>
      <c r="AV70" s="8"/>
      <c r="AW70" s="8"/>
      <c r="AX70" s="8"/>
      <c r="AY70" s="8"/>
      <c r="AZ70" s="8"/>
      <c r="BA70" s="8"/>
      <c r="BB70" s="8"/>
      <c r="BC70" s="93"/>
      <c r="BD70" s="142"/>
      <c r="BE70" s="8"/>
      <c r="BF70" s="8"/>
      <c r="BG70" s="8"/>
      <c r="BH70" s="8"/>
      <c r="BI70" s="8"/>
      <c r="BJ70" s="8"/>
      <c r="BK70" s="8"/>
      <c r="BL70" s="8"/>
      <c r="BM70" s="8"/>
      <c r="BN70" s="8"/>
      <c r="BO70" s="8"/>
      <c r="BP70" s="8"/>
      <c r="BQ70" s="8"/>
      <c r="BR70" s="8"/>
      <c r="BS70" s="8"/>
      <c r="BT70" s="8"/>
      <c r="BU70" s="8"/>
      <c r="BV70" s="8"/>
      <c r="BW70" s="8"/>
      <c r="BX70" s="8"/>
      <c r="BY70" s="8"/>
      <c r="BZ70" s="8"/>
      <c r="CA70" s="93"/>
    </row>
    <row r="71" spans="1:79" ht="15.6" customHeight="1" x14ac:dyDescent="0.25">
      <c r="A71" s="7"/>
      <c r="B71" s="8"/>
      <c r="C71" s="8"/>
      <c r="D71" s="8"/>
      <c r="E71" s="8"/>
      <c r="F71" s="8"/>
      <c r="G71" s="93"/>
      <c r="H71" s="142"/>
      <c r="I71" s="8"/>
      <c r="J71" s="9"/>
      <c r="K71" s="8"/>
      <c r="L71" s="8"/>
      <c r="M71" s="93"/>
      <c r="N71" s="8"/>
      <c r="O71" s="93"/>
      <c r="P71" s="142"/>
      <c r="Q71" s="8"/>
      <c r="R71" s="8"/>
      <c r="S71" s="8"/>
      <c r="T71" s="93"/>
      <c r="U71" s="8"/>
      <c r="V71" s="8"/>
      <c r="W71" s="8"/>
      <c r="X71" s="8"/>
      <c r="Y71" s="8"/>
      <c r="Z71" s="8"/>
      <c r="AA71" s="8"/>
      <c r="AB71" s="142"/>
      <c r="AC71" s="8"/>
      <c r="AD71" s="8"/>
      <c r="AE71" s="8"/>
      <c r="AF71" s="93"/>
      <c r="AG71" s="142"/>
      <c r="AH71" s="8"/>
      <c r="AI71" s="8"/>
      <c r="AJ71" s="8"/>
      <c r="AK71" s="93"/>
      <c r="AL71" s="142"/>
      <c r="AM71" s="8"/>
      <c r="AN71" s="8"/>
      <c r="AO71" s="8"/>
      <c r="AP71" s="93"/>
      <c r="AQ71" s="142"/>
      <c r="AR71" s="8"/>
      <c r="AS71" s="8"/>
      <c r="AT71" s="8"/>
      <c r="AU71" s="8"/>
      <c r="AV71" s="8"/>
      <c r="AW71" s="8"/>
      <c r="AX71" s="8"/>
      <c r="AY71" s="8"/>
      <c r="AZ71" s="8"/>
      <c r="BA71" s="8"/>
      <c r="BB71" s="8"/>
      <c r="BC71" s="93"/>
      <c r="BD71" s="142"/>
      <c r="BE71" s="8"/>
      <c r="BF71" s="8"/>
      <c r="BG71" s="8"/>
      <c r="BH71" s="8"/>
      <c r="BI71" s="8"/>
      <c r="BJ71" s="8"/>
      <c r="BK71" s="8"/>
      <c r="BL71" s="8"/>
      <c r="BM71" s="8"/>
      <c r="BN71" s="8"/>
      <c r="BO71" s="8"/>
      <c r="BP71" s="8"/>
      <c r="BQ71" s="8"/>
      <c r="BR71" s="8"/>
      <c r="BS71" s="8"/>
      <c r="BT71" s="8"/>
      <c r="BU71" s="8"/>
      <c r="BV71" s="8"/>
      <c r="BW71" s="8"/>
      <c r="BX71" s="8"/>
      <c r="BY71" s="8"/>
      <c r="BZ71" s="8"/>
      <c r="CA71" s="93"/>
    </row>
    <row r="72" spans="1:79" ht="15.6" customHeight="1" x14ac:dyDescent="0.25">
      <c r="A72" s="7"/>
      <c r="B72" s="8"/>
      <c r="C72" s="8"/>
      <c r="D72" s="8"/>
      <c r="E72" s="8"/>
      <c r="F72" s="8"/>
      <c r="G72" s="93"/>
      <c r="H72" s="142"/>
      <c r="I72" s="8"/>
      <c r="J72" s="9"/>
      <c r="K72" s="8"/>
      <c r="L72" s="8"/>
      <c r="M72" s="93"/>
      <c r="N72" s="8"/>
      <c r="O72" s="93"/>
      <c r="P72" s="142"/>
      <c r="Q72" s="8"/>
      <c r="R72" s="8"/>
      <c r="S72" s="8"/>
      <c r="T72" s="93"/>
      <c r="U72" s="8"/>
      <c r="V72" s="8"/>
      <c r="W72" s="8"/>
      <c r="X72" s="8"/>
      <c r="Y72" s="8"/>
      <c r="Z72" s="8"/>
      <c r="AA72" s="8"/>
      <c r="AB72" s="142"/>
      <c r="AC72" s="8"/>
      <c r="AD72" s="8"/>
      <c r="AE72" s="8"/>
      <c r="AF72" s="93"/>
      <c r="AG72" s="142"/>
      <c r="AH72" s="8"/>
      <c r="AI72" s="8"/>
      <c r="AJ72" s="8"/>
      <c r="AK72" s="93"/>
      <c r="AL72" s="142"/>
      <c r="AM72" s="8"/>
      <c r="AN72" s="8"/>
      <c r="AO72" s="8"/>
      <c r="AP72" s="93"/>
      <c r="AQ72" s="142"/>
      <c r="AR72" s="8"/>
      <c r="AS72" s="8"/>
      <c r="AT72" s="8"/>
      <c r="AU72" s="8"/>
      <c r="AV72" s="8"/>
      <c r="AW72" s="8"/>
      <c r="AX72" s="8"/>
      <c r="AY72" s="8"/>
      <c r="AZ72" s="8"/>
      <c r="BA72" s="8"/>
      <c r="BB72" s="8"/>
      <c r="BC72" s="93"/>
      <c r="BD72" s="142"/>
      <c r="BE72" s="8"/>
      <c r="BF72" s="8"/>
      <c r="BG72" s="8"/>
      <c r="BH72" s="8"/>
      <c r="BI72" s="8"/>
      <c r="BJ72" s="8"/>
      <c r="BK72" s="8"/>
      <c r="BL72" s="8"/>
      <c r="BM72" s="8"/>
      <c r="BN72" s="8"/>
      <c r="BO72" s="8"/>
      <c r="BP72" s="8"/>
      <c r="BQ72" s="8"/>
      <c r="BR72" s="8"/>
      <c r="BS72" s="8"/>
      <c r="BT72" s="8"/>
      <c r="BU72" s="8"/>
      <c r="BV72" s="8"/>
      <c r="BW72" s="8"/>
      <c r="BX72" s="8"/>
      <c r="BY72" s="8"/>
      <c r="BZ72" s="8"/>
      <c r="CA72" s="93"/>
    </row>
    <row r="73" spans="1:79" ht="15.6" customHeight="1" x14ac:dyDescent="0.25">
      <c r="A73" s="7"/>
      <c r="B73" s="8"/>
      <c r="C73" s="8"/>
      <c r="D73" s="8"/>
      <c r="E73" s="8"/>
      <c r="F73" s="8"/>
      <c r="G73" s="93"/>
      <c r="H73" s="142"/>
      <c r="I73" s="8"/>
      <c r="J73" s="9"/>
      <c r="K73" s="8"/>
      <c r="L73" s="8"/>
      <c r="M73" s="93"/>
      <c r="N73" s="8"/>
      <c r="O73" s="93"/>
      <c r="P73" s="142"/>
      <c r="Q73" s="8"/>
      <c r="R73" s="8"/>
      <c r="S73" s="8"/>
      <c r="T73" s="93"/>
      <c r="U73" s="8"/>
      <c r="V73" s="8"/>
      <c r="W73" s="8"/>
      <c r="X73" s="8"/>
      <c r="Y73" s="8"/>
      <c r="Z73" s="8"/>
      <c r="AA73" s="8"/>
      <c r="AB73" s="142"/>
      <c r="AC73" s="8"/>
      <c r="AD73" s="8"/>
      <c r="AE73" s="8"/>
      <c r="AF73" s="93"/>
      <c r="AG73" s="142"/>
      <c r="AH73" s="8"/>
      <c r="AI73" s="8"/>
      <c r="AJ73" s="8"/>
      <c r="AK73" s="93"/>
      <c r="AL73" s="142"/>
      <c r="AM73" s="8"/>
      <c r="AN73" s="8"/>
      <c r="AO73" s="8"/>
      <c r="AP73" s="93"/>
      <c r="AQ73" s="142"/>
      <c r="AR73" s="8"/>
      <c r="AS73" s="8"/>
      <c r="AT73" s="8"/>
      <c r="AU73" s="8"/>
      <c r="AV73" s="8"/>
      <c r="AW73" s="8"/>
      <c r="AX73" s="8"/>
      <c r="AY73" s="8"/>
      <c r="AZ73" s="8"/>
      <c r="BA73" s="8"/>
      <c r="BB73" s="8"/>
      <c r="BC73" s="93"/>
      <c r="BD73" s="142"/>
      <c r="BE73" s="8"/>
      <c r="BF73" s="8"/>
      <c r="BG73" s="8"/>
      <c r="BH73" s="8"/>
      <c r="BI73" s="8"/>
      <c r="BJ73" s="8"/>
      <c r="BK73" s="8"/>
      <c r="BL73" s="8"/>
      <c r="BM73" s="8"/>
      <c r="BN73" s="8"/>
      <c r="BO73" s="8"/>
      <c r="BP73" s="8"/>
      <c r="BQ73" s="8"/>
      <c r="BR73" s="8"/>
      <c r="BS73" s="8"/>
      <c r="BT73" s="8"/>
      <c r="BU73" s="8"/>
      <c r="BV73" s="8"/>
      <c r="BW73" s="8"/>
      <c r="BX73" s="8"/>
      <c r="BY73" s="8"/>
      <c r="BZ73" s="8"/>
      <c r="CA73" s="93"/>
    </row>
    <row r="74" spans="1:79" ht="15.6" customHeight="1" x14ac:dyDescent="0.25">
      <c r="A74" s="7"/>
      <c r="B74" s="8"/>
      <c r="C74" s="8"/>
      <c r="D74" s="8"/>
      <c r="E74" s="8"/>
      <c r="F74" s="8"/>
      <c r="G74" s="93"/>
      <c r="H74" s="142"/>
      <c r="I74" s="8"/>
      <c r="J74" s="9"/>
      <c r="K74" s="8"/>
      <c r="L74" s="8"/>
      <c r="M74" s="93"/>
      <c r="N74" s="8"/>
      <c r="O74" s="93"/>
      <c r="P74" s="142"/>
      <c r="Q74" s="8"/>
      <c r="R74" s="8"/>
      <c r="S74" s="8"/>
      <c r="T74" s="93"/>
      <c r="U74" s="8"/>
      <c r="V74" s="8"/>
      <c r="W74" s="8"/>
      <c r="X74" s="8"/>
      <c r="Y74" s="8"/>
      <c r="Z74" s="8"/>
      <c r="AA74" s="8"/>
      <c r="AB74" s="142"/>
      <c r="AC74" s="8"/>
      <c r="AD74" s="8"/>
      <c r="AE74" s="8"/>
      <c r="AF74" s="93"/>
      <c r="AG74" s="142"/>
      <c r="AH74" s="8"/>
      <c r="AI74" s="8"/>
      <c r="AJ74" s="8"/>
      <c r="AK74" s="93"/>
      <c r="AL74" s="142"/>
      <c r="AM74" s="8"/>
      <c r="AN74" s="8"/>
      <c r="AO74" s="8"/>
      <c r="AP74" s="93"/>
      <c r="AQ74" s="142"/>
      <c r="AR74" s="8"/>
      <c r="AS74" s="8"/>
      <c r="AT74" s="8"/>
      <c r="AU74" s="8"/>
      <c r="AV74" s="8"/>
      <c r="AW74" s="8"/>
      <c r="AX74" s="8"/>
      <c r="AY74" s="8"/>
      <c r="AZ74" s="8"/>
      <c r="BA74" s="8"/>
      <c r="BB74" s="8"/>
      <c r="BC74" s="93"/>
      <c r="BD74" s="142"/>
      <c r="BE74" s="8"/>
      <c r="BF74" s="8"/>
      <c r="BG74" s="8"/>
      <c r="BH74" s="8"/>
      <c r="BI74" s="8"/>
      <c r="BJ74" s="8"/>
      <c r="BK74" s="8"/>
      <c r="BL74" s="8"/>
      <c r="BM74" s="8"/>
      <c r="BN74" s="8"/>
      <c r="BO74" s="8"/>
      <c r="BP74" s="8"/>
      <c r="BQ74" s="8"/>
      <c r="BR74" s="8"/>
      <c r="BS74" s="8"/>
      <c r="BT74" s="8"/>
      <c r="BU74" s="8"/>
      <c r="BV74" s="8"/>
      <c r="BW74" s="8"/>
      <c r="BX74" s="8"/>
      <c r="BY74" s="8"/>
      <c r="BZ74" s="8"/>
      <c r="CA74" s="93"/>
    </row>
    <row r="75" spans="1:79" ht="15.6" customHeight="1" x14ac:dyDescent="0.25">
      <c r="A75" s="7"/>
      <c r="B75" s="8"/>
      <c r="C75" s="8"/>
      <c r="D75" s="8"/>
      <c r="E75" s="8"/>
      <c r="F75" s="8"/>
      <c r="G75" s="93"/>
      <c r="H75" s="142"/>
      <c r="I75" s="8"/>
      <c r="J75" s="9"/>
      <c r="K75" s="8"/>
      <c r="L75" s="8"/>
      <c r="M75" s="93"/>
      <c r="N75" s="8"/>
      <c r="O75" s="93"/>
      <c r="P75" s="142"/>
      <c r="Q75" s="8"/>
      <c r="R75" s="8"/>
      <c r="S75" s="8"/>
      <c r="T75" s="93"/>
      <c r="U75" s="8"/>
      <c r="V75" s="8"/>
      <c r="W75" s="8"/>
      <c r="X75" s="8"/>
      <c r="Y75" s="8"/>
      <c r="Z75" s="8"/>
      <c r="AA75" s="8"/>
      <c r="AB75" s="142"/>
      <c r="AC75" s="8"/>
      <c r="AD75" s="8"/>
      <c r="AE75" s="8"/>
      <c r="AF75" s="93"/>
      <c r="AG75" s="142"/>
      <c r="AH75" s="8"/>
      <c r="AI75" s="8"/>
      <c r="AJ75" s="8"/>
      <c r="AK75" s="93"/>
      <c r="AL75" s="142"/>
      <c r="AM75" s="8"/>
      <c r="AN75" s="8"/>
      <c r="AO75" s="8"/>
      <c r="AP75" s="93"/>
      <c r="AQ75" s="142"/>
      <c r="AR75" s="8"/>
      <c r="AS75" s="8"/>
      <c r="AT75" s="8"/>
      <c r="AU75" s="8"/>
      <c r="AV75" s="8"/>
      <c r="AW75" s="8"/>
      <c r="AX75" s="8"/>
      <c r="AY75" s="8"/>
      <c r="AZ75" s="8"/>
      <c r="BA75" s="8"/>
      <c r="BB75" s="8"/>
      <c r="BC75" s="93"/>
      <c r="BD75" s="142"/>
      <c r="BE75" s="8"/>
      <c r="BF75" s="8"/>
      <c r="BG75" s="8"/>
      <c r="BH75" s="8"/>
      <c r="BI75" s="8"/>
      <c r="BJ75" s="8"/>
      <c r="BK75" s="8"/>
      <c r="BL75" s="8"/>
      <c r="BM75" s="8"/>
      <c r="BN75" s="8"/>
      <c r="BO75" s="8"/>
      <c r="BP75" s="8"/>
      <c r="BQ75" s="8"/>
      <c r="BR75" s="8"/>
      <c r="BS75" s="8"/>
      <c r="BT75" s="8"/>
      <c r="BU75" s="8"/>
      <c r="BV75" s="8"/>
      <c r="BW75" s="8"/>
      <c r="BX75" s="8"/>
      <c r="BY75" s="8"/>
      <c r="BZ75" s="8"/>
      <c r="CA75" s="93"/>
    </row>
    <row r="76" spans="1:79" ht="15.6" customHeight="1" x14ac:dyDescent="0.25">
      <c r="A76" s="7"/>
      <c r="B76" s="8"/>
      <c r="C76" s="8"/>
      <c r="D76" s="8"/>
      <c r="E76" s="8"/>
      <c r="F76" s="8"/>
      <c r="G76" s="93"/>
      <c r="H76" s="142"/>
      <c r="I76" s="8"/>
      <c r="J76" s="9"/>
      <c r="K76" s="8"/>
      <c r="L76" s="8"/>
      <c r="M76" s="93"/>
      <c r="N76" s="8"/>
      <c r="O76" s="93"/>
      <c r="P76" s="142"/>
      <c r="Q76" s="8"/>
      <c r="R76" s="8"/>
      <c r="S76" s="8"/>
      <c r="T76" s="93"/>
      <c r="U76" s="8"/>
      <c r="V76" s="8"/>
      <c r="W76" s="8"/>
      <c r="X76" s="8"/>
      <c r="Y76" s="8"/>
      <c r="Z76" s="8"/>
      <c r="AA76" s="8"/>
      <c r="AB76" s="142"/>
      <c r="AC76" s="8"/>
      <c r="AD76" s="8"/>
      <c r="AE76" s="8"/>
      <c r="AF76" s="93"/>
      <c r="AG76" s="142"/>
      <c r="AH76" s="8"/>
      <c r="AI76" s="8"/>
      <c r="AJ76" s="8"/>
      <c r="AK76" s="93"/>
      <c r="AL76" s="142"/>
      <c r="AM76" s="8"/>
      <c r="AN76" s="8"/>
      <c r="AO76" s="8"/>
      <c r="AP76" s="93"/>
      <c r="AQ76" s="142"/>
      <c r="AR76" s="8"/>
      <c r="AS76" s="8"/>
      <c r="AT76" s="8"/>
      <c r="AU76" s="8"/>
      <c r="AV76" s="8"/>
      <c r="AW76" s="8"/>
      <c r="AX76" s="8"/>
      <c r="AY76" s="8"/>
      <c r="AZ76" s="8"/>
      <c r="BA76" s="8"/>
      <c r="BB76" s="8"/>
      <c r="BC76" s="93"/>
      <c r="BD76" s="142"/>
      <c r="BE76" s="8"/>
      <c r="BF76" s="8"/>
      <c r="BG76" s="8"/>
      <c r="BH76" s="8"/>
      <c r="BI76" s="8"/>
      <c r="BJ76" s="8"/>
      <c r="BK76" s="8"/>
      <c r="BL76" s="8"/>
      <c r="BM76" s="8"/>
      <c r="BN76" s="8"/>
      <c r="BO76" s="8"/>
      <c r="BP76" s="8"/>
      <c r="BQ76" s="8"/>
      <c r="BR76" s="8"/>
      <c r="BS76" s="8"/>
      <c r="BT76" s="8"/>
      <c r="BU76" s="8"/>
      <c r="BV76" s="8"/>
      <c r="BW76" s="8"/>
      <c r="BX76" s="8"/>
      <c r="BY76" s="8"/>
      <c r="BZ76" s="8"/>
      <c r="CA76" s="93"/>
    </row>
    <row r="77" spans="1:79" ht="15.6" customHeight="1" x14ac:dyDescent="0.25">
      <c r="A77" s="7"/>
      <c r="B77" s="8"/>
      <c r="C77" s="8"/>
      <c r="D77" s="8"/>
      <c r="E77" s="8"/>
      <c r="F77" s="8"/>
      <c r="G77" s="93"/>
      <c r="H77" s="142"/>
      <c r="I77" s="8"/>
      <c r="J77" s="9"/>
      <c r="K77" s="8"/>
      <c r="L77" s="8"/>
      <c r="M77" s="93"/>
      <c r="N77" s="8"/>
      <c r="O77" s="93"/>
      <c r="P77" s="142"/>
      <c r="Q77" s="8"/>
      <c r="R77" s="8"/>
      <c r="S77" s="8"/>
      <c r="T77" s="93"/>
      <c r="U77" s="8"/>
      <c r="V77" s="8"/>
      <c r="W77" s="8"/>
      <c r="X77" s="8"/>
      <c r="Y77" s="8"/>
      <c r="Z77" s="8"/>
      <c r="AA77" s="8"/>
      <c r="AB77" s="142"/>
      <c r="AC77" s="8"/>
      <c r="AD77" s="8"/>
      <c r="AE77" s="8"/>
      <c r="AF77" s="93"/>
      <c r="AG77" s="142"/>
      <c r="AH77" s="8"/>
      <c r="AI77" s="8"/>
      <c r="AJ77" s="8"/>
      <c r="AK77" s="93"/>
      <c r="AL77" s="142"/>
      <c r="AM77" s="8"/>
      <c r="AN77" s="8"/>
      <c r="AO77" s="8"/>
      <c r="AP77" s="93"/>
      <c r="AQ77" s="142"/>
      <c r="AR77" s="8"/>
      <c r="AS77" s="8"/>
      <c r="AT77" s="8"/>
      <c r="AU77" s="8"/>
      <c r="AV77" s="8"/>
      <c r="AW77" s="8"/>
      <c r="AX77" s="8"/>
      <c r="AY77" s="8"/>
      <c r="AZ77" s="8"/>
      <c r="BA77" s="8"/>
      <c r="BB77" s="8"/>
      <c r="BC77" s="93"/>
      <c r="BD77" s="142"/>
      <c r="BE77" s="8"/>
      <c r="BF77" s="8"/>
      <c r="BG77" s="8"/>
      <c r="BH77" s="8"/>
      <c r="BI77" s="8"/>
      <c r="BJ77" s="8"/>
      <c r="BK77" s="8"/>
      <c r="BL77" s="8"/>
      <c r="BM77" s="8"/>
      <c r="BN77" s="8"/>
      <c r="BO77" s="8"/>
      <c r="BP77" s="8"/>
      <c r="BQ77" s="8"/>
      <c r="BR77" s="8"/>
      <c r="BS77" s="8"/>
      <c r="BT77" s="8"/>
      <c r="BU77" s="8"/>
      <c r="BV77" s="8"/>
      <c r="BW77" s="8"/>
      <c r="BX77" s="8"/>
      <c r="BY77" s="8"/>
      <c r="BZ77" s="8"/>
      <c r="CA77" s="93"/>
    </row>
    <row r="78" spans="1:79" ht="15.6" customHeight="1" x14ac:dyDescent="0.25">
      <c r="A78" s="7"/>
      <c r="B78" s="8"/>
      <c r="C78" s="8"/>
      <c r="D78" s="8"/>
      <c r="E78" s="8"/>
      <c r="F78" s="8"/>
      <c r="G78" s="93"/>
      <c r="H78" s="142"/>
      <c r="I78" s="8"/>
      <c r="J78" s="9"/>
      <c r="K78" s="8"/>
      <c r="L78" s="8"/>
      <c r="M78" s="93"/>
      <c r="N78" s="8"/>
      <c r="O78" s="93"/>
      <c r="P78" s="142"/>
      <c r="Q78" s="8"/>
      <c r="R78" s="8"/>
      <c r="S78" s="8"/>
      <c r="T78" s="93"/>
      <c r="U78" s="8"/>
      <c r="V78" s="8"/>
      <c r="W78" s="8"/>
      <c r="X78" s="8"/>
      <c r="Y78" s="8"/>
      <c r="Z78" s="8"/>
      <c r="AA78" s="8"/>
      <c r="AB78" s="142"/>
      <c r="AC78" s="8"/>
      <c r="AD78" s="8"/>
      <c r="AE78" s="8"/>
      <c r="AF78" s="93"/>
      <c r="AG78" s="142"/>
      <c r="AH78" s="8"/>
      <c r="AI78" s="8"/>
      <c r="AJ78" s="8"/>
      <c r="AK78" s="93"/>
      <c r="AL78" s="142"/>
      <c r="AM78" s="8"/>
      <c r="AN78" s="8"/>
      <c r="AO78" s="8"/>
      <c r="AP78" s="93"/>
      <c r="AQ78" s="142"/>
      <c r="AR78" s="8"/>
      <c r="AS78" s="8"/>
      <c r="AT78" s="8"/>
      <c r="AU78" s="8"/>
      <c r="AV78" s="8"/>
      <c r="AW78" s="8"/>
      <c r="AX78" s="8"/>
      <c r="AY78" s="8"/>
      <c r="AZ78" s="8"/>
      <c r="BA78" s="8"/>
      <c r="BB78" s="8"/>
      <c r="BC78" s="93"/>
      <c r="BD78" s="142"/>
      <c r="BE78" s="8"/>
      <c r="BF78" s="8"/>
      <c r="BG78" s="8"/>
      <c r="BH78" s="8"/>
      <c r="BI78" s="8"/>
      <c r="BJ78" s="8"/>
      <c r="BK78" s="8"/>
      <c r="BL78" s="8"/>
      <c r="BM78" s="8"/>
      <c r="BN78" s="8"/>
      <c r="BO78" s="8"/>
      <c r="BP78" s="8"/>
      <c r="BQ78" s="8"/>
      <c r="BR78" s="8"/>
      <c r="BS78" s="8"/>
      <c r="BT78" s="8"/>
      <c r="BU78" s="8"/>
      <c r="BV78" s="8"/>
      <c r="BW78" s="8"/>
      <c r="BX78" s="8"/>
      <c r="BY78" s="8"/>
      <c r="BZ78" s="8"/>
      <c r="CA78" s="93"/>
    </row>
    <row r="79" spans="1:79" ht="15.6" customHeight="1" x14ac:dyDescent="0.25">
      <c r="A79" s="7"/>
      <c r="B79" s="8"/>
      <c r="C79" s="8"/>
      <c r="D79" s="8"/>
      <c r="E79" s="8"/>
      <c r="F79" s="8"/>
      <c r="G79" s="93"/>
      <c r="H79" s="142"/>
      <c r="I79" s="8"/>
      <c r="J79" s="9"/>
      <c r="K79" s="8"/>
      <c r="L79" s="8"/>
      <c r="M79" s="93"/>
      <c r="N79" s="8"/>
      <c r="O79" s="93"/>
      <c r="P79" s="142"/>
      <c r="Q79" s="8"/>
      <c r="R79" s="8"/>
      <c r="S79" s="8"/>
      <c r="T79" s="93"/>
      <c r="U79" s="8"/>
      <c r="V79" s="8"/>
      <c r="W79" s="8"/>
      <c r="X79" s="8"/>
      <c r="Y79" s="8"/>
      <c r="Z79" s="8"/>
      <c r="AA79" s="8"/>
      <c r="AB79" s="142"/>
      <c r="AC79" s="8"/>
      <c r="AD79" s="8"/>
      <c r="AE79" s="8"/>
      <c r="AF79" s="93"/>
      <c r="AG79" s="142"/>
      <c r="AH79" s="8"/>
      <c r="AI79" s="8"/>
      <c r="AJ79" s="8"/>
      <c r="AK79" s="93"/>
      <c r="AL79" s="142"/>
      <c r="AM79" s="8"/>
      <c r="AN79" s="8"/>
      <c r="AO79" s="8"/>
      <c r="AP79" s="93"/>
      <c r="AQ79" s="142"/>
      <c r="AR79" s="8"/>
      <c r="AS79" s="8"/>
      <c r="AT79" s="8"/>
      <c r="AU79" s="8"/>
      <c r="AV79" s="8"/>
      <c r="AW79" s="8"/>
      <c r="AX79" s="8"/>
      <c r="AY79" s="8"/>
      <c r="AZ79" s="8"/>
      <c r="BA79" s="8"/>
      <c r="BB79" s="8"/>
      <c r="BC79" s="93"/>
      <c r="BD79" s="142"/>
      <c r="BE79" s="8"/>
      <c r="BF79" s="8"/>
      <c r="BG79" s="8"/>
      <c r="BH79" s="8"/>
      <c r="BI79" s="8"/>
      <c r="BJ79" s="8"/>
      <c r="BK79" s="8"/>
      <c r="BL79" s="8"/>
      <c r="BM79" s="8"/>
      <c r="BN79" s="8"/>
      <c r="BO79" s="8"/>
      <c r="BP79" s="8"/>
      <c r="BQ79" s="8"/>
      <c r="BR79" s="8"/>
      <c r="BS79" s="8"/>
      <c r="BT79" s="8"/>
      <c r="BU79" s="8"/>
      <c r="BV79" s="8"/>
      <c r="BW79" s="8"/>
      <c r="BX79" s="8"/>
      <c r="BY79" s="8"/>
      <c r="BZ79" s="8"/>
      <c r="CA79" s="93"/>
    </row>
    <row r="80" spans="1:79" ht="15.6" customHeight="1" x14ac:dyDescent="0.25">
      <c r="A80" s="7"/>
      <c r="B80" s="8"/>
      <c r="C80" s="8"/>
      <c r="D80" s="8"/>
      <c r="E80" s="8"/>
      <c r="F80" s="8"/>
      <c r="G80" s="93"/>
      <c r="H80" s="142"/>
      <c r="I80" s="8"/>
      <c r="J80" s="9"/>
      <c r="K80" s="8"/>
      <c r="L80" s="8"/>
      <c r="M80" s="93"/>
      <c r="N80" s="8"/>
      <c r="O80" s="93"/>
      <c r="P80" s="142"/>
      <c r="Q80" s="8"/>
      <c r="R80" s="8"/>
      <c r="S80" s="8"/>
      <c r="T80" s="93"/>
      <c r="U80" s="8"/>
      <c r="V80" s="8"/>
      <c r="W80" s="8"/>
      <c r="X80" s="8"/>
      <c r="Y80" s="8"/>
      <c r="Z80" s="8"/>
      <c r="AA80" s="8"/>
      <c r="AB80" s="142"/>
      <c r="AC80" s="8"/>
      <c r="AD80" s="8"/>
      <c r="AE80" s="8"/>
      <c r="AF80" s="93"/>
      <c r="AG80" s="142"/>
      <c r="AH80" s="8"/>
      <c r="AI80" s="8"/>
      <c r="AJ80" s="8"/>
      <c r="AK80" s="93"/>
      <c r="AL80" s="142"/>
      <c r="AM80" s="8"/>
      <c r="AN80" s="8"/>
      <c r="AO80" s="8"/>
      <c r="AP80" s="93"/>
      <c r="AQ80" s="142"/>
      <c r="AR80" s="8"/>
      <c r="AS80" s="8"/>
      <c r="AT80" s="8"/>
      <c r="AU80" s="8"/>
      <c r="AV80" s="8"/>
      <c r="AW80" s="8"/>
      <c r="AX80" s="8"/>
      <c r="AY80" s="8"/>
      <c r="AZ80" s="8"/>
      <c r="BA80" s="8"/>
      <c r="BB80" s="8"/>
      <c r="BC80" s="93"/>
      <c r="BD80" s="142"/>
      <c r="BE80" s="8"/>
      <c r="BF80" s="8"/>
      <c r="BG80" s="8"/>
      <c r="BH80" s="8"/>
      <c r="BI80" s="8"/>
      <c r="BJ80" s="8"/>
      <c r="BK80" s="8"/>
      <c r="BL80" s="8"/>
      <c r="BM80" s="8"/>
      <c r="BN80" s="8"/>
      <c r="BO80" s="8"/>
      <c r="BP80" s="8"/>
      <c r="BQ80" s="8"/>
      <c r="BR80" s="8"/>
      <c r="BS80" s="8"/>
      <c r="BT80" s="8"/>
      <c r="BU80" s="8"/>
      <c r="BV80" s="8"/>
      <c r="BW80" s="8"/>
      <c r="BX80" s="8"/>
      <c r="BY80" s="8"/>
      <c r="BZ80" s="8"/>
      <c r="CA80" s="93"/>
    </row>
    <row r="81" spans="1:220" ht="15.6" customHeight="1" x14ac:dyDescent="0.25">
      <c r="A81" s="7"/>
      <c r="B81" s="8"/>
      <c r="C81" s="8"/>
      <c r="D81" s="8"/>
      <c r="E81" s="8"/>
      <c r="F81" s="8"/>
      <c r="G81" s="93"/>
      <c r="H81" s="142"/>
      <c r="I81" s="8"/>
      <c r="J81" s="9"/>
      <c r="K81" s="8"/>
      <c r="L81" s="8"/>
      <c r="M81" s="93"/>
      <c r="N81" s="8"/>
      <c r="O81" s="93"/>
      <c r="P81" s="142"/>
      <c r="Q81" s="8"/>
      <c r="R81" s="8"/>
      <c r="S81" s="8"/>
      <c r="T81" s="93"/>
      <c r="U81" s="8"/>
      <c r="V81" s="8"/>
      <c r="W81" s="8"/>
      <c r="X81" s="8"/>
      <c r="Y81" s="8"/>
      <c r="Z81" s="8"/>
      <c r="AA81" s="8"/>
      <c r="AB81" s="142"/>
      <c r="AC81" s="8"/>
      <c r="AD81" s="8"/>
      <c r="AE81" s="8"/>
      <c r="AF81" s="93"/>
      <c r="AG81" s="142"/>
      <c r="AH81" s="8"/>
      <c r="AI81" s="8"/>
      <c r="AJ81" s="8"/>
      <c r="AK81" s="93"/>
      <c r="AL81" s="142"/>
      <c r="AM81" s="8"/>
      <c r="AN81" s="8"/>
      <c r="AO81" s="8"/>
      <c r="AP81" s="93"/>
      <c r="AQ81" s="142"/>
      <c r="AR81" s="8"/>
      <c r="AS81" s="8"/>
      <c r="AT81" s="8"/>
      <c r="AU81" s="8"/>
      <c r="AV81" s="8"/>
      <c r="AW81" s="8"/>
      <c r="AX81" s="8"/>
      <c r="AY81" s="8"/>
      <c r="AZ81" s="8"/>
      <c r="BA81" s="8"/>
      <c r="BB81" s="8"/>
      <c r="BC81" s="93"/>
      <c r="BD81" s="142"/>
      <c r="BE81" s="8"/>
      <c r="BF81" s="8"/>
      <c r="BG81" s="8"/>
      <c r="BH81" s="8"/>
      <c r="BI81" s="8"/>
      <c r="BJ81" s="8"/>
      <c r="BK81" s="8"/>
      <c r="BL81" s="8"/>
      <c r="BM81" s="8"/>
      <c r="BN81" s="8"/>
      <c r="BO81" s="8"/>
      <c r="BP81" s="8"/>
      <c r="BQ81" s="8"/>
      <c r="BR81" s="8"/>
      <c r="BS81" s="8"/>
      <c r="BT81" s="8"/>
      <c r="BU81" s="8"/>
      <c r="BV81" s="8"/>
      <c r="BW81" s="8"/>
      <c r="BX81" s="8"/>
      <c r="BY81" s="8"/>
      <c r="BZ81" s="8"/>
      <c r="CA81" s="93"/>
    </row>
    <row r="82" spans="1:220" ht="15.6" customHeight="1" x14ac:dyDescent="0.25">
      <c r="A82" s="7"/>
      <c r="B82" s="8"/>
      <c r="C82" s="8"/>
      <c r="D82" s="8"/>
      <c r="E82" s="8"/>
      <c r="F82" s="8"/>
      <c r="G82" s="93"/>
      <c r="H82" s="142"/>
      <c r="I82" s="8"/>
      <c r="J82" s="9"/>
      <c r="K82" s="8"/>
      <c r="L82" s="8"/>
      <c r="M82" s="93"/>
      <c r="N82" s="8"/>
      <c r="O82" s="93"/>
      <c r="P82" s="142"/>
      <c r="Q82" s="8"/>
      <c r="R82" s="8"/>
      <c r="S82" s="8"/>
      <c r="T82" s="93"/>
      <c r="U82" s="8"/>
      <c r="V82" s="8"/>
      <c r="W82" s="8"/>
      <c r="X82" s="8"/>
      <c r="Y82" s="8"/>
      <c r="Z82" s="8"/>
      <c r="AA82" s="8"/>
      <c r="AB82" s="142"/>
      <c r="AC82" s="8"/>
      <c r="AD82" s="8"/>
      <c r="AE82" s="8"/>
      <c r="AF82" s="93"/>
      <c r="AG82" s="142"/>
      <c r="AH82" s="8"/>
      <c r="AI82" s="8"/>
      <c r="AJ82" s="8"/>
      <c r="AK82" s="93"/>
      <c r="AL82" s="142"/>
      <c r="AM82" s="8"/>
      <c r="AN82" s="8"/>
      <c r="AO82" s="8"/>
      <c r="AP82" s="93"/>
      <c r="AQ82" s="142"/>
      <c r="AR82" s="8"/>
      <c r="AS82" s="8"/>
      <c r="AT82" s="8"/>
      <c r="AU82" s="8"/>
      <c r="AV82" s="8"/>
      <c r="AW82" s="8"/>
      <c r="AX82" s="8"/>
      <c r="AY82" s="8"/>
      <c r="AZ82" s="8"/>
      <c r="BA82" s="8"/>
      <c r="BB82" s="8"/>
      <c r="BC82" s="93"/>
      <c r="BD82" s="142"/>
      <c r="BE82" s="8"/>
      <c r="BF82" s="8"/>
      <c r="BG82" s="8"/>
      <c r="BH82" s="8"/>
      <c r="BI82" s="8"/>
      <c r="BJ82" s="8"/>
      <c r="BK82" s="8"/>
      <c r="BL82" s="8"/>
      <c r="BM82" s="8"/>
      <c r="BN82" s="8"/>
      <c r="BO82" s="8"/>
      <c r="BP82" s="8"/>
      <c r="BQ82" s="8"/>
      <c r="BR82" s="8"/>
      <c r="BS82" s="8"/>
      <c r="BT82" s="8"/>
      <c r="BU82" s="8"/>
      <c r="BV82" s="8"/>
      <c r="BW82" s="8"/>
      <c r="BX82" s="8"/>
      <c r="BY82" s="8"/>
      <c r="BZ82" s="8"/>
      <c r="CA82" s="93"/>
    </row>
    <row r="83" spans="1:220" ht="15.6" customHeight="1" x14ac:dyDescent="0.25">
      <c r="A83" s="7"/>
      <c r="B83" s="8"/>
      <c r="C83" s="8"/>
      <c r="D83" s="8"/>
      <c r="E83" s="8"/>
      <c r="F83" s="8"/>
      <c r="G83" s="93"/>
      <c r="H83" s="142"/>
      <c r="I83" s="8"/>
      <c r="J83" s="9"/>
      <c r="K83" s="8"/>
      <c r="L83" s="8"/>
      <c r="M83" s="93"/>
      <c r="N83" s="8"/>
      <c r="O83" s="93"/>
      <c r="P83" s="142"/>
      <c r="Q83" s="8"/>
      <c r="R83" s="8"/>
      <c r="S83" s="8"/>
      <c r="T83" s="93"/>
      <c r="U83" s="8"/>
      <c r="V83" s="8"/>
      <c r="W83" s="8"/>
      <c r="X83" s="8"/>
      <c r="Y83" s="8"/>
      <c r="Z83" s="8"/>
      <c r="AA83" s="8"/>
      <c r="AB83" s="142"/>
      <c r="AC83" s="8"/>
      <c r="AD83" s="8"/>
      <c r="AE83" s="8"/>
      <c r="AF83" s="93"/>
      <c r="AG83" s="142"/>
      <c r="AH83" s="8"/>
      <c r="AI83" s="8"/>
      <c r="AJ83" s="8"/>
      <c r="AK83" s="93"/>
      <c r="AL83" s="142"/>
      <c r="AM83" s="8"/>
      <c r="AN83" s="8"/>
      <c r="AO83" s="8"/>
      <c r="AP83" s="93"/>
      <c r="AQ83" s="142"/>
      <c r="AR83" s="8"/>
      <c r="AS83" s="8"/>
      <c r="AT83" s="8"/>
      <c r="AU83" s="8"/>
      <c r="AV83" s="8"/>
      <c r="AW83" s="8"/>
      <c r="AX83" s="8"/>
      <c r="AY83" s="8"/>
      <c r="AZ83" s="8"/>
      <c r="BA83" s="8"/>
      <c r="BB83" s="8"/>
      <c r="BC83" s="93"/>
      <c r="BD83" s="142"/>
      <c r="BE83" s="8"/>
      <c r="BF83" s="8"/>
      <c r="BG83" s="8"/>
      <c r="BH83" s="8"/>
      <c r="BI83" s="8"/>
      <c r="BJ83" s="8"/>
      <c r="BK83" s="8"/>
      <c r="BL83" s="8"/>
      <c r="BM83" s="8"/>
      <c r="BN83" s="8"/>
      <c r="BO83" s="8"/>
      <c r="BP83" s="8"/>
      <c r="BQ83" s="8"/>
      <c r="BR83" s="8"/>
      <c r="BS83" s="8"/>
      <c r="BT83" s="8"/>
      <c r="BU83" s="8"/>
      <c r="BV83" s="8"/>
      <c r="BW83" s="8"/>
      <c r="BX83" s="8"/>
      <c r="BY83" s="8"/>
      <c r="BZ83" s="8"/>
      <c r="CA83" s="93"/>
    </row>
    <row r="84" spans="1:220" ht="15.6" customHeight="1" x14ac:dyDescent="0.25">
      <c r="A84" s="7"/>
      <c r="B84" s="8"/>
      <c r="C84" s="8"/>
      <c r="D84" s="8"/>
      <c r="E84" s="8"/>
      <c r="F84" s="8"/>
      <c r="G84" s="93"/>
      <c r="H84" s="142"/>
      <c r="I84" s="8"/>
      <c r="J84" s="9"/>
      <c r="K84" s="8"/>
      <c r="L84" s="8"/>
      <c r="M84" s="93"/>
      <c r="N84" s="8"/>
      <c r="O84" s="93"/>
      <c r="P84" s="142"/>
      <c r="Q84" s="8"/>
      <c r="R84" s="8"/>
      <c r="S84" s="8"/>
      <c r="T84" s="93"/>
      <c r="U84" s="8"/>
      <c r="V84" s="8"/>
      <c r="W84" s="8"/>
      <c r="X84" s="8"/>
      <c r="Y84" s="8"/>
      <c r="Z84" s="8"/>
      <c r="AA84" s="8"/>
      <c r="AB84" s="142"/>
      <c r="AC84" s="8"/>
      <c r="AD84" s="8"/>
      <c r="AE84" s="8"/>
      <c r="AF84" s="93"/>
      <c r="AG84" s="142"/>
      <c r="AH84" s="8"/>
      <c r="AI84" s="8"/>
      <c r="AJ84" s="8"/>
      <c r="AK84" s="93"/>
      <c r="AL84" s="142"/>
      <c r="AM84" s="8"/>
      <c r="AN84" s="8"/>
      <c r="AO84" s="8"/>
      <c r="AP84" s="93"/>
      <c r="AQ84" s="142"/>
      <c r="AR84" s="8"/>
      <c r="AS84" s="8"/>
      <c r="AT84" s="8"/>
      <c r="AU84" s="8"/>
      <c r="AV84" s="8"/>
      <c r="AW84" s="8"/>
      <c r="AX84" s="8"/>
      <c r="AY84" s="8"/>
      <c r="AZ84" s="8"/>
      <c r="BA84" s="8"/>
      <c r="BB84" s="8"/>
      <c r="BC84" s="93"/>
      <c r="BD84" s="142"/>
      <c r="BE84" s="8"/>
      <c r="BF84" s="8"/>
      <c r="BG84" s="8"/>
      <c r="BH84" s="8"/>
      <c r="BI84" s="8"/>
      <c r="BJ84" s="8"/>
      <c r="BK84" s="8"/>
      <c r="BL84" s="8"/>
      <c r="BM84" s="8"/>
      <c r="BN84" s="8"/>
      <c r="BO84" s="8"/>
      <c r="BP84" s="8"/>
      <c r="BQ84" s="8"/>
      <c r="BR84" s="8"/>
      <c r="BS84" s="8"/>
      <c r="BT84" s="8"/>
      <c r="BU84" s="8"/>
      <c r="BV84" s="8"/>
      <c r="BW84" s="8"/>
      <c r="BX84" s="8"/>
      <c r="BY84" s="8"/>
      <c r="BZ84" s="8"/>
      <c r="CA84" s="93"/>
    </row>
    <row r="85" spans="1:220" ht="15.6" customHeight="1" x14ac:dyDescent="0.25">
      <c r="A85" s="121"/>
      <c r="B85" s="8"/>
      <c r="C85" s="8"/>
      <c r="D85" s="8"/>
      <c r="E85" s="8"/>
      <c r="F85" s="8"/>
      <c r="G85" s="93"/>
      <c r="H85" s="142"/>
      <c r="I85" s="8"/>
      <c r="J85" s="9"/>
      <c r="K85" s="8"/>
      <c r="L85" s="8"/>
      <c r="M85" s="93"/>
      <c r="N85" s="8"/>
      <c r="O85" s="93"/>
      <c r="P85" s="142"/>
      <c r="Q85" s="8"/>
      <c r="R85" s="8"/>
      <c r="S85" s="8"/>
      <c r="T85" s="93"/>
      <c r="U85" s="8"/>
      <c r="V85" s="8"/>
      <c r="W85" s="8"/>
      <c r="X85" s="8"/>
      <c r="Y85" s="8"/>
      <c r="Z85" s="8"/>
      <c r="AA85" s="8"/>
      <c r="AB85" s="142"/>
      <c r="AC85" s="8"/>
      <c r="AD85" s="8"/>
      <c r="AE85" s="8"/>
      <c r="AF85" s="93"/>
      <c r="AG85" s="142"/>
      <c r="AH85" s="8"/>
      <c r="AI85" s="8"/>
      <c r="AJ85" s="8"/>
      <c r="AK85" s="93"/>
      <c r="AL85" s="142"/>
      <c r="AM85" s="8"/>
      <c r="AN85" s="8"/>
      <c r="AO85" s="8"/>
      <c r="AP85" s="93"/>
      <c r="AQ85" s="142"/>
      <c r="AR85" s="8"/>
      <c r="AS85" s="8"/>
      <c r="AT85" s="8"/>
      <c r="AU85" s="8"/>
      <c r="AV85" s="8"/>
      <c r="AW85" s="8"/>
      <c r="AX85" s="8"/>
      <c r="AY85" s="8"/>
      <c r="AZ85" s="8"/>
      <c r="BA85" s="8"/>
      <c r="BB85" s="8"/>
      <c r="BC85" s="93"/>
      <c r="BD85" s="142"/>
      <c r="BE85" s="8"/>
      <c r="BF85" s="8"/>
      <c r="BG85" s="8"/>
      <c r="BH85" s="8"/>
      <c r="BI85" s="8"/>
      <c r="BJ85" s="8"/>
      <c r="BK85" s="8"/>
      <c r="BL85" s="8"/>
      <c r="BM85" s="8"/>
      <c r="BN85" s="8"/>
      <c r="BO85" s="8"/>
      <c r="BP85" s="8"/>
      <c r="BQ85" s="8"/>
      <c r="BR85" s="8"/>
      <c r="BS85" s="8"/>
      <c r="BT85" s="8"/>
      <c r="BU85" s="8"/>
      <c r="BV85" s="8"/>
      <c r="BW85" s="8"/>
      <c r="BX85" s="8"/>
      <c r="BY85" s="8"/>
      <c r="BZ85" s="8"/>
      <c r="CA85" s="93"/>
    </row>
    <row r="86" spans="1:220" ht="15.6" customHeight="1" x14ac:dyDescent="0.25">
      <c r="A86" s="121">
        <v>1</v>
      </c>
      <c r="B86" s="122">
        <v>1</v>
      </c>
      <c r="C86" s="122">
        <v>1</v>
      </c>
      <c r="D86" s="122">
        <v>1</v>
      </c>
      <c r="E86" s="122">
        <v>1</v>
      </c>
      <c r="F86" s="122">
        <v>1</v>
      </c>
      <c r="G86" s="123">
        <v>1</v>
      </c>
      <c r="H86" s="143">
        <v>1</v>
      </c>
      <c r="I86" s="122">
        <v>1</v>
      </c>
      <c r="J86" s="172">
        <v>1</v>
      </c>
      <c r="K86" s="122">
        <v>1</v>
      </c>
      <c r="L86" s="122">
        <v>1</v>
      </c>
      <c r="M86" s="122">
        <v>1</v>
      </c>
      <c r="N86" s="122">
        <v>1</v>
      </c>
      <c r="O86" s="123">
        <v>1</v>
      </c>
      <c r="P86" s="143">
        <v>1</v>
      </c>
      <c r="Q86" s="122">
        <v>1</v>
      </c>
      <c r="R86" s="122">
        <v>1</v>
      </c>
      <c r="S86" s="122">
        <v>1</v>
      </c>
      <c r="T86" s="123">
        <v>1</v>
      </c>
      <c r="U86" s="122">
        <v>1</v>
      </c>
      <c r="V86" s="122">
        <v>1</v>
      </c>
      <c r="W86" s="122">
        <v>1</v>
      </c>
      <c r="X86" s="122">
        <v>1</v>
      </c>
      <c r="Y86" s="122">
        <v>1</v>
      </c>
      <c r="Z86" s="122">
        <v>1</v>
      </c>
      <c r="AA86" s="122">
        <v>1</v>
      </c>
      <c r="AB86" s="143">
        <v>1</v>
      </c>
      <c r="AC86" s="122">
        <v>1</v>
      </c>
      <c r="AD86" s="122">
        <v>1</v>
      </c>
      <c r="AE86" s="122">
        <v>1</v>
      </c>
      <c r="AF86" s="123">
        <v>1</v>
      </c>
      <c r="AG86" s="143">
        <v>1</v>
      </c>
      <c r="AH86" s="122">
        <v>1</v>
      </c>
      <c r="AI86" s="122">
        <v>1</v>
      </c>
      <c r="AJ86" s="122">
        <v>1</v>
      </c>
      <c r="AK86" s="123">
        <v>1</v>
      </c>
      <c r="AL86" s="143">
        <v>1</v>
      </c>
      <c r="AM86" s="122">
        <v>1</v>
      </c>
      <c r="AN86" s="122">
        <v>1</v>
      </c>
      <c r="AO86" s="122">
        <v>1</v>
      </c>
      <c r="AP86" s="123">
        <v>1</v>
      </c>
      <c r="AQ86" s="143">
        <v>1</v>
      </c>
      <c r="AR86" s="122">
        <v>1</v>
      </c>
      <c r="AS86" s="122">
        <v>1</v>
      </c>
      <c r="AT86" s="122">
        <v>1</v>
      </c>
      <c r="AU86" s="122">
        <v>1</v>
      </c>
      <c r="AV86" s="122">
        <v>1</v>
      </c>
      <c r="AW86" s="122">
        <v>1</v>
      </c>
      <c r="AX86" s="122">
        <v>1</v>
      </c>
      <c r="AY86" s="122">
        <v>1</v>
      </c>
      <c r="AZ86" s="122">
        <v>1</v>
      </c>
      <c r="BA86" s="122">
        <v>1</v>
      </c>
      <c r="BB86" s="122">
        <v>1</v>
      </c>
      <c r="BC86" s="123">
        <v>1</v>
      </c>
      <c r="BD86" s="143">
        <v>1</v>
      </c>
      <c r="BE86" s="122">
        <v>1</v>
      </c>
      <c r="BF86" s="122">
        <v>1</v>
      </c>
      <c r="BG86" s="122">
        <v>1</v>
      </c>
      <c r="BH86" s="122">
        <v>1</v>
      </c>
      <c r="BI86" s="122">
        <v>1</v>
      </c>
      <c r="BJ86" s="122">
        <v>1</v>
      </c>
      <c r="BK86" s="122">
        <v>1</v>
      </c>
      <c r="BL86" s="122">
        <v>1</v>
      </c>
      <c r="BM86" s="122">
        <v>1</v>
      </c>
      <c r="BN86" s="122">
        <v>1</v>
      </c>
      <c r="BO86" s="122">
        <v>1</v>
      </c>
      <c r="BP86" s="122">
        <v>1</v>
      </c>
      <c r="BQ86" s="122">
        <v>1</v>
      </c>
      <c r="BR86" s="122">
        <v>1</v>
      </c>
      <c r="BS86" s="122">
        <v>1</v>
      </c>
      <c r="BT86" s="122">
        <v>1</v>
      </c>
      <c r="BU86" s="122">
        <v>1</v>
      </c>
      <c r="BV86" s="122">
        <v>1</v>
      </c>
      <c r="BW86" s="122">
        <v>1</v>
      </c>
      <c r="BX86" s="122">
        <v>1</v>
      </c>
      <c r="BY86" s="122">
        <v>1</v>
      </c>
      <c r="BZ86" s="122">
        <v>1</v>
      </c>
      <c r="CA86" s="123">
        <v>1</v>
      </c>
      <c r="CB86" s="124">
        <v>1</v>
      </c>
      <c r="CC86" s="124">
        <v>1</v>
      </c>
      <c r="CD86" s="124">
        <v>1</v>
      </c>
      <c r="CE86" s="124">
        <v>1</v>
      </c>
      <c r="CF86" s="124">
        <v>1</v>
      </c>
      <c r="CG86" s="124">
        <v>1</v>
      </c>
      <c r="CH86" s="124">
        <v>1</v>
      </c>
      <c r="CI86" s="124">
        <v>1</v>
      </c>
      <c r="CJ86" s="124">
        <v>1</v>
      </c>
      <c r="CK86" s="124">
        <v>1</v>
      </c>
      <c r="CL86" s="124">
        <v>1</v>
      </c>
      <c r="CM86" s="124">
        <v>1</v>
      </c>
      <c r="CN86" s="124">
        <v>1</v>
      </c>
      <c r="CO86" s="124">
        <v>1</v>
      </c>
      <c r="CP86" s="124">
        <v>1</v>
      </c>
      <c r="CQ86" s="124">
        <v>1</v>
      </c>
      <c r="CR86" s="124">
        <v>1</v>
      </c>
      <c r="CS86" s="124">
        <v>1</v>
      </c>
      <c r="CT86" s="124">
        <v>1</v>
      </c>
      <c r="CU86" s="124">
        <v>1</v>
      </c>
      <c r="CV86" s="124">
        <v>1</v>
      </c>
      <c r="CW86" s="124">
        <v>1</v>
      </c>
      <c r="CX86" s="124">
        <v>1</v>
      </c>
      <c r="CY86" s="124">
        <v>1</v>
      </c>
      <c r="CZ86" s="124">
        <v>1</v>
      </c>
      <c r="DA86" s="124">
        <v>1</v>
      </c>
      <c r="DB86" s="124">
        <v>1</v>
      </c>
      <c r="DC86" s="124">
        <v>1</v>
      </c>
      <c r="DD86" s="124">
        <v>1</v>
      </c>
      <c r="DE86" s="124">
        <v>1</v>
      </c>
      <c r="DF86" s="124">
        <v>1</v>
      </c>
      <c r="DG86" s="124"/>
      <c r="DH86" s="124">
        <v>1</v>
      </c>
      <c r="DI86" s="124">
        <v>1</v>
      </c>
      <c r="DJ86" s="124">
        <v>1</v>
      </c>
      <c r="DK86" s="124"/>
      <c r="DL86" s="124">
        <v>1</v>
      </c>
      <c r="DM86" s="124">
        <v>1</v>
      </c>
      <c r="DN86" s="124">
        <v>1</v>
      </c>
      <c r="DO86" s="124">
        <v>1</v>
      </c>
      <c r="DP86" s="124">
        <v>1</v>
      </c>
      <c r="DQ86" s="124">
        <v>1</v>
      </c>
      <c r="DR86" s="124">
        <v>1</v>
      </c>
      <c r="DS86" s="124">
        <v>1</v>
      </c>
      <c r="DT86" s="124">
        <v>1</v>
      </c>
      <c r="DU86" s="124">
        <v>1</v>
      </c>
      <c r="DV86" s="124">
        <v>1</v>
      </c>
      <c r="DW86" s="124">
        <v>1</v>
      </c>
      <c r="DX86" s="124">
        <v>1</v>
      </c>
      <c r="DY86" s="124">
        <v>1</v>
      </c>
      <c r="DZ86" s="124">
        <v>1</v>
      </c>
      <c r="EA86" s="124">
        <v>1</v>
      </c>
      <c r="EB86" s="124"/>
      <c r="EC86" s="124">
        <v>1</v>
      </c>
      <c r="ED86" s="124"/>
      <c r="EE86" s="124">
        <v>1</v>
      </c>
      <c r="EF86" s="124"/>
      <c r="EG86" s="124">
        <v>1</v>
      </c>
      <c r="EH86" s="124"/>
      <c r="EI86" s="124">
        <v>1</v>
      </c>
      <c r="EJ86" s="124">
        <v>1</v>
      </c>
      <c r="EK86" s="124">
        <v>1</v>
      </c>
      <c r="EL86" s="124">
        <v>1</v>
      </c>
      <c r="EM86" s="124">
        <v>1</v>
      </c>
      <c r="EN86" s="124">
        <v>1</v>
      </c>
      <c r="EO86" s="124">
        <v>1</v>
      </c>
      <c r="EP86" s="124">
        <v>1</v>
      </c>
      <c r="EQ86" s="124">
        <v>1</v>
      </c>
      <c r="ER86" s="124">
        <v>1</v>
      </c>
      <c r="ES86" s="124">
        <v>1</v>
      </c>
      <c r="ET86" s="124">
        <v>1</v>
      </c>
      <c r="EU86" s="124">
        <v>1</v>
      </c>
      <c r="EV86" s="124">
        <v>1</v>
      </c>
      <c r="EW86" s="124">
        <v>1</v>
      </c>
      <c r="EX86" s="124">
        <v>1</v>
      </c>
      <c r="EY86" s="124">
        <v>1</v>
      </c>
      <c r="EZ86" s="124">
        <v>1</v>
      </c>
      <c r="FA86" s="124">
        <v>1</v>
      </c>
      <c r="FB86" s="124">
        <v>1</v>
      </c>
      <c r="FC86" s="124">
        <v>1</v>
      </c>
      <c r="FD86" s="124">
        <v>1</v>
      </c>
      <c r="FE86" s="124">
        <v>1</v>
      </c>
      <c r="FF86" s="124">
        <v>1</v>
      </c>
      <c r="FG86" s="124">
        <v>1</v>
      </c>
      <c r="FH86" s="124">
        <v>1</v>
      </c>
      <c r="FI86" s="124">
        <v>1</v>
      </c>
      <c r="FJ86" s="124">
        <v>1</v>
      </c>
      <c r="FK86" s="124">
        <v>1</v>
      </c>
      <c r="FL86" s="124">
        <v>1</v>
      </c>
      <c r="FM86" s="124">
        <v>1</v>
      </c>
      <c r="FN86" s="124">
        <v>1</v>
      </c>
      <c r="FO86" s="124">
        <v>1</v>
      </c>
      <c r="FP86" s="124">
        <v>1</v>
      </c>
      <c r="FQ86" s="124">
        <v>1</v>
      </c>
      <c r="FR86" s="124">
        <v>1</v>
      </c>
      <c r="FS86" s="124">
        <v>1</v>
      </c>
      <c r="FT86" s="124">
        <v>1</v>
      </c>
      <c r="FU86" s="124">
        <v>1</v>
      </c>
      <c r="FV86" s="124">
        <v>1</v>
      </c>
      <c r="FW86" s="124">
        <v>1</v>
      </c>
      <c r="FX86" s="124">
        <v>1</v>
      </c>
      <c r="FY86" s="124">
        <v>1</v>
      </c>
      <c r="FZ86" s="124">
        <v>1</v>
      </c>
      <c r="GA86" s="124">
        <v>1</v>
      </c>
      <c r="GB86" s="124">
        <v>1</v>
      </c>
      <c r="GC86" s="124">
        <v>1</v>
      </c>
      <c r="GD86" s="124">
        <v>1</v>
      </c>
      <c r="GE86" s="124">
        <v>1</v>
      </c>
      <c r="GF86" s="124">
        <v>1</v>
      </c>
      <c r="GG86" s="124">
        <v>1</v>
      </c>
      <c r="GH86" s="124">
        <v>1</v>
      </c>
      <c r="GI86" s="124">
        <v>1</v>
      </c>
      <c r="GJ86" s="124">
        <v>1</v>
      </c>
      <c r="GK86" s="124">
        <v>1</v>
      </c>
      <c r="GL86" s="124">
        <v>1</v>
      </c>
      <c r="GM86" s="124">
        <v>1</v>
      </c>
      <c r="GN86" s="124">
        <v>1</v>
      </c>
      <c r="GO86" s="124">
        <v>1</v>
      </c>
      <c r="GP86" s="124">
        <v>1</v>
      </c>
      <c r="GQ86" s="124">
        <v>1</v>
      </c>
      <c r="GR86" s="124">
        <v>1</v>
      </c>
      <c r="GS86" s="124">
        <v>1</v>
      </c>
      <c r="GT86" s="124">
        <v>1</v>
      </c>
      <c r="GU86" s="124">
        <v>1</v>
      </c>
      <c r="GV86" s="124">
        <v>1</v>
      </c>
      <c r="GW86" s="124">
        <v>1</v>
      </c>
      <c r="GX86" s="124">
        <v>1</v>
      </c>
      <c r="GY86" s="124">
        <v>1</v>
      </c>
      <c r="GZ86" s="124">
        <v>1</v>
      </c>
      <c r="HA86" s="124">
        <v>1</v>
      </c>
      <c r="HB86" s="124">
        <v>1</v>
      </c>
      <c r="HC86" s="124">
        <v>1</v>
      </c>
      <c r="HD86" s="124">
        <v>1</v>
      </c>
      <c r="HE86" s="124">
        <v>1</v>
      </c>
      <c r="HF86" s="124">
        <v>1</v>
      </c>
      <c r="HG86" s="124">
        <v>1</v>
      </c>
      <c r="HH86" s="124">
        <v>1</v>
      </c>
      <c r="HI86" s="124">
        <v>1</v>
      </c>
      <c r="HJ86" s="124">
        <v>1</v>
      </c>
      <c r="HK86" s="124">
        <v>1</v>
      </c>
      <c r="HL86" s="124">
        <v>1</v>
      </c>
    </row>
    <row r="87" spans="1:220" ht="15.6" customHeight="1" x14ac:dyDescent="0.25">
      <c r="A87" s="7"/>
      <c r="B87" s="8"/>
      <c r="C87" s="8"/>
      <c r="D87" s="8"/>
      <c r="E87" s="8"/>
      <c r="F87" s="8"/>
      <c r="G87" s="93"/>
      <c r="H87" s="142"/>
      <c r="I87" s="93"/>
      <c r="J87" s="9"/>
      <c r="K87" s="8"/>
      <c r="L87" s="8"/>
      <c r="M87" s="93"/>
      <c r="N87" s="8"/>
      <c r="O87" s="93"/>
      <c r="P87" s="142"/>
      <c r="Q87" s="8"/>
      <c r="R87" s="8"/>
      <c r="S87" s="8"/>
      <c r="T87" s="93"/>
      <c r="U87" s="9"/>
      <c r="V87" s="8"/>
      <c r="W87" s="8"/>
      <c r="X87" s="8"/>
      <c r="Y87" s="8"/>
      <c r="Z87" s="8"/>
      <c r="AA87" s="8"/>
      <c r="AB87" s="136"/>
      <c r="AC87" s="8"/>
      <c r="AD87" s="8"/>
      <c r="AE87" s="8"/>
      <c r="AF87" s="93"/>
      <c r="AG87" s="142"/>
      <c r="AH87" s="8"/>
      <c r="AI87" s="8"/>
      <c r="AJ87" s="8"/>
      <c r="AK87" s="93"/>
      <c r="AL87" s="142"/>
      <c r="AM87" s="8"/>
      <c r="AN87" s="8"/>
      <c r="AO87" s="8"/>
      <c r="AP87" s="93"/>
      <c r="AQ87" s="142"/>
      <c r="AR87" s="8"/>
      <c r="AS87" s="8"/>
      <c r="AT87" s="8"/>
      <c r="AU87" s="8"/>
      <c r="AV87" s="8"/>
      <c r="AW87" s="8"/>
      <c r="AX87" s="8"/>
      <c r="AY87" s="8"/>
      <c r="AZ87" s="8"/>
      <c r="BA87" s="8"/>
      <c r="BB87" s="8"/>
      <c r="BC87" s="93"/>
      <c r="BD87" s="142"/>
      <c r="BE87" s="8"/>
      <c r="BF87" s="8"/>
      <c r="BG87" s="8"/>
      <c r="BH87" s="8"/>
      <c r="BI87" s="8"/>
      <c r="BJ87" s="8"/>
      <c r="BK87" s="8"/>
      <c r="BL87" s="8"/>
      <c r="BM87" s="8"/>
      <c r="BN87" s="8"/>
      <c r="BO87" s="8"/>
      <c r="BP87" s="8"/>
      <c r="BQ87" s="8"/>
      <c r="BR87" s="8"/>
      <c r="BS87" s="8"/>
      <c r="BT87" s="8"/>
      <c r="BU87" s="8"/>
      <c r="BV87" s="8"/>
      <c r="BW87" s="8"/>
      <c r="BX87" s="8"/>
      <c r="BY87" s="8"/>
      <c r="BZ87" s="8"/>
      <c r="CA87" s="93"/>
    </row>
    <row r="88" spans="1:220" ht="15.6" customHeight="1" x14ac:dyDescent="0.25">
      <c r="A88" s="7"/>
      <c r="B88" s="8"/>
      <c r="C88" s="8"/>
      <c r="D88" s="8"/>
      <c r="E88" s="8"/>
      <c r="F88" s="8"/>
      <c r="G88" s="93"/>
      <c r="H88" s="142"/>
      <c r="I88" s="93"/>
      <c r="J88" s="9"/>
      <c r="K88" s="8"/>
      <c r="L88" s="8"/>
      <c r="M88" s="93"/>
      <c r="N88" s="8"/>
      <c r="O88" s="93"/>
      <c r="P88" s="142"/>
      <c r="Q88" s="8"/>
      <c r="R88" s="8"/>
      <c r="S88" s="8"/>
      <c r="T88" s="93"/>
      <c r="U88" s="9"/>
      <c r="V88" s="8"/>
      <c r="W88" s="8"/>
      <c r="X88" s="8"/>
      <c r="Y88" s="8"/>
      <c r="Z88" s="8"/>
      <c r="AA88" s="8"/>
      <c r="AB88" s="136"/>
      <c r="AC88" s="8"/>
      <c r="AD88" s="8"/>
      <c r="AE88" s="8"/>
      <c r="AF88" s="93"/>
      <c r="AG88" s="142"/>
      <c r="AH88" s="8"/>
      <c r="AI88" s="8"/>
      <c r="AJ88" s="8"/>
      <c r="AK88" s="93"/>
      <c r="AL88" s="142"/>
      <c r="AM88" s="8"/>
      <c r="AN88" s="8"/>
      <c r="AO88" s="8"/>
      <c r="AP88" s="93"/>
      <c r="AQ88" s="142"/>
      <c r="AR88" s="8"/>
      <c r="AS88" s="8"/>
      <c r="AT88" s="8"/>
      <c r="AU88" s="8"/>
      <c r="AV88" s="8"/>
      <c r="AW88" s="8"/>
      <c r="AX88" s="8"/>
      <c r="AY88" s="8"/>
      <c r="AZ88" s="8"/>
      <c r="BA88" s="8"/>
      <c r="BB88" s="8"/>
      <c r="BC88" s="93"/>
      <c r="BD88" s="142"/>
      <c r="BE88" s="8"/>
      <c r="BF88" s="8"/>
      <c r="BG88" s="8"/>
      <c r="BH88" s="8"/>
      <c r="BI88" s="8"/>
      <c r="BJ88" s="8"/>
      <c r="BK88" s="8"/>
      <c r="BL88" s="8"/>
      <c r="BM88" s="8"/>
      <c r="BN88" s="8"/>
      <c r="BO88" s="8"/>
      <c r="BP88" s="8"/>
      <c r="BQ88" s="8"/>
      <c r="BR88" s="8"/>
      <c r="BS88" s="8"/>
      <c r="BT88" s="8"/>
      <c r="BU88" s="8"/>
      <c r="BV88" s="8"/>
      <c r="BW88" s="8"/>
      <c r="BX88" s="8"/>
      <c r="BY88" s="8"/>
      <c r="BZ88" s="8"/>
      <c r="CA88" s="93"/>
    </row>
    <row r="89" spans="1:220" ht="15.6" customHeight="1" x14ac:dyDescent="0.25">
      <c r="A89" s="7"/>
      <c r="B89" s="8"/>
      <c r="C89" s="8"/>
      <c r="D89" s="8"/>
      <c r="E89" s="8"/>
      <c r="F89" s="8"/>
      <c r="G89" s="93"/>
      <c r="H89" s="142"/>
      <c r="I89" s="93"/>
      <c r="J89" s="9"/>
      <c r="K89" s="8"/>
      <c r="L89" s="8"/>
      <c r="M89" s="93"/>
      <c r="N89" s="8"/>
      <c r="O89" s="93"/>
      <c r="P89" s="142"/>
      <c r="Q89" s="8"/>
      <c r="R89" s="8"/>
      <c r="S89" s="8"/>
      <c r="T89" s="93"/>
      <c r="U89" s="9"/>
      <c r="V89" s="8"/>
      <c r="W89" s="8"/>
      <c r="X89" s="8"/>
      <c r="Y89" s="8"/>
      <c r="Z89" s="8"/>
      <c r="AA89" s="8"/>
      <c r="AB89" s="136"/>
      <c r="AC89" s="8"/>
      <c r="AD89" s="8"/>
      <c r="AE89" s="8"/>
      <c r="AF89" s="93"/>
      <c r="AG89" s="142"/>
      <c r="AH89" s="8"/>
      <c r="AI89" s="8"/>
      <c r="AJ89" s="8"/>
      <c r="AK89" s="93"/>
      <c r="AL89" s="142"/>
      <c r="AM89" s="8"/>
      <c r="AN89" s="8"/>
      <c r="AO89" s="8"/>
      <c r="AP89" s="93"/>
      <c r="AQ89" s="142"/>
      <c r="AR89" s="8"/>
      <c r="AS89" s="8"/>
      <c r="AT89" s="8"/>
      <c r="AU89" s="8"/>
      <c r="AV89" s="8"/>
      <c r="AW89" s="8"/>
      <c r="AX89" s="8"/>
      <c r="AY89" s="8"/>
      <c r="AZ89" s="8"/>
      <c r="BA89" s="8"/>
      <c r="BB89" s="8"/>
      <c r="BC89" s="93"/>
      <c r="BD89" s="142"/>
      <c r="BE89" s="8"/>
      <c r="BF89" s="8"/>
      <c r="BG89" s="8"/>
      <c r="BH89" s="8"/>
      <c r="BI89" s="8"/>
      <c r="BJ89" s="8"/>
      <c r="BK89" s="8"/>
      <c r="BL89" s="8"/>
      <c r="BM89" s="8"/>
      <c r="BN89" s="8"/>
      <c r="BO89" s="8"/>
      <c r="BP89" s="8"/>
      <c r="BQ89" s="8"/>
      <c r="BR89" s="8"/>
      <c r="BS89" s="8"/>
      <c r="BT89" s="8"/>
      <c r="BU89" s="8"/>
      <c r="BV89" s="8"/>
      <c r="BW89" s="8"/>
      <c r="BX89" s="8"/>
      <c r="BY89" s="8"/>
      <c r="BZ89" s="8"/>
      <c r="CA89" s="93"/>
    </row>
    <row r="90" spans="1:220" ht="15.6" customHeight="1" x14ac:dyDescent="0.25">
      <c r="A90" s="7"/>
      <c r="B90" s="8"/>
      <c r="C90" s="8"/>
      <c r="D90" s="8"/>
      <c r="E90" s="8"/>
      <c r="F90" s="8"/>
      <c r="G90" s="93"/>
      <c r="H90" s="142"/>
      <c r="I90" s="93"/>
      <c r="J90" s="9"/>
      <c r="K90" s="8"/>
      <c r="L90" s="8"/>
      <c r="M90" s="93"/>
      <c r="N90" s="8"/>
      <c r="O90" s="93"/>
      <c r="P90" s="142"/>
      <c r="Q90" s="8"/>
      <c r="R90" s="8"/>
      <c r="S90" s="8"/>
      <c r="T90" s="93"/>
      <c r="U90" s="9"/>
      <c r="V90" s="8"/>
      <c r="W90" s="8"/>
      <c r="X90" s="8"/>
      <c r="Y90" s="8"/>
      <c r="Z90" s="8"/>
      <c r="AA90" s="8"/>
      <c r="AB90" s="136"/>
      <c r="AC90" s="8"/>
      <c r="AD90" s="8"/>
      <c r="AE90" s="8"/>
      <c r="AF90" s="93"/>
      <c r="AG90" s="142"/>
      <c r="AH90" s="8"/>
      <c r="AI90" s="8"/>
      <c r="AJ90" s="8"/>
      <c r="AK90" s="93"/>
      <c r="AL90" s="142"/>
      <c r="AM90" s="8"/>
      <c r="AN90" s="8"/>
      <c r="AO90" s="8"/>
      <c r="AP90" s="93"/>
      <c r="AQ90" s="142"/>
      <c r="AR90" s="8"/>
      <c r="AS90" s="8"/>
      <c r="AT90" s="8"/>
      <c r="AU90" s="8"/>
      <c r="AV90" s="8"/>
      <c r="AW90" s="8"/>
      <c r="AX90" s="8"/>
      <c r="AY90" s="8"/>
      <c r="AZ90" s="8"/>
      <c r="BA90" s="8"/>
      <c r="BB90" s="8"/>
      <c r="BC90" s="93"/>
      <c r="BD90" s="142"/>
      <c r="BE90" s="8"/>
      <c r="BF90" s="8"/>
      <c r="BG90" s="8"/>
      <c r="BH90" s="8"/>
      <c r="BI90" s="8"/>
      <c r="BJ90" s="8"/>
      <c r="BK90" s="8"/>
      <c r="BL90" s="8"/>
      <c r="BM90" s="8"/>
      <c r="BN90" s="8"/>
      <c r="BO90" s="8"/>
      <c r="BP90" s="8"/>
      <c r="BQ90" s="8"/>
      <c r="BR90" s="8"/>
      <c r="BS90" s="8"/>
      <c r="BT90" s="8"/>
      <c r="BU90" s="8"/>
      <c r="BV90" s="8"/>
      <c r="BW90" s="8"/>
      <c r="BX90" s="8"/>
      <c r="BY90" s="8"/>
      <c r="BZ90" s="8"/>
      <c r="CA90" s="93"/>
    </row>
    <row r="91" spans="1:220" ht="15.6" customHeight="1" x14ac:dyDescent="0.25">
      <c r="A91" s="7"/>
      <c r="B91" s="8"/>
      <c r="C91" s="8"/>
      <c r="D91" s="8"/>
      <c r="E91" s="8"/>
      <c r="F91" s="8"/>
      <c r="G91" s="93"/>
      <c r="H91" s="142"/>
      <c r="I91" s="93"/>
      <c r="J91" s="9"/>
      <c r="K91" s="8"/>
      <c r="L91" s="8"/>
      <c r="M91" s="93"/>
      <c r="N91" s="8"/>
      <c r="O91" s="93"/>
      <c r="P91" s="142"/>
      <c r="Q91" s="8"/>
      <c r="R91" s="8"/>
      <c r="S91" s="8"/>
      <c r="T91" s="93"/>
      <c r="U91" s="9"/>
      <c r="V91" s="8"/>
      <c r="W91" s="8"/>
      <c r="X91" s="8"/>
      <c r="Y91" s="8"/>
      <c r="Z91" s="8"/>
      <c r="AA91" s="8"/>
      <c r="AB91" s="136"/>
      <c r="AC91" s="8"/>
      <c r="AD91" s="8"/>
      <c r="AE91" s="8"/>
      <c r="AF91" s="93"/>
      <c r="AG91" s="142"/>
      <c r="AH91" s="8"/>
      <c r="AI91" s="8"/>
      <c r="AJ91" s="8"/>
      <c r="AK91" s="93"/>
      <c r="AL91" s="142"/>
      <c r="AM91" s="8"/>
      <c r="AN91" s="8"/>
      <c r="AO91" s="8"/>
      <c r="AP91" s="93"/>
      <c r="AQ91" s="142"/>
      <c r="AR91" s="8"/>
      <c r="AS91" s="8"/>
      <c r="AT91" s="8"/>
      <c r="AU91" s="8"/>
      <c r="AV91" s="8"/>
      <c r="AW91" s="8"/>
      <c r="AX91" s="8"/>
      <c r="AY91" s="8"/>
      <c r="AZ91" s="8"/>
      <c r="BA91" s="8"/>
      <c r="BB91" s="8"/>
      <c r="BC91" s="93"/>
      <c r="BD91" s="142"/>
      <c r="BE91" s="8"/>
      <c r="BF91" s="8"/>
      <c r="BG91" s="8"/>
      <c r="BH91" s="8"/>
      <c r="BI91" s="8"/>
      <c r="BJ91" s="8"/>
      <c r="BK91" s="8"/>
      <c r="BL91" s="8"/>
      <c r="BM91" s="8"/>
      <c r="BN91" s="8"/>
      <c r="BO91" s="8"/>
      <c r="BP91" s="8"/>
      <c r="BQ91" s="8"/>
      <c r="BR91" s="8"/>
      <c r="BS91" s="8"/>
      <c r="BT91" s="8"/>
      <c r="BU91" s="8"/>
      <c r="BV91" s="8"/>
      <c r="BW91" s="8"/>
      <c r="BX91" s="8"/>
      <c r="BY91" s="8"/>
      <c r="BZ91" s="8"/>
      <c r="CA91" s="93"/>
    </row>
    <row r="92" spans="1:220" ht="15.6" customHeight="1" x14ac:dyDescent="0.25">
      <c r="A92" s="7"/>
      <c r="B92" s="8"/>
      <c r="C92" s="8"/>
      <c r="D92" s="8"/>
      <c r="E92" s="8"/>
      <c r="F92" s="8"/>
      <c r="G92" s="93"/>
      <c r="H92" s="142"/>
      <c r="I92" s="93"/>
      <c r="J92" s="9"/>
      <c r="K92" s="8"/>
      <c r="L92" s="8"/>
      <c r="M92" s="93"/>
      <c r="N92" s="8"/>
      <c r="O92" s="93"/>
      <c r="P92" s="142"/>
      <c r="Q92" s="8"/>
      <c r="R92" s="8"/>
      <c r="S92" s="8"/>
      <c r="T92" s="93"/>
      <c r="U92" s="9"/>
      <c r="V92" s="8"/>
      <c r="W92" s="8"/>
      <c r="X92" s="8"/>
      <c r="Y92" s="8"/>
      <c r="Z92" s="8"/>
      <c r="AA92" s="8"/>
      <c r="AB92" s="136"/>
      <c r="AC92" s="8"/>
      <c r="AD92" s="8"/>
      <c r="AE92" s="8"/>
      <c r="AF92" s="93"/>
      <c r="AG92" s="142"/>
      <c r="AH92" s="8"/>
      <c r="AI92" s="8"/>
      <c r="AJ92" s="8"/>
      <c r="AK92" s="93"/>
      <c r="AL92" s="142"/>
      <c r="AM92" s="8"/>
      <c r="AN92" s="8"/>
      <c r="AO92" s="8"/>
      <c r="AP92" s="93"/>
      <c r="AQ92" s="142"/>
      <c r="AR92" s="8"/>
      <c r="AS92" s="8"/>
      <c r="AT92" s="8"/>
      <c r="AU92" s="8"/>
      <c r="AV92" s="8"/>
      <c r="AW92" s="8"/>
      <c r="AX92" s="8"/>
      <c r="AY92" s="8"/>
      <c r="AZ92" s="8"/>
      <c r="BA92" s="8"/>
      <c r="BB92" s="8"/>
      <c r="BC92" s="93"/>
      <c r="BD92" s="142"/>
      <c r="BE92" s="8"/>
      <c r="BF92" s="8"/>
      <c r="BG92" s="8"/>
      <c r="BH92" s="8"/>
      <c r="BI92" s="8"/>
      <c r="BJ92" s="8"/>
      <c r="BK92" s="8"/>
      <c r="BL92" s="8"/>
      <c r="BM92" s="8"/>
      <c r="BN92" s="8"/>
      <c r="BO92" s="8"/>
      <c r="BP92" s="8"/>
      <c r="BQ92" s="8"/>
      <c r="BR92" s="8"/>
      <c r="BS92" s="8"/>
      <c r="BT92" s="8"/>
      <c r="BU92" s="8"/>
      <c r="BV92" s="8"/>
      <c r="BW92" s="8"/>
      <c r="BX92" s="8"/>
      <c r="BY92" s="8"/>
      <c r="BZ92" s="8"/>
      <c r="CA92" s="93"/>
    </row>
    <row r="93" spans="1:220" ht="15.6" customHeight="1" x14ac:dyDescent="0.25">
      <c r="A93" s="7"/>
      <c r="B93" s="8"/>
      <c r="C93" s="8"/>
      <c r="D93" s="8"/>
      <c r="E93" s="8"/>
      <c r="F93" s="8"/>
      <c r="G93" s="93"/>
      <c r="H93" s="142"/>
      <c r="I93" s="93"/>
      <c r="J93" s="9"/>
      <c r="K93" s="8"/>
      <c r="L93" s="8"/>
      <c r="M93" s="93"/>
      <c r="N93" s="8"/>
      <c r="O93" s="93"/>
      <c r="P93" s="142"/>
      <c r="Q93" s="8"/>
      <c r="R93" s="8"/>
      <c r="S93" s="8"/>
      <c r="T93" s="93"/>
      <c r="U93" s="9"/>
      <c r="V93" s="8"/>
      <c r="W93" s="8"/>
      <c r="X93" s="8"/>
      <c r="Y93" s="8"/>
      <c r="Z93" s="8"/>
      <c r="AA93" s="8"/>
      <c r="AB93" s="136"/>
      <c r="AC93" s="8"/>
      <c r="AD93" s="8"/>
      <c r="AE93" s="8"/>
      <c r="AF93" s="93"/>
      <c r="AG93" s="142"/>
      <c r="AH93" s="8"/>
      <c r="AI93" s="8"/>
      <c r="AJ93" s="8"/>
      <c r="AK93" s="93"/>
      <c r="AL93" s="142"/>
      <c r="AM93" s="8"/>
      <c r="AN93" s="8"/>
      <c r="AO93" s="8"/>
      <c r="AP93" s="93"/>
      <c r="AQ93" s="142"/>
      <c r="AR93" s="8"/>
      <c r="AS93" s="8"/>
      <c r="AT93" s="8"/>
      <c r="AU93" s="8"/>
      <c r="AV93" s="8"/>
      <c r="AW93" s="8"/>
      <c r="AX93" s="8"/>
      <c r="AY93" s="8"/>
      <c r="AZ93" s="8"/>
      <c r="BA93" s="8"/>
      <c r="BB93" s="8"/>
      <c r="BC93" s="93"/>
      <c r="BD93" s="142"/>
      <c r="BE93" s="8"/>
      <c r="BF93" s="8"/>
      <c r="BG93" s="8"/>
      <c r="BH93" s="8"/>
      <c r="BI93" s="8"/>
      <c r="BJ93" s="8"/>
      <c r="BK93" s="8"/>
      <c r="BL93" s="8"/>
      <c r="BM93" s="8"/>
      <c r="BN93" s="8"/>
      <c r="BO93" s="8"/>
      <c r="BP93" s="8"/>
      <c r="BQ93" s="8"/>
      <c r="BR93" s="8"/>
      <c r="BS93" s="8"/>
      <c r="BT93" s="8"/>
      <c r="BU93" s="8"/>
      <c r="BV93" s="8"/>
      <c r="BW93" s="8"/>
      <c r="BX93" s="8"/>
      <c r="BY93" s="8"/>
      <c r="BZ93" s="8"/>
      <c r="CA93" s="93"/>
    </row>
    <row r="94" spans="1:220" ht="15.6" customHeight="1" x14ac:dyDescent="0.25">
      <c r="A94" s="7"/>
      <c r="B94" s="8"/>
      <c r="C94" s="8"/>
      <c r="D94" s="8"/>
      <c r="E94" s="8"/>
      <c r="F94" s="8"/>
      <c r="G94" s="93"/>
      <c r="H94" s="142"/>
      <c r="I94" s="93"/>
      <c r="J94" s="9"/>
      <c r="K94" s="8"/>
      <c r="L94" s="8"/>
      <c r="M94" s="93"/>
      <c r="N94" s="8"/>
      <c r="O94" s="93"/>
      <c r="P94" s="142"/>
      <c r="Q94" s="8"/>
      <c r="R94" s="8"/>
      <c r="S94" s="8"/>
      <c r="T94" s="93"/>
      <c r="U94" s="9"/>
      <c r="V94" s="8"/>
      <c r="W94" s="8"/>
      <c r="X94" s="8"/>
      <c r="Y94" s="8"/>
      <c r="Z94" s="8"/>
      <c r="AA94" s="8"/>
      <c r="AB94" s="136"/>
      <c r="AC94" s="8"/>
      <c r="AD94" s="8"/>
      <c r="AE94" s="8"/>
      <c r="AF94" s="93"/>
      <c r="AG94" s="142"/>
      <c r="AH94" s="8"/>
      <c r="AI94" s="8"/>
      <c r="AJ94" s="8"/>
      <c r="AK94" s="93"/>
      <c r="AL94" s="142"/>
      <c r="AM94" s="8"/>
      <c r="AN94" s="8"/>
      <c r="AO94" s="8"/>
      <c r="AP94" s="93"/>
      <c r="AQ94" s="142"/>
      <c r="AR94" s="8"/>
      <c r="AS94" s="8"/>
      <c r="AT94" s="8"/>
      <c r="AU94" s="8"/>
      <c r="AV94" s="8"/>
      <c r="AW94" s="8"/>
      <c r="AX94" s="8"/>
      <c r="AY94" s="8"/>
      <c r="AZ94" s="8"/>
      <c r="BA94" s="8"/>
      <c r="BB94" s="8"/>
      <c r="BC94" s="93"/>
      <c r="BD94" s="142"/>
      <c r="BE94" s="8"/>
      <c r="BF94" s="8"/>
      <c r="BG94" s="8"/>
      <c r="BH94" s="8"/>
      <c r="BI94" s="8"/>
      <c r="BJ94" s="8"/>
      <c r="BK94" s="8"/>
      <c r="BL94" s="8"/>
      <c r="BM94" s="8"/>
      <c r="BN94" s="8"/>
      <c r="BO94" s="8"/>
      <c r="BP94" s="8"/>
      <c r="BQ94" s="8"/>
      <c r="BR94" s="8"/>
      <c r="BS94" s="8"/>
      <c r="BT94" s="8"/>
      <c r="BU94" s="8"/>
      <c r="BV94" s="8"/>
      <c r="BW94" s="8"/>
      <c r="BX94" s="8"/>
      <c r="BY94" s="8"/>
      <c r="BZ94" s="8"/>
      <c r="CA94" s="93"/>
    </row>
    <row r="95" spans="1:220" ht="15.6" customHeight="1" x14ac:dyDescent="0.25">
      <c r="A95" s="7"/>
      <c r="B95" s="8"/>
      <c r="C95" s="8"/>
      <c r="D95" s="8"/>
      <c r="E95" s="8"/>
      <c r="F95" s="8"/>
      <c r="G95" s="93"/>
      <c r="H95" s="142"/>
      <c r="I95" s="93"/>
      <c r="J95" s="9"/>
      <c r="K95" s="8"/>
      <c r="L95" s="8"/>
      <c r="M95" s="93"/>
      <c r="N95" s="8"/>
      <c r="O95" s="93"/>
      <c r="P95" s="142"/>
      <c r="Q95" s="8"/>
      <c r="R95" s="8"/>
      <c r="S95" s="8"/>
      <c r="T95" s="93"/>
      <c r="U95" s="9"/>
      <c r="V95" s="8"/>
      <c r="W95" s="8"/>
      <c r="X95" s="8"/>
      <c r="Y95" s="8"/>
      <c r="Z95" s="8"/>
      <c r="AA95" s="8"/>
      <c r="AB95" s="136"/>
      <c r="AC95" s="8"/>
      <c r="AD95" s="8"/>
      <c r="AE95" s="8"/>
      <c r="AF95" s="93"/>
      <c r="AG95" s="142"/>
      <c r="AH95" s="8"/>
      <c r="AI95" s="8"/>
      <c r="AJ95" s="8"/>
      <c r="AK95" s="93"/>
      <c r="AL95" s="142"/>
      <c r="AM95" s="8"/>
      <c r="AN95" s="8"/>
      <c r="AO95" s="8"/>
      <c r="AP95" s="93"/>
      <c r="AQ95" s="142"/>
      <c r="AR95" s="8"/>
      <c r="AS95" s="8"/>
      <c r="AT95" s="8"/>
      <c r="AU95" s="8"/>
      <c r="AV95" s="8"/>
      <c r="AW95" s="8"/>
      <c r="AX95" s="8"/>
      <c r="AY95" s="8"/>
      <c r="AZ95" s="8"/>
      <c r="BA95" s="8"/>
      <c r="BB95" s="8"/>
      <c r="BC95" s="93"/>
      <c r="BD95" s="142"/>
      <c r="BE95" s="8"/>
      <c r="BF95" s="8"/>
      <c r="BG95" s="8"/>
      <c r="BH95" s="8"/>
      <c r="BI95" s="8"/>
      <c r="BJ95" s="8"/>
      <c r="BK95" s="8"/>
      <c r="BL95" s="8"/>
      <c r="BM95" s="8"/>
      <c r="BN95" s="8"/>
      <c r="BO95" s="8"/>
      <c r="BP95" s="8"/>
      <c r="BQ95" s="8"/>
      <c r="BR95" s="8"/>
      <c r="BS95" s="8"/>
      <c r="BT95" s="8"/>
      <c r="BU95" s="8"/>
      <c r="BV95" s="8"/>
      <c r="BW95" s="8"/>
      <c r="BX95" s="8"/>
      <c r="BY95" s="8"/>
      <c r="BZ95" s="8"/>
      <c r="CA95" s="93"/>
    </row>
    <row r="96" spans="1:220" ht="15.6" customHeight="1" x14ac:dyDescent="0.25">
      <c r="A96" s="7"/>
      <c r="B96" s="8"/>
      <c r="C96" s="8"/>
      <c r="D96" s="8"/>
      <c r="E96" s="8"/>
      <c r="F96" s="8"/>
      <c r="G96" s="93"/>
      <c r="H96" s="142"/>
      <c r="I96" s="93"/>
      <c r="J96" s="9"/>
      <c r="K96" s="8"/>
      <c r="L96" s="8"/>
      <c r="M96" s="93"/>
      <c r="N96" s="8"/>
      <c r="O96" s="93"/>
      <c r="P96" s="142"/>
      <c r="Q96" s="8"/>
      <c r="R96" s="8"/>
      <c r="S96" s="8"/>
      <c r="T96" s="93"/>
      <c r="U96" s="9"/>
      <c r="V96" s="8"/>
      <c r="W96" s="8"/>
      <c r="X96" s="8"/>
      <c r="Y96" s="8"/>
      <c r="Z96" s="8"/>
      <c r="AA96" s="8"/>
      <c r="AB96" s="136"/>
      <c r="AC96" s="8"/>
      <c r="AD96" s="8"/>
      <c r="AE96" s="8"/>
      <c r="AF96" s="93"/>
      <c r="AG96" s="142"/>
      <c r="AH96" s="8"/>
      <c r="AI96" s="8"/>
      <c r="AJ96" s="8"/>
      <c r="AK96" s="93"/>
      <c r="AL96" s="142"/>
      <c r="AM96" s="8"/>
      <c r="AN96" s="8"/>
      <c r="AO96" s="8"/>
      <c r="AP96" s="93"/>
      <c r="AQ96" s="142"/>
      <c r="AR96" s="8"/>
      <c r="AS96" s="8"/>
      <c r="AT96" s="8"/>
      <c r="AU96" s="8"/>
      <c r="AV96" s="8"/>
      <c r="AW96" s="8"/>
      <c r="AX96" s="8"/>
      <c r="AY96" s="8"/>
      <c r="AZ96" s="8"/>
      <c r="BA96" s="8"/>
      <c r="BB96" s="8"/>
      <c r="BC96" s="93"/>
      <c r="BD96" s="142"/>
      <c r="BE96" s="8"/>
      <c r="BF96" s="8"/>
      <c r="BG96" s="8"/>
      <c r="BH96" s="8"/>
      <c r="BI96" s="8"/>
      <c r="BJ96" s="8"/>
      <c r="BK96" s="8"/>
      <c r="BL96" s="8"/>
      <c r="BM96" s="8"/>
      <c r="BN96" s="8"/>
      <c r="BO96" s="8"/>
      <c r="BP96" s="8"/>
      <c r="BQ96" s="8"/>
      <c r="BR96" s="8"/>
      <c r="BS96" s="8"/>
      <c r="BT96" s="8"/>
      <c r="BU96" s="8"/>
      <c r="BV96" s="8"/>
      <c r="BW96" s="8"/>
      <c r="BX96" s="8"/>
      <c r="BY96" s="8"/>
      <c r="BZ96" s="8"/>
      <c r="CA96" s="93"/>
    </row>
    <row r="97" spans="1:79" ht="15.6" customHeight="1" x14ac:dyDescent="0.25">
      <c r="A97" s="7"/>
      <c r="B97" s="8"/>
      <c r="C97" s="8"/>
      <c r="D97" s="8"/>
      <c r="E97" s="8"/>
      <c r="F97" s="8"/>
      <c r="G97" s="93"/>
      <c r="H97" s="142"/>
      <c r="I97" s="93"/>
      <c r="J97" s="9"/>
      <c r="K97" s="8"/>
      <c r="L97" s="8"/>
      <c r="M97" s="93"/>
      <c r="N97" s="8"/>
      <c r="O97" s="93"/>
      <c r="P97" s="142"/>
      <c r="Q97" s="8"/>
      <c r="R97" s="8"/>
      <c r="S97" s="8"/>
      <c r="T97" s="93"/>
      <c r="U97" s="9"/>
      <c r="V97" s="8"/>
      <c r="W97" s="8"/>
      <c r="X97" s="8"/>
      <c r="Y97" s="8"/>
      <c r="Z97" s="8"/>
      <c r="AA97" s="8"/>
      <c r="AB97" s="136"/>
      <c r="AC97" s="8"/>
      <c r="AD97" s="8"/>
      <c r="AE97" s="8"/>
      <c r="AF97" s="93"/>
      <c r="AG97" s="142"/>
      <c r="AH97" s="8"/>
      <c r="AI97" s="8"/>
      <c r="AJ97" s="8"/>
      <c r="AK97" s="93"/>
      <c r="AL97" s="142"/>
      <c r="AM97" s="8"/>
      <c r="AN97" s="8"/>
      <c r="AO97" s="8"/>
      <c r="AP97" s="93"/>
      <c r="AQ97" s="142"/>
      <c r="AR97" s="8"/>
      <c r="AS97" s="8"/>
      <c r="AT97" s="8"/>
      <c r="AU97" s="8"/>
      <c r="AV97" s="8"/>
      <c r="AW97" s="8"/>
      <c r="AX97" s="8"/>
      <c r="AY97" s="8"/>
      <c r="AZ97" s="8"/>
      <c r="BA97" s="8"/>
      <c r="BB97" s="8"/>
      <c r="BC97" s="93"/>
      <c r="BD97" s="142"/>
      <c r="BE97" s="8"/>
      <c r="BF97" s="8"/>
      <c r="BG97" s="8"/>
      <c r="BH97" s="8"/>
      <c r="BI97" s="8"/>
      <c r="BJ97" s="8"/>
      <c r="BK97" s="8"/>
      <c r="BL97" s="8"/>
      <c r="BM97" s="8"/>
      <c r="BN97" s="8"/>
      <c r="BO97" s="8"/>
      <c r="BP97" s="8"/>
      <c r="BQ97" s="8"/>
      <c r="BR97" s="8"/>
      <c r="BS97" s="8"/>
      <c r="BT97" s="8"/>
      <c r="BU97" s="8"/>
      <c r="BV97" s="8"/>
      <c r="BW97" s="8"/>
      <c r="BX97" s="8"/>
      <c r="BY97" s="8"/>
      <c r="BZ97" s="8"/>
      <c r="CA97" s="93"/>
    </row>
    <row r="98" spans="1:79" ht="15.6" customHeight="1" x14ac:dyDescent="0.25">
      <c r="A98" s="7"/>
      <c r="B98" s="8"/>
      <c r="C98" s="8"/>
      <c r="D98" s="8"/>
      <c r="E98" s="8"/>
      <c r="F98" s="8"/>
      <c r="G98" s="93"/>
      <c r="H98" s="142"/>
      <c r="I98" s="93"/>
      <c r="J98" s="9"/>
      <c r="K98" s="8"/>
      <c r="L98" s="8"/>
      <c r="M98" s="93"/>
      <c r="N98" s="8"/>
      <c r="O98" s="93"/>
      <c r="P98" s="142"/>
      <c r="Q98" s="8"/>
      <c r="R98" s="8"/>
      <c r="S98" s="8"/>
      <c r="T98" s="93"/>
      <c r="U98" s="9"/>
      <c r="V98" s="8"/>
      <c r="W98" s="8"/>
      <c r="X98" s="8"/>
      <c r="Y98" s="8"/>
      <c r="Z98" s="8"/>
      <c r="AA98" s="8"/>
      <c r="AB98" s="136"/>
      <c r="AC98" s="8"/>
      <c r="AD98" s="8"/>
      <c r="AE98" s="8"/>
      <c r="AF98" s="93"/>
      <c r="AG98" s="142"/>
      <c r="AH98" s="8"/>
      <c r="AI98" s="8"/>
      <c r="AJ98" s="8"/>
      <c r="AK98" s="93"/>
      <c r="AL98" s="142"/>
      <c r="AM98" s="8"/>
      <c r="AN98" s="8"/>
      <c r="AO98" s="8"/>
      <c r="AP98" s="93"/>
      <c r="AQ98" s="142"/>
      <c r="AR98" s="8"/>
      <c r="AS98" s="8"/>
      <c r="AT98" s="8"/>
      <c r="AU98" s="8"/>
      <c r="AV98" s="8"/>
      <c r="AW98" s="8"/>
      <c r="AX98" s="8"/>
      <c r="AY98" s="8"/>
      <c r="AZ98" s="8"/>
      <c r="BA98" s="8"/>
      <c r="BB98" s="8"/>
      <c r="BC98" s="93"/>
      <c r="BD98" s="142"/>
      <c r="BE98" s="8"/>
      <c r="BF98" s="8"/>
      <c r="BG98" s="8"/>
      <c r="BH98" s="8"/>
      <c r="BI98" s="8"/>
      <c r="BJ98" s="8"/>
      <c r="BK98" s="8"/>
      <c r="BL98" s="8"/>
      <c r="BM98" s="8"/>
      <c r="BN98" s="8"/>
      <c r="BO98" s="8"/>
      <c r="BP98" s="8"/>
      <c r="BQ98" s="8"/>
      <c r="BR98" s="8"/>
      <c r="BS98" s="8"/>
      <c r="BT98" s="8"/>
      <c r="BU98" s="8"/>
      <c r="BV98" s="8"/>
      <c r="BW98" s="8"/>
      <c r="BX98" s="8"/>
      <c r="BY98" s="8"/>
      <c r="BZ98" s="8"/>
      <c r="CA98" s="93"/>
    </row>
    <row r="99" spans="1:79" ht="15.6" customHeight="1" x14ac:dyDescent="0.25">
      <c r="A99" s="7"/>
      <c r="B99" s="8"/>
      <c r="C99" s="8"/>
      <c r="D99" s="8"/>
      <c r="E99" s="8"/>
      <c r="F99" s="8"/>
      <c r="G99" s="93"/>
      <c r="H99" s="142"/>
      <c r="I99" s="93"/>
      <c r="J99" s="9"/>
      <c r="K99" s="8"/>
      <c r="L99" s="8"/>
      <c r="M99" s="93"/>
      <c r="N99" s="8"/>
      <c r="O99" s="93"/>
      <c r="P99" s="142"/>
      <c r="Q99" s="8"/>
      <c r="R99" s="8"/>
      <c r="S99" s="8"/>
      <c r="T99" s="93"/>
      <c r="U99" s="9"/>
      <c r="V99" s="8"/>
      <c r="W99" s="8"/>
      <c r="X99" s="8"/>
      <c r="Y99" s="8"/>
      <c r="Z99" s="8"/>
      <c r="AA99" s="8"/>
      <c r="AB99" s="136"/>
      <c r="AC99" s="8"/>
      <c r="AD99" s="8"/>
      <c r="AE99" s="8"/>
      <c r="AF99" s="93"/>
      <c r="AG99" s="142"/>
      <c r="AH99" s="8"/>
      <c r="AI99" s="8"/>
      <c r="AJ99" s="8"/>
      <c r="AK99" s="93"/>
      <c r="AL99" s="142"/>
      <c r="AM99" s="8"/>
      <c r="AN99" s="8"/>
      <c r="AO99" s="8"/>
      <c r="AP99" s="93"/>
      <c r="AQ99" s="142"/>
      <c r="AR99" s="8"/>
      <c r="AS99" s="8"/>
      <c r="AT99" s="8"/>
      <c r="AU99" s="8"/>
      <c r="AV99" s="8"/>
      <c r="AW99" s="8"/>
      <c r="AX99" s="8"/>
      <c r="AY99" s="8"/>
      <c r="AZ99" s="8"/>
      <c r="BA99" s="8"/>
      <c r="BB99" s="8"/>
      <c r="BC99" s="93"/>
      <c r="BD99" s="142"/>
      <c r="BE99" s="8"/>
      <c r="BF99" s="8"/>
      <c r="BG99" s="8"/>
      <c r="BH99" s="8"/>
      <c r="BI99" s="8"/>
      <c r="BJ99" s="8"/>
      <c r="BK99" s="8"/>
      <c r="BL99" s="8"/>
      <c r="BM99" s="8"/>
      <c r="BN99" s="8"/>
      <c r="BO99" s="8"/>
      <c r="BP99" s="8"/>
      <c r="BQ99" s="8"/>
      <c r="BR99" s="8"/>
      <c r="BS99" s="8"/>
      <c r="BT99" s="8"/>
      <c r="BU99" s="8"/>
      <c r="BV99" s="8"/>
      <c r="BW99" s="8"/>
      <c r="BX99" s="8"/>
      <c r="BY99" s="8"/>
      <c r="BZ99" s="8"/>
      <c r="CA99" s="93"/>
    </row>
    <row r="100" spans="1:79" ht="15.6" customHeight="1" x14ac:dyDescent="0.25">
      <c r="A100" s="7"/>
      <c r="B100" s="8"/>
      <c r="C100" s="8"/>
      <c r="D100" s="8"/>
      <c r="E100" s="8"/>
      <c r="F100" s="8"/>
      <c r="G100" s="93"/>
      <c r="H100" s="142"/>
      <c r="I100" s="93"/>
      <c r="J100" s="9"/>
      <c r="K100" s="8"/>
      <c r="L100" s="8"/>
      <c r="M100" s="93"/>
      <c r="N100" s="8"/>
      <c r="O100" s="93"/>
      <c r="P100" s="142"/>
      <c r="Q100" s="8"/>
      <c r="R100" s="8"/>
      <c r="S100" s="8"/>
      <c r="T100" s="93"/>
      <c r="U100" s="9"/>
      <c r="V100" s="8"/>
      <c r="W100" s="8"/>
      <c r="X100" s="8"/>
      <c r="Y100" s="8"/>
      <c r="Z100" s="8"/>
      <c r="AA100" s="8"/>
      <c r="AB100" s="136"/>
      <c r="AC100" s="8"/>
      <c r="AD100" s="8"/>
      <c r="AE100" s="8"/>
      <c r="AF100" s="93"/>
      <c r="AG100" s="142"/>
      <c r="AH100" s="8"/>
      <c r="AI100" s="8"/>
      <c r="AJ100" s="8"/>
      <c r="AK100" s="93"/>
      <c r="AL100" s="142"/>
      <c r="AM100" s="8"/>
      <c r="AN100" s="8"/>
      <c r="AO100" s="8"/>
      <c r="AP100" s="93"/>
      <c r="AQ100" s="142"/>
      <c r="AR100" s="8"/>
      <c r="AS100" s="8"/>
      <c r="AT100" s="8"/>
      <c r="AU100" s="8"/>
      <c r="AV100" s="8"/>
      <c r="AW100" s="8"/>
      <c r="AX100" s="8"/>
      <c r="AY100" s="8"/>
      <c r="AZ100" s="8"/>
      <c r="BA100" s="8"/>
      <c r="BB100" s="8"/>
      <c r="BC100" s="93"/>
      <c r="BD100" s="142"/>
      <c r="BE100" s="8"/>
      <c r="BF100" s="8"/>
      <c r="BG100" s="8"/>
      <c r="BH100" s="8"/>
      <c r="BI100" s="8"/>
      <c r="BJ100" s="8"/>
      <c r="BK100" s="8"/>
      <c r="BL100" s="8"/>
      <c r="BM100" s="8"/>
      <c r="BN100" s="8"/>
      <c r="BO100" s="8"/>
      <c r="BP100" s="8"/>
      <c r="BQ100" s="8"/>
      <c r="BR100" s="8"/>
      <c r="BS100" s="8"/>
      <c r="BT100" s="8"/>
      <c r="BU100" s="8"/>
      <c r="BV100" s="8"/>
      <c r="BW100" s="8"/>
      <c r="BX100" s="8"/>
      <c r="BY100" s="8"/>
      <c r="BZ100" s="8"/>
      <c r="CA100" s="93"/>
    </row>
    <row r="101" spans="1:79" ht="15.6" customHeight="1" x14ac:dyDescent="0.25">
      <c r="A101" s="7"/>
      <c r="B101" s="8"/>
      <c r="C101" s="8"/>
      <c r="D101" s="8"/>
      <c r="E101" s="8"/>
      <c r="F101" s="8"/>
      <c r="G101" s="93"/>
      <c r="H101" s="142"/>
      <c r="I101" s="93"/>
      <c r="J101" s="9"/>
      <c r="K101" s="8"/>
      <c r="L101" s="8"/>
      <c r="M101" s="93"/>
      <c r="N101" s="8"/>
      <c r="O101" s="93"/>
      <c r="P101" s="142"/>
      <c r="Q101" s="8"/>
      <c r="R101" s="8"/>
      <c r="S101" s="8"/>
      <c r="T101" s="93"/>
      <c r="U101" s="9"/>
      <c r="V101" s="8"/>
      <c r="W101" s="8"/>
      <c r="X101" s="8"/>
      <c r="Y101" s="8"/>
      <c r="Z101" s="8"/>
      <c r="AA101" s="8"/>
      <c r="AB101" s="136"/>
      <c r="AC101" s="8"/>
      <c r="AD101" s="8"/>
      <c r="AE101" s="8"/>
      <c r="AF101" s="93"/>
      <c r="AG101" s="142"/>
      <c r="AH101" s="8"/>
      <c r="AI101" s="8"/>
      <c r="AJ101" s="8"/>
      <c r="AK101" s="93"/>
      <c r="AL101" s="142"/>
      <c r="AM101" s="8"/>
      <c r="AN101" s="8"/>
      <c r="AO101" s="8"/>
      <c r="AP101" s="93"/>
      <c r="AQ101" s="142"/>
      <c r="AR101" s="8"/>
      <c r="AS101" s="8"/>
      <c r="AT101" s="8"/>
      <c r="AU101" s="8"/>
      <c r="AV101" s="8"/>
      <c r="AW101" s="8"/>
      <c r="AX101" s="8"/>
      <c r="AY101" s="8"/>
      <c r="AZ101" s="8"/>
      <c r="BA101" s="8"/>
      <c r="BB101" s="8"/>
      <c r="BC101" s="93"/>
      <c r="BD101" s="142"/>
      <c r="BE101" s="8"/>
      <c r="BF101" s="8"/>
      <c r="BG101" s="8"/>
      <c r="BH101" s="8"/>
      <c r="BI101" s="8"/>
      <c r="BJ101" s="8"/>
      <c r="BK101" s="8"/>
      <c r="BL101" s="8"/>
      <c r="BM101" s="8"/>
      <c r="BN101" s="8"/>
      <c r="BO101" s="8"/>
      <c r="BP101" s="8"/>
      <c r="BQ101" s="8"/>
      <c r="BR101" s="8"/>
      <c r="BS101" s="8"/>
      <c r="BT101" s="8"/>
      <c r="BU101" s="8"/>
      <c r="BV101" s="8"/>
      <c r="BW101" s="8"/>
      <c r="BX101" s="8"/>
      <c r="BY101" s="8"/>
      <c r="BZ101" s="8"/>
      <c r="CA101" s="93"/>
    </row>
    <row r="102" spans="1:79" ht="15.6" customHeight="1" x14ac:dyDescent="0.25">
      <c r="A102" s="7"/>
      <c r="B102" s="8"/>
      <c r="C102" s="8"/>
      <c r="D102" s="8"/>
      <c r="E102" s="8"/>
      <c r="F102" s="8"/>
      <c r="G102" s="93"/>
      <c r="H102" s="142"/>
      <c r="I102" s="93"/>
      <c r="J102" s="9"/>
      <c r="K102" s="8"/>
      <c r="L102" s="8"/>
      <c r="M102" s="93"/>
      <c r="N102" s="8"/>
      <c r="O102" s="93"/>
      <c r="P102" s="142"/>
      <c r="Q102" s="8"/>
      <c r="R102" s="8"/>
      <c r="S102" s="8"/>
      <c r="T102" s="93"/>
      <c r="U102" s="9"/>
      <c r="V102" s="8"/>
      <c r="W102" s="8"/>
      <c r="X102" s="8"/>
      <c r="Y102" s="8"/>
      <c r="Z102" s="8"/>
      <c r="AA102" s="8"/>
      <c r="AB102" s="136"/>
      <c r="AC102" s="8"/>
      <c r="AD102" s="8"/>
      <c r="AE102" s="8"/>
      <c r="AF102" s="93"/>
      <c r="AG102" s="142"/>
      <c r="AH102" s="8"/>
      <c r="AI102" s="8"/>
      <c r="AJ102" s="8"/>
      <c r="AK102" s="93"/>
      <c r="AL102" s="142"/>
      <c r="AM102" s="8"/>
      <c r="AN102" s="8"/>
      <c r="AO102" s="8"/>
      <c r="AP102" s="93"/>
      <c r="AQ102" s="142"/>
      <c r="AR102" s="8"/>
      <c r="AS102" s="8"/>
      <c r="AT102" s="8"/>
      <c r="AU102" s="8"/>
      <c r="AV102" s="8"/>
      <c r="AW102" s="8"/>
      <c r="AX102" s="8"/>
      <c r="AY102" s="8"/>
      <c r="AZ102" s="8"/>
      <c r="BA102" s="8"/>
      <c r="BB102" s="8"/>
      <c r="BC102" s="93"/>
      <c r="BD102" s="142"/>
      <c r="BE102" s="8"/>
      <c r="BF102" s="8"/>
      <c r="BG102" s="8"/>
      <c r="BH102" s="8"/>
      <c r="BI102" s="8"/>
      <c r="BJ102" s="8"/>
      <c r="BK102" s="8"/>
      <c r="BL102" s="8"/>
      <c r="BM102" s="8"/>
      <c r="BN102" s="8"/>
      <c r="BO102" s="8"/>
      <c r="BP102" s="8"/>
      <c r="BQ102" s="8"/>
      <c r="BR102" s="8"/>
      <c r="BS102" s="8"/>
      <c r="BT102" s="8"/>
      <c r="BU102" s="8"/>
      <c r="BV102" s="8"/>
      <c r="BW102" s="8"/>
      <c r="BX102" s="8"/>
      <c r="BY102" s="8"/>
      <c r="BZ102" s="8"/>
      <c r="CA102" s="93"/>
    </row>
    <row r="103" spans="1:79" ht="15.6" customHeight="1" x14ac:dyDescent="0.25">
      <c r="A103" s="7"/>
      <c r="B103" s="8"/>
      <c r="C103" s="8"/>
      <c r="D103" s="8"/>
      <c r="E103" s="8"/>
      <c r="F103" s="8"/>
      <c r="G103" s="93"/>
      <c r="H103" s="142"/>
      <c r="I103" s="93"/>
      <c r="J103" s="9"/>
      <c r="K103" s="8"/>
      <c r="L103" s="8"/>
      <c r="M103" s="93"/>
      <c r="N103" s="8"/>
      <c r="O103" s="93"/>
      <c r="P103" s="142"/>
      <c r="Q103" s="8"/>
      <c r="R103" s="8"/>
      <c r="S103" s="8"/>
      <c r="T103" s="93"/>
      <c r="U103" s="9"/>
      <c r="V103" s="8"/>
      <c r="W103" s="8"/>
      <c r="X103" s="8"/>
      <c r="Y103" s="8"/>
      <c r="Z103" s="8"/>
      <c r="AA103" s="8"/>
      <c r="AB103" s="136"/>
      <c r="AC103" s="8"/>
      <c r="AD103" s="8"/>
      <c r="AE103" s="8"/>
      <c r="AF103" s="93"/>
      <c r="AG103" s="142"/>
      <c r="AH103" s="8"/>
      <c r="AI103" s="8"/>
      <c r="AJ103" s="8"/>
      <c r="AK103" s="93"/>
      <c r="AL103" s="142"/>
      <c r="AM103" s="8"/>
      <c r="AN103" s="8"/>
      <c r="AO103" s="8"/>
      <c r="AP103" s="93"/>
      <c r="AQ103" s="142"/>
      <c r="AR103" s="8"/>
      <c r="AS103" s="8"/>
      <c r="AT103" s="8"/>
      <c r="AU103" s="8"/>
      <c r="AV103" s="8"/>
      <c r="AW103" s="8"/>
      <c r="AX103" s="8"/>
      <c r="AY103" s="8"/>
      <c r="AZ103" s="8"/>
      <c r="BA103" s="8"/>
      <c r="BB103" s="8"/>
      <c r="BC103" s="93"/>
      <c r="BD103" s="142"/>
      <c r="BE103" s="8"/>
      <c r="BF103" s="8"/>
      <c r="BG103" s="8"/>
      <c r="BH103" s="8"/>
      <c r="BI103" s="8"/>
      <c r="BJ103" s="8"/>
      <c r="BK103" s="8"/>
      <c r="BL103" s="8"/>
      <c r="BM103" s="8"/>
      <c r="BN103" s="8"/>
      <c r="BO103" s="8"/>
      <c r="BP103" s="8"/>
      <c r="BQ103" s="8"/>
      <c r="BR103" s="8"/>
      <c r="BS103" s="8"/>
      <c r="BT103" s="8"/>
      <c r="BU103" s="8"/>
      <c r="BV103" s="8"/>
      <c r="BW103" s="8"/>
      <c r="BX103" s="8"/>
      <c r="BY103" s="8"/>
      <c r="BZ103" s="8"/>
      <c r="CA103" s="93"/>
    </row>
    <row r="104" spans="1:79" ht="15.6" customHeight="1" x14ac:dyDescent="0.25">
      <c r="A104" s="7"/>
      <c r="B104" s="8"/>
      <c r="C104" s="8"/>
      <c r="D104" s="8"/>
      <c r="E104" s="8"/>
      <c r="F104" s="8"/>
      <c r="G104" s="93"/>
      <c r="H104" s="142"/>
      <c r="I104" s="93"/>
      <c r="J104" s="9"/>
      <c r="K104" s="8"/>
      <c r="L104" s="8"/>
      <c r="M104" s="93"/>
      <c r="N104" s="8"/>
      <c r="O104" s="93"/>
      <c r="P104" s="142"/>
      <c r="Q104" s="8"/>
      <c r="R104" s="8"/>
      <c r="S104" s="8"/>
      <c r="T104" s="93"/>
      <c r="U104" s="9"/>
      <c r="V104" s="8"/>
      <c r="W104" s="8"/>
      <c r="X104" s="8"/>
      <c r="Y104" s="8"/>
      <c r="Z104" s="8"/>
      <c r="AA104" s="8"/>
      <c r="AB104" s="136"/>
      <c r="AC104" s="8"/>
      <c r="AD104" s="8"/>
      <c r="AE104" s="8"/>
      <c r="AF104" s="93"/>
      <c r="AG104" s="142"/>
      <c r="AH104" s="8"/>
      <c r="AI104" s="8"/>
      <c r="AJ104" s="8"/>
      <c r="AK104" s="93"/>
      <c r="AL104" s="142"/>
      <c r="AM104" s="8"/>
      <c r="AN104" s="8"/>
      <c r="AO104" s="8"/>
      <c r="AP104" s="93"/>
      <c r="AQ104" s="142"/>
      <c r="AR104" s="8"/>
      <c r="AS104" s="8"/>
      <c r="AT104" s="8"/>
      <c r="AU104" s="8"/>
      <c r="AV104" s="8"/>
      <c r="AW104" s="8"/>
      <c r="AX104" s="8"/>
      <c r="AY104" s="8"/>
      <c r="AZ104" s="8"/>
      <c r="BA104" s="8"/>
      <c r="BB104" s="8"/>
      <c r="BC104" s="93"/>
      <c r="BD104" s="142"/>
      <c r="BE104" s="8"/>
      <c r="BF104" s="8"/>
      <c r="BG104" s="8"/>
      <c r="BH104" s="8"/>
      <c r="BI104" s="8"/>
      <c r="BJ104" s="8"/>
      <c r="BK104" s="8"/>
      <c r="BL104" s="8"/>
      <c r="BM104" s="8"/>
      <c r="BN104" s="8"/>
      <c r="BO104" s="8"/>
      <c r="BP104" s="8"/>
      <c r="BQ104" s="8"/>
      <c r="BR104" s="8"/>
      <c r="BS104" s="8"/>
      <c r="BT104" s="8"/>
      <c r="BU104" s="8"/>
      <c r="BV104" s="8"/>
      <c r="BW104" s="8"/>
      <c r="BX104" s="8"/>
      <c r="BY104" s="8"/>
      <c r="BZ104" s="8"/>
      <c r="CA104" s="93"/>
    </row>
    <row r="105" spans="1:79" ht="15.6" customHeight="1" x14ac:dyDescent="0.25">
      <c r="A105" s="7"/>
      <c r="B105" s="8"/>
      <c r="C105" s="8"/>
      <c r="D105" s="8"/>
      <c r="E105" s="8"/>
      <c r="F105" s="8"/>
      <c r="G105" s="93"/>
      <c r="H105" s="142"/>
      <c r="I105" s="93"/>
      <c r="J105" s="9"/>
      <c r="K105" s="8"/>
      <c r="L105" s="8"/>
      <c r="M105" s="93"/>
      <c r="N105" s="8"/>
      <c r="O105" s="93"/>
      <c r="P105" s="142"/>
      <c r="Q105" s="8"/>
      <c r="R105" s="8"/>
      <c r="S105" s="8"/>
      <c r="T105" s="93"/>
      <c r="U105" s="9"/>
      <c r="V105" s="8"/>
      <c r="W105" s="8"/>
      <c r="X105" s="8"/>
      <c r="Y105" s="8"/>
      <c r="Z105" s="8"/>
      <c r="AA105" s="8"/>
      <c r="AB105" s="136"/>
      <c r="AC105" s="8"/>
      <c r="AD105" s="8"/>
      <c r="AE105" s="8"/>
      <c r="AF105" s="93"/>
      <c r="AG105" s="142"/>
      <c r="AH105" s="8"/>
      <c r="AI105" s="8"/>
      <c r="AJ105" s="8"/>
      <c r="AK105" s="93"/>
      <c r="AL105" s="142"/>
      <c r="AM105" s="8"/>
      <c r="AN105" s="8"/>
      <c r="AO105" s="8"/>
      <c r="AP105" s="93"/>
      <c r="AQ105" s="142"/>
      <c r="AR105" s="8"/>
      <c r="AS105" s="8"/>
      <c r="AT105" s="8"/>
      <c r="AU105" s="8"/>
      <c r="AV105" s="8"/>
      <c r="AW105" s="8"/>
      <c r="AX105" s="8"/>
      <c r="AY105" s="8"/>
      <c r="AZ105" s="8"/>
      <c r="BA105" s="8"/>
      <c r="BB105" s="8"/>
      <c r="BC105" s="93"/>
      <c r="BD105" s="142"/>
      <c r="BE105" s="8"/>
      <c r="BF105" s="8"/>
      <c r="BG105" s="8"/>
      <c r="BH105" s="8"/>
      <c r="BI105" s="8"/>
      <c r="BJ105" s="8"/>
      <c r="BK105" s="8"/>
      <c r="BL105" s="8"/>
      <c r="BM105" s="8"/>
      <c r="BN105" s="8"/>
      <c r="BO105" s="8"/>
      <c r="BP105" s="8"/>
      <c r="BQ105" s="8"/>
      <c r="BR105" s="8"/>
      <c r="BS105" s="8"/>
      <c r="BT105" s="8"/>
      <c r="BU105" s="8"/>
      <c r="BV105" s="8"/>
      <c r="BW105" s="8"/>
      <c r="BX105" s="8"/>
      <c r="BY105" s="8"/>
      <c r="BZ105" s="8"/>
      <c r="CA105" s="93"/>
    </row>
  </sheetData>
  <sheetProtection formatCells="0" formatColumns="0" formatRows="0"/>
  <dataConsolidate/>
  <mergeCells count="9">
    <mergeCell ref="AG5:AK5"/>
    <mergeCell ref="A5:G5"/>
    <mergeCell ref="A3:B3"/>
    <mergeCell ref="BD5:BH5"/>
    <mergeCell ref="AV5:BC5"/>
    <mergeCell ref="AL5:AP5"/>
    <mergeCell ref="AQ5:AU5"/>
    <mergeCell ref="AT4:AU4"/>
    <mergeCell ref="AB5:AF5"/>
  </mergeCells>
  <phoneticPr fontId="17" type="noConversion"/>
  <conditionalFormatting sqref="A1:I11 J1:P4 L1:M5 EZ1:XFD5 DF1:DG10 DJ1:DK10 AB3:CC3 AB4:AT4 AV4:CC4 J5 AG5:DI5 DX5:EQ5 ET5:EY5 DI5:DI9 AB6:DI6 DX6:XFD6 CY6:DI9 DX7:EY9 AB7:DE10 DH7:DN10 EZ7:XFD10 Q1:DE2 R3:AA4 P5:AB5 J6:AA11 DH1:EY4 CE3:ES4 DL5:DW9 DO10:FL10 AB11:XFD11 A12:XFD1048576">
    <cfRule type="expression" dxfId="31" priority="5">
      <formula>AND($C$3&lt;&gt;TODAY(), $C$3&lt;&gt;"*((var*((date_meeting")</formula>
    </cfRule>
  </conditionalFormatting>
  <conditionalFormatting sqref="C3">
    <cfRule type="expression" dxfId="30" priority="4">
      <formula>$C$3&lt;&gt;TODAY()</formula>
    </cfRule>
  </conditionalFormatting>
  <conditionalFormatting sqref="A10:AU86">
    <cfRule type="expression" dxfId="1" priority="1">
      <formula>CY10&lt;&gt;""</formula>
    </cfRule>
  </conditionalFormatting>
  <dataValidations xWindow="637" yWindow="260" count="4">
    <dataValidation type="date" operator="notEqual" allowBlank="1" showInputMessage="1" showErrorMessage="1" sqref="C3" xr:uid="{1866ACBE-DA17-49E0-83B9-6B0A18706862}">
      <formula1>1</formula1>
    </dataValidation>
    <dataValidation operator="notEqual" allowBlank="1" showInputMessage="1" showErrorMessage="1" sqref="C4 W10:W86 Y10:Y86 AD10:AD86 AF10:AF86 AH10:AH86 AJ10:AJ86" xr:uid="{E677838E-C2CB-4417-B396-77E9BBB9E08F}"/>
    <dataValidation type="date" operator="notEqual" allowBlank="1" showInputMessage="1" showErrorMessage="1" sqref="Q10:Q86 H10:H86 L10:L86 AK10:AK86 X10:X86 Z10:AC86 AE10:AE86 AG10:AG86 AI10:AI86 S10:V86" xr:uid="{DCF2E3D7-0B95-4EC1-B559-A5775B57A4E4}">
      <formula1>367</formula1>
    </dataValidation>
    <dataValidation type="whole" operator="notEqual" allowBlank="1" showInputMessage="1" showErrorMessage="1" sqref="AR10:AU86" xr:uid="{FBF107FF-BA69-4FC2-9E89-3E0694C5A12D}">
      <formula1>-99</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69" id="{030B48BD-D612-4CB2-B450-1689ECDE0E41}">
            <xm:f>CL10&lt;Constants!$B$4</xm:f>
            <x14:dxf>
              <fill>
                <patternFill>
                  <bgColor rgb="FFFF0000"/>
                </patternFill>
              </fill>
            </x14:dxf>
          </x14:cfRule>
          <x14:cfRule type="expression" priority="170" id="{A07B3BAD-FC88-494D-A295-246A8C7EE7C5}">
            <xm:f>CL10&lt;Constants!$B$3</xm:f>
            <x14:dxf>
              <fill>
                <patternFill>
                  <bgColor rgb="FFFFC000"/>
                </patternFill>
              </fill>
            </x14:dxf>
          </x14:cfRule>
          <xm:sqref>H10:I86</xm:sqref>
        </x14:conditionalFormatting>
        <x14:conditionalFormatting xmlns:xm="http://schemas.microsoft.com/office/excel/2006/main">
          <x14:cfRule type="expression" priority="240" id="{030B48BD-D612-4CB2-B450-1689ECDE0E41}">
            <xm:f>CN10&lt;Constants!$B$4</xm:f>
            <x14:dxf>
              <fill>
                <patternFill>
                  <bgColor rgb="FFFF0000"/>
                </patternFill>
              </fill>
            </x14:dxf>
          </x14:cfRule>
          <x14:cfRule type="expression" priority="241" id="{A07B3BAD-FC88-494D-A295-246A8C7EE7C5}">
            <xm:f>CN10&lt;Constants!$B$3</xm:f>
            <x14:dxf>
              <fill>
                <patternFill>
                  <bgColor rgb="FFFFC000"/>
                </patternFill>
              </fill>
            </x14:dxf>
          </x14:cfRule>
          <x14:cfRule type="expression" priority="244" id="{E1975C84-06D7-4EA9-8AC3-9689AC3EB6C0}">
            <xm:f>CO10&lt;Constants!$B$4</xm:f>
            <x14:dxf>
              <fill>
                <patternFill>
                  <bgColor rgb="FFFF0000"/>
                </patternFill>
              </fill>
            </x14:dxf>
          </x14:cfRule>
          <x14:cfRule type="expression" priority="245" id="{097E0F9E-6BD7-46F8-BAA4-EF2F629539B9}">
            <xm:f>CO10&lt;Constants!$B$3</xm:f>
            <x14:dxf>
              <fill>
                <patternFill>
                  <bgColor rgb="FFFFC000"/>
                </patternFill>
              </fill>
            </x14:dxf>
          </x14:cfRule>
          <xm:sqref>L10:M86</xm:sqref>
        </x14:conditionalFormatting>
        <x14:conditionalFormatting xmlns:xm="http://schemas.microsoft.com/office/excel/2006/main">
          <x14:cfRule type="expression" priority="123" id="{097E0F9E-6BD7-46F8-BAA4-EF2F629539B9}">
            <xm:f>CI10&lt;Constants!$B$3</xm:f>
            <x14:dxf>
              <fill>
                <patternFill>
                  <bgColor rgb="FFFFC000"/>
                </patternFill>
              </fill>
            </x14:dxf>
          </x14:cfRule>
          <xm:sqref>U10:W86</xm:sqref>
        </x14:conditionalFormatting>
        <x14:conditionalFormatting xmlns:xm="http://schemas.microsoft.com/office/excel/2006/main">
          <x14:cfRule type="expression" priority="127" id="{097E0F9E-6BD7-46F8-BAA4-EF2F629539B9}">
            <xm:f>CK1048571&lt;Constants!$B$3</xm:f>
            <x14:dxf>
              <fill>
                <patternFill>
                  <bgColor rgb="FFFFC000"/>
                </patternFill>
              </fill>
            </x14:dxf>
          </x14:cfRule>
          <xm:sqref>W12:W27</xm:sqref>
        </x14:conditionalFormatting>
        <x14:conditionalFormatting xmlns:xm="http://schemas.microsoft.com/office/excel/2006/main">
          <x14:cfRule type="expression" priority="118" id="{E1975C84-06D7-4EA9-8AC3-9689AC3EB6C0}">
            <xm:f>CK10&lt;Constants!$B$4</xm:f>
            <x14:dxf>
              <fill>
                <patternFill>
                  <bgColor rgb="FFFF0000"/>
                </patternFill>
              </fill>
            </x14:dxf>
          </x14:cfRule>
          <x14:cfRule type="expression" priority="119" id="{097E0F9E-6BD7-46F8-BAA4-EF2F629539B9}">
            <xm:f>CK10&lt;Constants!$B$3</xm:f>
            <x14:dxf>
              <fill>
                <patternFill>
                  <bgColor rgb="FFFFC000"/>
                </patternFill>
              </fill>
            </x14:dxf>
          </x14:cfRule>
          <xm:sqref>X10:AA86 AE10:AF86</xm:sqref>
        </x14:conditionalFormatting>
        <x14:conditionalFormatting xmlns:xm="http://schemas.microsoft.com/office/excel/2006/main">
          <x14:cfRule type="expression" priority="31" id="{CD7F224B-AB8F-46AB-9F8E-9DF8AB787A13}">
            <xm:f>CM10&lt;Constants!$B$3</xm:f>
            <x14:dxf>
              <fill>
                <patternFill>
                  <bgColor rgb="FFFFC000"/>
                </patternFill>
              </fill>
            </x14:dxf>
          </x14:cfRule>
          <xm:sqref>Y10</xm:sqref>
        </x14:conditionalFormatting>
        <x14:conditionalFormatting xmlns:xm="http://schemas.microsoft.com/office/excel/2006/main">
          <x14:cfRule type="expression" priority="25" id="{73D8A5D3-6B56-48F8-A5A4-AF8510DAC912}">
            <xm:f>CP10&lt;Constants!$B$4</xm:f>
            <x14:dxf>
              <fill>
                <patternFill>
                  <bgColor rgb="FFFF0000"/>
                </patternFill>
              </fill>
            </x14:dxf>
          </x14:cfRule>
          <x14:cfRule type="expression" priority="30" id="{64A03755-9E8E-4D48-B649-949C4AEA3BCA}">
            <xm:f>CP10&lt;Constants!$B$3</xm:f>
            <x14:dxf>
              <fill>
                <patternFill>
                  <bgColor rgb="FFFFC000"/>
                </patternFill>
              </fill>
            </x14:dxf>
          </x14:cfRule>
          <xm:sqref>AF10 AB10:AD86</xm:sqref>
        </x14:conditionalFormatting>
        <x14:conditionalFormatting xmlns:xm="http://schemas.microsoft.com/office/excel/2006/main">
          <x14:cfRule type="expression" priority="23" id="{07B0D8CC-773C-406D-BEE7-5C72F8598388}">
            <xm:f>CU10&lt;Constants!$B$3</xm:f>
            <x14:dxf>
              <fill>
                <patternFill>
                  <bgColor rgb="FFFFC000"/>
                </patternFill>
              </fill>
            </x14:dxf>
          </x14:cfRule>
          <xm:sqref>AF10</xm:sqref>
        </x14:conditionalFormatting>
        <x14:conditionalFormatting xmlns:xm="http://schemas.microsoft.com/office/excel/2006/main">
          <x14:cfRule type="expression" priority="140" id="{E1975C84-06D7-4EA9-8AC3-9689AC3EB6C0}">
            <xm:f>CS10&lt;Constants!$B$4</xm:f>
            <x14:dxf>
              <fill>
                <patternFill>
                  <bgColor rgb="FFFF0000"/>
                </patternFill>
              </fill>
            </x14:dxf>
          </x14:cfRule>
          <x14:cfRule type="expression" priority="141" id="{097E0F9E-6BD7-46F8-BAA4-EF2F629539B9}">
            <xm:f>CS10&lt;Constants!$B$3</xm:f>
            <x14:dxf>
              <fill>
                <patternFill>
                  <bgColor rgb="FFFFC000"/>
                </patternFill>
              </fill>
            </x14:dxf>
          </x14:cfRule>
          <xm:sqref>AG10:AH86</xm:sqref>
        </x14:conditionalFormatting>
        <x14:conditionalFormatting xmlns:xm="http://schemas.microsoft.com/office/excel/2006/main">
          <x14:cfRule type="expression" priority="14" id="{84CE3071-CF4E-4D3C-A454-BF809826CEB9}">
            <xm:f>CX10&lt;Constants!$B$3</xm:f>
            <x14:dxf>
              <fill>
                <patternFill>
                  <bgColor rgb="FFFFC000"/>
                </patternFill>
              </fill>
            </x14:dxf>
          </x14:cfRule>
          <x14:cfRule type="expression" priority="21" id="{030B48BD-D612-4CB2-B450-1689ECDE0E41}">
            <xm:f>CW10&lt;Constants!$B$4</xm:f>
            <x14:dxf>
              <fill>
                <patternFill>
                  <bgColor rgb="FFFF0000"/>
                </patternFill>
              </fill>
            </x14:dxf>
          </x14:cfRule>
          <x14:cfRule type="expression" priority="22" id="{A07B3BAD-FC88-494D-A295-246A8C7EE7C5}">
            <xm:f>CW10&lt;Constants!$B$3</xm:f>
            <x14:dxf>
              <fill>
                <patternFill>
                  <bgColor rgb="FFFFC000"/>
                </patternFill>
              </fill>
            </x14:dxf>
          </x14:cfRule>
          <xm:sqref>AH10</xm:sqref>
        </x14:conditionalFormatting>
        <x14:conditionalFormatting xmlns:xm="http://schemas.microsoft.com/office/excel/2006/main">
          <x14:cfRule type="expression" priority="151" id="{E1975C84-06D7-4EA9-8AC3-9689AC3EB6C0}">
            <xm:f>CT10&lt;Constants!$B$4</xm:f>
            <x14:dxf>
              <fill>
                <patternFill>
                  <bgColor rgb="FFFF0000"/>
                </patternFill>
              </fill>
            </x14:dxf>
          </x14:cfRule>
          <x14:cfRule type="expression" priority="152" id="{097E0F9E-6BD7-46F8-BAA4-EF2F629539B9}">
            <xm:f>CT10&lt;Constants!$B$3</xm:f>
            <x14:dxf>
              <fill>
                <patternFill>
                  <bgColor rgb="FFFFC000"/>
                </patternFill>
              </fill>
            </x14:dxf>
          </x14:cfRule>
          <xm:sqref>AI10 AI11:AJ86</xm:sqref>
        </x14:conditionalFormatting>
        <x14:conditionalFormatting xmlns:xm="http://schemas.microsoft.com/office/excel/2006/main">
          <x14:cfRule type="expression" priority="7" id="{6A9D1DA9-24BF-48D9-915F-98FD84E4162B}">
            <xm:f>CZ10&lt;Constants!$B$3</xm:f>
            <x14:dxf>
              <fill>
                <patternFill>
                  <bgColor rgb="FFFFC000"/>
                </patternFill>
              </fill>
            </x14:dxf>
          </x14:cfRule>
          <x14:cfRule type="expression" priority="8" id="{4DC991DA-5F6C-498A-9793-6434D9C3121A}">
            <xm:f>CY10&lt;Constants!$B$4</xm:f>
            <x14:dxf>
              <fill>
                <patternFill>
                  <bgColor rgb="FFFF0000"/>
                </patternFill>
              </fill>
            </x14:dxf>
          </x14:cfRule>
          <x14:cfRule type="expression" priority="9" id="{197CD818-8F0A-438A-98DD-72CE4D93F2CE}">
            <xm:f>CY10&lt;Constants!$B$3</xm:f>
            <x14:dxf>
              <fill>
                <patternFill>
                  <bgColor rgb="FFFFC000"/>
                </patternFill>
              </fill>
            </x14:dxf>
          </x14:cfRule>
          <x14:cfRule type="expression" priority="12" id="{73C2A61B-AB4A-4A77-9663-584188477CFD}">
            <xm:f>CV10&lt;Constants!$B$4</xm:f>
            <x14:dxf>
              <fill>
                <patternFill>
                  <bgColor rgb="FFFF0000"/>
                </patternFill>
              </fill>
            </x14:dxf>
          </x14:cfRule>
          <x14:cfRule type="expression" priority="13" id="{2E4EB5DD-3CD9-44E0-A3FA-9D2A7640E404}">
            <xm:f>CV10&lt;Constants!$B$3</xm:f>
            <x14:dxf>
              <fill>
                <patternFill>
                  <bgColor rgb="FFFFC000"/>
                </patternFill>
              </fill>
            </x14:dxf>
          </x14:cfRule>
          <xm:sqref>AJ10</xm:sqref>
        </x14:conditionalFormatting>
        <x14:conditionalFormatting xmlns:xm="http://schemas.microsoft.com/office/excel/2006/main">
          <x14:cfRule type="expression" priority="32" id="{E1975C84-06D7-4EA9-8AC3-9689AC3EB6C0}">
            <xm:f>CU10&lt;Constants!$B$4</xm:f>
            <x14:dxf>
              <fill>
                <patternFill>
                  <bgColor rgb="FFFF0000"/>
                </patternFill>
              </fill>
            </x14:dxf>
          </x14:cfRule>
          <x14:cfRule type="expression" priority="115" id="{097E0F9E-6BD7-46F8-BAA4-EF2F629539B9}">
            <xm:f>CU10&lt;Constants!$B$3</xm:f>
            <x14:dxf>
              <fill>
                <patternFill>
                  <bgColor rgb="FFFFC000"/>
                </patternFill>
              </fill>
            </x14:dxf>
          </x14:cfRule>
          <xm:sqref>AK10:AK86</xm:sqref>
        </x14:conditionalFormatting>
      </x14:conditionalFormattings>
    </ext>
    <ext xmlns:x14="http://schemas.microsoft.com/office/spreadsheetml/2009/9/main" uri="{CCE6A557-97BC-4b89-ADB6-D9C93CAAB3DF}">
      <x14:dataValidations xmlns:xm="http://schemas.microsoft.com/office/excel/2006/main" xWindow="637" yWindow="260" count="10">
        <x14:dataValidation type="list" allowBlank="1" showInputMessage="1" showErrorMessage="1" xr:uid="{5ED86C15-B6CC-407E-B13F-8321679335BF}">
          <x14:formula1>
            <xm:f>List!$F$14:$F$21</xm:f>
          </x14:formula1>
          <xm:sqref>AV11:AV25 AY11:BB25</xm:sqref>
        </x14:dataValidation>
        <x14:dataValidation type="list" allowBlank="1" showInputMessage="1" showErrorMessage="1" xr:uid="{DEB923EB-966D-4FCE-8C42-2E0A086078A2}">
          <x14:formula1>
            <xm:f>List!$G$14:$G$16</xm:f>
          </x14:formula1>
          <xm:sqref>AW11:AW25</xm:sqref>
        </x14:dataValidation>
        <x14:dataValidation type="list" allowBlank="1" showInputMessage="1" showErrorMessage="1" xr:uid="{86262D02-EEA0-447A-8543-B37DA65005BB}">
          <x14:formula1>
            <xm:f>List!$H$2:$H$9</xm:f>
          </x14:formula1>
          <xm:sqref>AQ10:AQ86</xm:sqref>
        </x14:dataValidation>
        <x14:dataValidation type="list" allowBlank="1" showErrorMessage="1" errorTitle="Incorrect Entry " error="Cell must be filled in. Please enter either an estinated OR actual date." xr:uid="{5E4FACA6-4E7A-426F-BF85-440ABB18854B}">
          <x14:formula1>
            <xm:f>List!$G$2:$G$4</xm:f>
          </x14:formula1>
          <xm:sqref>R10:R86</xm:sqref>
        </x14:dataValidation>
        <x14:dataValidation type="list" allowBlank="1" showInputMessage="1" showErrorMessage="1" xr:uid="{F55B3206-E23B-48D9-B341-A2EB50B5A323}">
          <x14:formula1>
            <xm:f>List!$D$14:$D$16</xm:f>
          </x14:formula1>
          <xm:sqref>F10:F86</xm:sqref>
        </x14:dataValidation>
        <x14:dataValidation type="list" allowBlank="1" showInputMessage="1" showErrorMessage="1" xr:uid="{836390A4-7E64-436A-AE41-1133F80FD1A2}">
          <x14:formula1>
            <xm:f>List!$E$2:$E$4</xm:f>
          </x14:formula1>
          <xm:sqref>O10:O97 K10:L97 M87:M97</xm:sqref>
        </x14:dataValidation>
        <x14:dataValidation type="list" allowBlank="1" showInputMessage="1" showErrorMessage="1" xr:uid="{6E0C0D34-8AB6-4849-A898-9150EB107D91}">
          <x14:formula1>
            <xm:f>List!$F$2:$F$7</xm:f>
          </x14:formula1>
          <xm:sqref>P10:P86</xm:sqref>
        </x14:dataValidation>
        <x14:dataValidation type="list" operator="notEqual" allowBlank="1" showInputMessage="1" showErrorMessage="1" xr:uid="{D5B5F197-456D-43E7-8249-31C15F93C51F}">
          <x14:formula1>
            <xm:f>List!$G$2:$G$4</xm:f>
          </x14:formula1>
          <xm:sqref>R10:R86</xm:sqref>
        </x14:dataValidation>
        <x14:dataValidation type="list" operator="notEqual" allowBlank="1" showInputMessage="1" showErrorMessage="1" xr:uid="{72EEC52A-91E9-42DC-AB78-C8A06B4CB729}">
          <x14:formula1>
            <xm:f>List!$M$2:$M$5</xm:f>
          </x14:formula1>
          <xm:sqref>I10:I86 L10:M86</xm:sqref>
        </x14:dataValidation>
        <x14:dataValidation type="list" allowBlank="1" showInputMessage="1" showErrorMessage="1" xr:uid="{8D4CD9C9-388E-4C8E-84E6-1DB2BBA7D8D8}">
          <x14:formula1>
            <xm:f>List!$M$2:$M$5</xm:f>
          </x14:formula1>
          <xm:sqref>I10:I86 M10:M86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9C65-FF07-4964-8EE6-580FBADD2E10}">
  <sheetPr codeName="Sheet8"/>
  <dimension ref="A1:L8"/>
  <sheetViews>
    <sheetView workbookViewId="0"/>
  </sheetViews>
  <sheetFormatPr defaultRowHeight="15" customHeight="1" x14ac:dyDescent="0.25"/>
  <cols>
    <col min="1" max="1" width="12.28515625" customWidth="1"/>
    <col min="2" max="2" width="13.5703125" customWidth="1"/>
    <col min="3" max="3" width="44.85546875" bestFit="1" customWidth="1"/>
    <col min="4" max="4" width="16.42578125" bestFit="1" customWidth="1"/>
    <col min="5" max="6" width="12.42578125" bestFit="1" customWidth="1"/>
    <col min="7" max="11" width="44.85546875" customWidth="1"/>
    <col min="12" max="12" width="81.28515625" customWidth="1"/>
  </cols>
  <sheetData>
    <row r="1" spans="1:12" ht="18.75" thickBot="1" x14ac:dyDescent="0.3">
      <c r="A1" s="67" t="s">
        <v>192</v>
      </c>
      <c r="B1" s="68"/>
      <c r="C1" s="68"/>
      <c r="D1" s="68"/>
      <c r="E1" s="68"/>
      <c r="F1" s="68"/>
      <c r="G1" s="68"/>
      <c r="H1" s="68"/>
      <c r="I1" s="68"/>
      <c r="J1" s="68"/>
      <c r="K1" s="68"/>
      <c r="L1" s="69"/>
    </row>
    <row r="2" spans="1:12" s="61" customFormat="1" ht="29.25" thickBot="1" x14ac:dyDescent="0.3">
      <c r="A2" s="43" t="s">
        <v>204</v>
      </c>
      <c r="B2" s="46" t="s">
        <v>66</v>
      </c>
      <c r="C2" s="44" t="s">
        <v>14</v>
      </c>
      <c r="D2" s="44" t="s">
        <v>205</v>
      </c>
      <c r="E2" s="44" t="s">
        <v>71</v>
      </c>
      <c r="F2" s="44" t="s">
        <v>206</v>
      </c>
      <c r="G2" s="44" t="s">
        <v>72</v>
      </c>
      <c r="H2" s="52" t="s">
        <v>67</v>
      </c>
      <c r="I2" s="52" t="s">
        <v>193</v>
      </c>
      <c r="J2" s="52" t="s">
        <v>194</v>
      </c>
      <c r="K2" s="52" t="s">
        <v>195</v>
      </c>
      <c r="L2" s="45" t="s">
        <v>207</v>
      </c>
    </row>
    <row r="3" spans="1:12" x14ac:dyDescent="0.25">
      <c r="B3" t="s">
        <v>346</v>
      </c>
      <c r="C3" t="s">
        <v>347</v>
      </c>
      <c r="D3" t="s">
        <v>123</v>
      </c>
      <c r="E3" t="s">
        <v>197</v>
      </c>
      <c r="F3">
        <v>2025</v>
      </c>
      <c r="G3" t="s">
        <v>196</v>
      </c>
      <c r="H3" t="s">
        <v>197</v>
      </c>
      <c r="L3" t="s">
        <v>198</v>
      </c>
    </row>
    <row r="4" spans="1:12" x14ac:dyDescent="0.25"/>
    <row r="5" spans="1:12" x14ac:dyDescent="0.25"/>
    <row r="6" spans="1:12" x14ac:dyDescent="0.25"/>
    <row r="7" spans="1:12" x14ac:dyDescent="0.25"/>
    <row r="8" spans="1:12" x14ac:dyDescent="0.25"/>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1F79-A367-4E56-94C5-B9A73FE05FAD}">
  <sheetPr codeName="Sheet9"/>
  <dimension ref="A1:AE8"/>
  <sheetViews>
    <sheetView workbookViewId="0">
      <selection sqref="A1:C1"/>
    </sheetView>
  </sheetViews>
  <sheetFormatPr defaultRowHeight="15" x14ac:dyDescent="0.25"/>
  <cols>
    <col min="1" max="1" width="18" bestFit="1" customWidth="1"/>
    <col min="2" max="2" width="37.28515625" customWidth="1"/>
    <col min="3" max="3" width="18" customWidth="1"/>
    <col min="4" max="4" width="27" bestFit="1" customWidth="1"/>
    <col min="5" max="5" width="20.140625" customWidth="1"/>
    <col min="6" max="6" width="23" bestFit="1" customWidth="1"/>
    <col min="7" max="8" width="20.7109375" bestFit="1" customWidth="1"/>
    <col min="9" max="9" width="22.85546875" bestFit="1" customWidth="1"/>
    <col min="10" max="10" width="27" bestFit="1" customWidth="1"/>
    <col min="11" max="11" width="24.7109375" bestFit="1" customWidth="1"/>
    <col min="12" max="12" width="20.140625" bestFit="1" customWidth="1"/>
    <col min="13" max="13" width="63" hidden="1" customWidth="1"/>
    <col min="14" max="14" width="39.85546875" hidden="1" customWidth="1"/>
    <col min="15" max="15" width="43.42578125" hidden="1" customWidth="1"/>
    <col min="16" max="16" width="34.5703125" hidden="1" customWidth="1"/>
    <col min="17" max="17" width="31.42578125" hidden="1" customWidth="1"/>
    <col min="18" max="18" width="35.42578125" hidden="1" customWidth="1"/>
    <col min="19" max="19" width="36.5703125" hidden="1" customWidth="1"/>
    <col min="20" max="20" width="46.85546875" hidden="1" customWidth="1"/>
    <col min="21" max="21" width="32.7109375" hidden="1" customWidth="1"/>
    <col min="22" max="22" width="35.7109375" hidden="1" customWidth="1"/>
    <col min="23" max="26" width="41.5703125" hidden="1" customWidth="1"/>
    <col min="27" max="27" width="23" hidden="1" customWidth="1"/>
    <col min="28" max="28" width="18.42578125" hidden="1" customWidth="1"/>
    <col min="29" max="29" width="30.42578125" bestFit="1" customWidth="1"/>
    <col min="30" max="30" width="28.28515625" bestFit="1" customWidth="1"/>
    <col min="31" max="31" width="24" bestFit="1" customWidth="1"/>
  </cols>
  <sheetData>
    <row r="1" spans="1:31" ht="36" x14ac:dyDescent="0.55000000000000004">
      <c r="A1" s="207" t="s">
        <v>383</v>
      </c>
      <c r="B1" s="207"/>
      <c r="C1" s="207"/>
    </row>
    <row r="2" spans="1:31" x14ac:dyDescent="0.25">
      <c r="A2" s="110" t="s">
        <v>6</v>
      </c>
      <c r="B2">
        <f>COLUMN()</f>
        <v>2</v>
      </c>
      <c r="C2">
        <f>COLUMN()</f>
        <v>3</v>
      </c>
      <c r="D2">
        <f>COLUMN()</f>
        <v>4</v>
      </c>
      <c r="E2">
        <f>COLUMN()</f>
        <v>5</v>
      </c>
      <c r="F2">
        <f>COLUMN()</f>
        <v>6</v>
      </c>
      <c r="G2">
        <f>COLUMN()</f>
        <v>7</v>
      </c>
      <c r="H2">
        <f>COLUMN()</f>
        <v>8</v>
      </c>
      <c r="I2">
        <f>COLUMN()</f>
        <v>9</v>
      </c>
      <c r="J2">
        <f>COLUMN()</f>
        <v>10</v>
      </c>
      <c r="K2">
        <f>COLUMN()</f>
        <v>11</v>
      </c>
      <c r="L2">
        <f>COLUMN()</f>
        <v>12</v>
      </c>
    </row>
    <row r="3" spans="1:31" s="4" customFormat="1" ht="15" customHeight="1" x14ac:dyDescent="0.25">
      <c r="A3" s="111" t="str">
        <f>Translation!A97</f>
        <v>Project Info</v>
      </c>
      <c r="B3" s="111"/>
      <c r="C3" s="208" t="str">
        <f>Translation!A110</f>
        <v>Key Milestones</v>
      </c>
      <c r="D3" s="208"/>
      <c r="E3" s="208"/>
      <c r="F3" s="208"/>
      <c r="G3" s="208"/>
      <c r="H3" s="208"/>
      <c r="I3" s="208"/>
      <c r="J3" s="208"/>
      <c r="K3" s="208"/>
      <c r="L3" s="208"/>
    </row>
    <row r="4" spans="1:31" s="106" customFormat="1" ht="23.1" customHeight="1" x14ac:dyDescent="0.25">
      <c r="A4" s="106" t="str">
        <f>Translation!A99</f>
        <v>Project ID</v>
      </c>
      <c r="B4" s="106" t="str">
        <f>Translation!A100</f>
        <v xml:space="preserve">Project Name </v>
      </c>
      <c r="C4" s="107" t="str">
        <f>Translation!A111</f>
        <v xml:space="preserve">Site Purchase </v>
      </c>
      <c r="D4" s="107" t="s">
        <v>324</v>
      </c>
      <c r="E4" s="107" t="s">
        <v>325</v>
      </c>
      <c r="F4" s="107" t="s">
        <v>326</v>
      </c>
      <c r="G4" s="107" t="s">
        <v>327</v>
      </c>
      <c r="H4" s="107" t="s">
        <v>328</v>
      </c>
      <c r="I4" s="107" t="s">
        <v>50</v>
      </c>
      <c r="J4" s="107" t="s">
        <v>151</v>
      </c>
      <c r="K4" s="107" t="str">
        <f>Translation!A120</f>
        <v xml:space="preserve">School/Addition Opening </v>
      </c>
      <c r="L4" s="108" t="s">
        <v>329</v>
      </c>
      <c r="M4" s="109" t="str">
        <f>'Monthly Update'!Q7</f>
        <v>Site Purchase Date</v>
      </c>
      <c r="N4" s="109" t="str">
        <f>'Monthly Update'!S7</f>
        <v>Space Template Approval Date</v>
      </c>
      <c r="O4" s="109" t="str">
        <f>'Monthly Update'!T7</f>
        <v xml:space="preserve">Child Care Floorplan Approval Date </v>
      </c>
      <c r="P4" s="109" t="str">
        <f>'Monthly Update'!U7</f>
        <v>Initial Site Plan Submission Date</v>
      </c>
      <c r="Q4" s="109" t="str">
        <f>'Monthly Update'!V7</f>
        <v>Site Plan Approval Date</v>
      </c>
      <c r="R4" s="109" t="str">
        <f>'Monthly Update'!X7</f>
        <v>Build Permit Obtained Date</v>
      </c>
      <c r="S4" s="109" t="str">
        <f>'Monthly Update'!H7</f>
        <v>Pre-Tender Submission Date</v>
      </c>
      <c r="T4" s="109" t="str">
        <f>'Monthly Update'!Z7</f>
        <v xml:space="preserve">Tender Issued Date </v>
      </c>
      <c r="U4" s="109" t="str">
        <f>'Monthly Update'!AA7</f>
        <v>Tender Closed Date</v>
      </c>
      <c r="V4" s="109" t="str">
        <f>'Monthly Update'!L7</f>
        <v>Post-Tender Submission Date</v>
      </c>
      <c r="W4" s="109" t="str">
        <f>'Monthly Update'!AB7</f>
        <v>Contract Awarded Date</v>
      </c>
      <c r="X4" s="109" t="str">
        <f>'Monthly Update'!AC7</f>
        <v>Construction Start Date</v>
      </c>
      <c r="Y4" s="109" t="str">
        <f>'Monthly Update'!AE7</f>
        <v>Substantial Completion Date</v>
      </c>
      <c r="Z4" s="109" t="str">
        <f>'Monthly Update'!AG7</f>
        <v xml:space="preserve">School Opening Date </v>
      </c>
      <c r="AA4" s="109" t="str">
        <f>'Monthly Update'!AI7</f>
        <v>Child Care Opening Date</v>
      </c>
      <c r="AB4" s="109" t="str">
        <f>'Monthly Update'!AK7</f>
        <v>Financial Close-Out Date</v>
      </c>
      <c r="AC4" s="109"/>
      <c r="AD4" s="109"/>
      <c r="AE4" s="109"/>
    </row>
    <row r="5" spans="1:31" x14ac:dyDescent="0.25">
      <c r="A5" t="s">
        <v>323</v>
      </c>
      <c r="B5" t="s">
        <v>307</v>
      </c>
      <c r="C5" s="32" t="s">
        <v>308</v>
      </c>
      <c r="D5" s="32" t="s">
        <v>279</v>
      </c>
      <c r="E5" s="32" t="s">
        <v>330</v>
      </c>
      <c r="F5" s="32" t="s">
        <v>281</v>
      </c>
      <c r="G5" s="32" t="s">
        <v>331</v>
      </c>
      <c r="H5" s="32" t="s">
        <v>332</v>
      </c>
      <c r="I5" s="32" t="s">
        <v>312</v>
      </c>
      <c r="J5" s="32" t="s">
        <v>286</v>
      </c>
      <c r="K5" s="32" t="s">
        <v>287</v>
      </c>
      <c r="L5" s="32" t="s">
        <v>288</v>
      </c>
      <c r="M5" s="74" t="str">
        <f>C5&amp;"_comparison*((formula*((down"</f>
        <v>*((col*((date_site_purchase_comparison*((formula*((down</v>
      </c>
      <c r="N5" s="74" t="str">
        <f t="shared" ref="N5:AB5" si="0">D5&amp;"_comparison*((formula*((down"</f>
        <v>*((col*((date_space_template_comparison*((formula*((down</v>
      </c>
      <c r="O5" s="74" t="str">
        <f t="shared" si="0"/>
        <v>*((col*((date_site_plan_approved_comparison*((formula*((down</v>
      </c>
      <c r="P5" s="74" t="str">
        <f t="shared" si="0"/>
        <v>*((col*((date_pretender_comparison*((formula*((down</v>
      </c>
      <c r="Q5" s="74" t="str">
        <f t="shared" si="0"/>
        <v>*((col*((date_tender_comparison*((formula*((down</v>
      </c>
      <c r="R5" s="74" t="str">
        <f t="shared" si="0"/>
        <v>*((col*((date_posttender_comparison*((formula*((down</v>
      </c>
      <c r="S5" s="74" t="str">
        <f t="shared" si="0"/>
        <v>*((col*((date_construction_comparison*((formula*((down</v>
      </c>
      <c r="T5" s="74" t="str">
        <f t="shared" si="0"/>
        <v>*((col*((date_substantial_completion_comparison*((formula*((down</v>
      </c>
      <c r="U5" s="74" t="str">
        <f t="shared" si="0"/>
        <v>*((col*((date_opening_comparison*((formula*((down</v>
      </c>
      <c r="V5" s="74" t="str">
        <f t="shared" si="0"/>
        <v>*((col*((date_completion_comparison*((formula*((down</v>
      </c>
      <c r="W5" s="74" t="str">
        <f t="shared" si="0"/>
        <v>*((col*((date_site_purchase_comparison*((formula*((down_comparison*((formula*((down</v>
      </c>
      <c r="X5" s="74" t="str">
        <f t="shared" si="0"/>
        <v>*((col*((date_space_template_comparison*((formula*((down_comparison*((formula*((down</v>
      </c>
      <c r="Y5" s="74" t="str">
        <f t="shared" si="0"/>
        <v>*((col*((date_site_plan_approved_comparison*((formula*((down_comparison*((formula*((down</v>
      </c>
      <c r="Z5" s="74" t="str">
        <f t="shared" si="0"/>
        <v>*((col*((date_pretender_comparison*((formula*((down_comparison*((formula*((down</v>
      </c>
      <c r="AA5" s="74" t="str">
        <f t="shared" si="0"/>
        <v>*((col*((date_tender_comparison*((formula*((down_comparison*((formula*((down</v>
      </c>
      <c r="AB5" s="74" t="str">
        <f t="shared" si="0"/>
        <v>*((col*((date_posttender_comparison*((formula*((down_comparison*((formula*((down</v>
      </c>
    </row>
    <row r="6" spans="1:31" x14ac:dyDescent="0.25">
      <c r="C6" s="32"/>
      <c r="D6" s="32"/>
      <c r="E6" s="32"/>
      <c r="F6" s="32"/>
      <c r="G6" s="32"/>
      <c r="H6" s="32"/>
      <c r="I6" s="32"/>
      <c r="J6" s="32"/>
      <c r="K6" s="32"/>
      <c r="L6" s="32"/>
      <c r="M6" s="74">
        <f>C6-SUMIF('Monthly Update'!$A:$A,'Project Commitment'!$A6, 'Monthly Update'!Q:Q)</f>
        <v>0</v>
      </c>
      <c r="N6" s="74">
        <f>D6-SUMIF('Monthly Update'!$A:$A,'Project Commitment'!$A6, 'Monthly Update'!S:S)</f>
        <v>0</v>
      </c>
      <c r="O6">
        <f>0</f>
        <v>0</v>
      </c>
      <c r="P6">
        <f>0</f>
        <v>0</v>
      </c>
      <c r="Q6" s="74">
        <f>E6-SUMIF('Monthly Update'!$A:$A,'Project Commitment'!$A6, 'Monthly Update'!V:V)</f>
        <v>0</v>
      </c>
      <c r="R6">
        <f>0</f>
        <v>0</v>
      </c>
      <c r="S6" s="74">
        <f>F6-SUMIF('Monthly Update'!$A:$A,'Project Commitment'!$A6, 'Monthly Update'!H:H)</f>
        <v>0</v>
      </c>
      <c r="T6">
        <f>0</f>
        <v>0</v>
      </c>
      <c r="U6" s="74">
        <f>G6-SUMIF('Monthly Update'!$A:$A,'Project Commitment'!$A6, 'Monthly Update'!AA:AA)</f>
        <v>0</v>
      </c>
      <c r="V6" s="74">
        <f>H6-SUMIF('Monthly Update'!$A:$A,'Project Commitment'!$A6, 'Monthly Update'!L:L)</f>
        <v>0</v>
      </c>
      <c r="W6">
        <f>0</f>
        <v>0</v>
      </c>
      <c r="X6" s="74">
        <f>I6-SUMIF('Monthly Update'!$A:$A,'Project Commitment'!$A6, 'Monthly Update'!AC:AC)</f>
        <v>0</v>
      </c>
      <c r="Y6" s="74">
        <f>J6-SUMIF('Monthly Update'!$A:$A,'Project Commitment'!$A6, 'Monthly Update'!AE:AE)</f>
        <v>0</v>
      </c>
      <c r="Z6" s="74">
        <f>K6-SUMIF('Monthly Update'!$A:$A,'Project Commitment'!$A6, 'Monthly Update'!AG:AG)</f>
        <v>0</v>
      </c>
      <c r="AA6">
        <f>0</f>
        <v>0</v>
      </c>
      <c r="AB6" s="74">
        <f>L6-SUMIF('Monthly Update'!$A:$A,'Project Commitment'!$A6, 'Monthly Update'!AK:AK)</f>
        <v>0</v>
      </c>
    </row>
    <row r="7" spans="1:31" x14ac:dyDescent="0.25">
      <c r="C7" s="32"/>
      <c r="D7" s="32"/>
      <c r="E7" s="32"/>
      <c r="F7" s="32"/>
      <c r="G7" s="32"/>
      <c r="H7" s="32"/>
      <c r="I7" s="32"/>
      <c r="J7" s="32"/>
      <c r="K7" s="32"/>
      <c r="L7" s="32"/>
      <c r="N7" s="32"/>
    </row>
    <row r="8" spans="1:31" x14ac:dyDescent="0.25">
      <c r="C8" s="32"/>
      <c r="D8" s="32"/>
      <c r="E8" s="32"/>
      <c r="F8" s="32"/>
      <c r="G8" s="32"/>
      <c r="H8" s="32"/>
      <c r="I8" s="32"/>
      <c r="J8" s="32"/>
      <c r="K8" s="32"/>
      <c r="L8" s="32"/>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E113-776C-4553-B030-B117F3587D01}">
  <sheetPr codeName="Sheet10"/>
  <dimension ref="A1:B4"/>
  <sheetViews>
    <sheetView workbookViewId="0"/>
  </sheetViews>
  <sheetFormatPr defaultRowHeight="15" x14ac:dyDescent="0.25"/>
  <cols>
    <col min="1" max="1" width="12.5703125" customWidth="1"/>
  </cols>
  <sheetData>
    <row r="1" spans="1:2" x14ac:dyDescent="0.25">
      <c r="A1" t="s">
        <v>373</v>
      </c>
    </row>
    <row r="3" spans="1:2" x14ac:dyDescent="0.25">
      <c r="A3" t="s">
        <v>374</v>
      </c>
      <c r="B3">
        <f>-365*0.75</f>
        <v>-273.75</v>
      </c>
    </row>
    <row r="4" spans="1:2" x14ac:dyDescent="0.25">
      <c r="A4" t="s">
        <v>375</v>
      </c>
      <c r="B4">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0491-FE61-42BF-B80B-F34D397474E4}">
  <sheetPr codeName="Sheet5"/>
  <dimension ref="A1:M36"/>
  <sheetViews>
    <sheetView topLeftCell="D1" workbookViewId="0">
      <selection activeCell="H10" sqref="H10"/>
    </sheetView>
  </sheetViews>
  <sheetFormatPr defaultRowHeight="15" x14ac:dyDescent="0.25"/>
  <cols>
    <col min="1" max="1" width="21.140625" bestFit="1" customWidth="1"/>
    <col min="2" max="2" width="22.140625" customWidth="1"/>
    <col min="3" max="3" width="42.28515625" bestFit="1" customWidth="1"/>
    <col min="4" max="4" width="42.28515625" customWidth="1"/>
    <col min="5" max="5" width="16.42578125" bestFit="1" customWidth="1"/>
    <col min="6" max="6" width="27.85546875" bestFit="1" customWidth="1"/>
    <col min="7" max="7" width="18.28515625" bestFit="1" customWidth="1"/>
    <col min="8" max="8" width="34.85546875" bestFit="1" customWidth="1"/>
    <col min="9" max="9" width="34.85546875" customWidth="1"/>
    <col min="10" max="10" width="19" bestFit="1" customWidth="1"/>
    <col min="11" max="11" width="24" bestFit="1" customWidth="1"/>
    <col min="12" max="12" width="12.42578125" bestFit="1" customWidth="1"/>
  </cols>
  <sheetData>
    <row r="1" spans="1:13" x14ac:dyDescent="0.25">
      <c r="A1" s="4" t="s">
        <v>211</v>
      </c>
      <c r="B1" s="4" t="s">
        <v>212</v>
      </c>
      <c r="C1" s="4" t="s">
        <v>68</v>
      </c>
      <c r="D1" s="4" t="s">
        <v>64</v>
      </c>
      <c r="E1" s="4" t="s">
        <v>213</v>
      </c>
      <c r="F1" s="4" t="s">
        <v>140</v>
      </c>
      <c r="G1" s="4" t="s">
        <v>210</v>
      </c>
      <c r="H1" s="4" t="s">
        <v>214</v>
      </c>
      <c r="I1" s="4" t="s">
        <v>215</v>
      </c>
      <c r="J1" s="20" t="s">
        <v>216</v>
      </c>
      <c r="K1" s="4" t="s">
        <v>72</v>
      </c>
      <c r="L1" s="4" t="s">
        <v>71</v>
      </c>
      <c r="M1" s="4" t="s">
        <v>405</v>
      </c>
    </row>
    <row r="2" spans="1:13" x14ac:dyDescent="0.25">
      <c r="A2" s="5" t="s">
        <v>217</v>
      </c>
      <c r="B2" s="5" t="s">
        <v>6</v>
      </c>
      <c r="C2" s="5" t="s">
        <v>73</v>
      </c>
      <c r="D2" s="5">
        <v>1</v>
      </c>
      <c r="E2" t="s">
        <v>516</v>
      </c>
      <c r="F2" t="s">
        <v>218</v>
      </c>
      <c r="G2" t="s">
        <v>125</v>
      </c>
      <c r="H2" t="s">
        <v>115</v>
      </c>
      <c r="I2" t="s">
        <v>113</v>
      </c>
      <c r="J2" t="s">
        <v>516</v>
      </c>
      <c r="K2" t="s">
        <v>196</v>
      </c>
      <c r="L2" t="s">
        <v>197</v>
      </c>
      <c r="M2" t="s">
        <v>406</v>
      </c>
    </row>
    <row r="3" spans="1:13" x14ac:dyDescent="0.25">
      <c r="A3" t="s">
        <v>219</v>
      </c>
      <c r="B3" t="s">
        <v>7</v>
      </c>
      <c r="C3" s="6" t="s">
        <v>220</v>
      </c>
      <c r="D3" s="5">
        <v>1</v>
      </c>
      <c r="E3" t="s">
        <v>517</v>
      </c>
      <c r="F3" t="s">
        <v>221</v>
      </c>
      <c r="G3" t="s">
        <v>114</v>
      </c>
      <c r="H3" t="s">
        <v>222</v>
      </c>
      <c r="I3" t="s">
        <v>120</v>
      </c>
      <c r="J3" t="s">
        <v>517</v>
      </c>
      <c r="K3" t="s">
        <v>223</v>
      </c>
      <c r="L3" t="s">
        <v>202</v>
      </c>
      <c r="M3" t="s">
        <v>407</v>
      </c>
    </row>
    <row r="4" spans="1:13" x14ac:dyDescent="0.25">
      <c r="C4" s="5" t="s">
        <v>224</v>
      </c>
      <c r="D4" s="5">
        <v>1</v>
      </c>
      <c r="E4" t="s">
        <v>209</v>
      </c>
      <c r="F4" t="s">
        <v>225</v>
      </c>
      <c r="G4" t="s">
        <v>121</v>
      </c>
      <c r="H4" t="s">
        <v>226</v>
      </c>
      <c r="I4" t="s">
        <v>127</v>
      </c>
      <c r="K4" t="s">
        <v>200</v>
      </c>
      <c r="L4" t="s">
        <v>65</v>
      </c>
      <c r="M4" t="s">
        <v>209</v>
      </c>
    </row>
    <row r="5" spans="1:13" x14ac:dyDescent="0.25">
      <c r="C5" s="5" t="s">
        <v>74</v>
      </c>
      <c r="D5" s="5">
        <v>1</v>
      </c>
      <c r="F5" t="s">
        <v>112</v>
      </c>
      <c r="H5" t="s">
        <v>122</v>
      </c>
      <c r="K5" t="s">
        <v>227</v>
      </c>
      <c r="L5" t="s">
        <v>228</v>
      </c>
      <c r="M5" t="s">
        <v>409</v>
      </c>
    </row>
    <row r="6" spans="1:13" x14ac:dyDescent="0.25">
      <c r="C6" s="5" t="s">
        <v>186</v>
      </c>
      <c r="D6" s="5">
        <v>1</v>
      </c>
      <c r="F6" t="s">
        <v>314</v>
      </c>
      <c r="H6" t="s">
        <v>229</v>
      </c>
      <c r="K6" t="s">
        <v>157</v>
      </c>
      <c r="L6" t="s">
        <v>230</v>
      </c>
    </row>
    <row r="7" spans="1:13" x14ac:dyDescent="0.25">
      <c r="C7" s="5" t="s">
        <v>231</v>
      </c>
      <c r="D7" s="5">
        <v>2</v>
      </c>
      <c r="F7" t="s">
        <v>209</v>
      </c>
      <c r="H7" t="s">
        <v>232</v>
      </c>
      <c r="L7" t="s">
        <v>199</v>
      </c>
    </row>
    <row r="8" spans="1:13" x14ac:dyDescent="0.25">
      <c r="C8" s="5" t="s">
        <v>75</v>
      </c>
      <c r="D8" s="5">
        <v>2</v>
      </c>
      <c r="H8" t="s">
        <v>233</v>
      </c>
      <c r="L8" t="s">
        <v>201</v>
      </c>
    </row>
    <row r="9" spans="1:13" x14ac:dyDescent="0.25">
      <c r="C9" s="5" t="s">
        <v>151</v>
      </c>
      <c r="D9" s="5">
        <v>3</v>
      </c>
      <c r="H9" t="s">
        <v>487</v>
      </c>
      <c r="L9" t="s">
        <v>203</v>
      </c>
    </row>
    <row r="10" spans="1:13" x14ac:dyDescent="0.25">
      <c r="C10" s="5" t="s">
        <v>234</v>
      </c>
      <c r="D10" s="5">
        <v>4</v>
      </c>
    </row>
    <row r="11" spans="1:13" x14ac:dyDescent="0.25">
      <c r="C11" s="5" t="s">
        <v>235</v>
      </c>
      <c r="D11" s="5"/>
    </row>
    <row r="13" spans="1:13" x14ac:dyDescent="0.25">
      <c r="A13" s="21" t="s">
        <v>88</v>
      </c>
      <c r="B13" s="21"/>
      <c r="C13" s="21" t="s">
        <v>236</v>
      </c>
      <c r="D13" s="4" t="s">
        <v>134</v>
      </c>
      <c r="E13" t="s">
        <v>205</v>
      </c>
      <c r="F13" s="21" t="s">
        <v>237</v>
      </c>
      <c r="G13" s="21" t="s">
        <v>238</v>
      </c>
      <c r="H13" t="s">
        <v>188</v>
      </c>
      <c r="I13" t="s">
        <v>239</v>
      </c>
      <c r="J13" t="s">
        <v>260</v>
      </c>
    </row>
    <row r="14" spans="1:13" x14ac:dyDescent="0.25">
      <c r="A14">
        <v>10</v>
      </c>
      <c r="C14">
        <v>0</v>
      </c>
      <c r="D14" t="s">
        <v>126</v>
      </c>
      <c r="E14" t="s">
        <v>155</v>
      </c>
      <c r="F14" t="s">
        <v>194</v>
      </c>
      <c r="G14" t="s">
        <v>240</v>
      </c>
      <c r="H14" t="s">
        <v>116</v>
      </c>
      <c r="I14" t="s">
        <v>241</v>
      </c>
      <c r="J14" t="s">
        <v>516</v>
      </c>
    </row>
    <row r="15" spans="1:13" x14ac:dyDescent="0.25">
      <c r="A15">
        <v>20</v>
      </c>
      <c r="C15">
        <v>1</v>
      </c>
      <c r="D15" t="s">
        <v>119</v>
      </c>
      <c r="E15" t="s">
        <v>123</v>
      </c>
      <c r="F15" t="s">
        <v>117</v>
      </c>
      <c r="G15" t="s">
        <v>242</v>
      </c>
      <c r="H15" t="s">
        <v>208</v>
      </c>
      <c r="I15" t="s">
        <v>118</v>
      </c>
      <c r="J15" t="s">
        <v>517</v>
      </c>
    </row>
    <row r="16" spans="1:13" x14ac:dyDescent="0.25">
      <c r="A16">
        <v>30</v>
      </c>
      <c r="C16">
        <v>2</v>
      </c>
      <c r="D16" t="s">
        <v>124</v>
      </c>
      <c r="F16" t="s">
        <v>243</v>
      </c>
      <c r="G16" t="s">
        <v>244</v>
      </c>
      <c r="H16" t="s">
        <v>154</v>
      </c>
      <c r="I16" t="s">
        <v>245</v>
      </c>
      <c r="J16" t="s">
        <v>518</v>
      </c>
    </row>
    <row r="17" spans="1:9" x14ac:dyDescent="0.25">
      <c r="A17">
        <v>40</v>
      </c>
      <c r="C17">
        <v>3</v>
      </c>
      <c r="I17" t="s">
        <v>246</v>
      </c>
    </row>
    <row r="18" spans="1:9" x14ac:dyDescent="0.25">
      <c r="A18">
        <v>50</v>
      </c>
      <c r="C18">
        <v>4</v>
      </c>
      <c r="F18" t="s">
        <v>247</v>
      </c>
    </row>
    <row r="19" spans="1:9" x14ac:dyDescent="0.25">
      <c r="A19">
        <v>60</v>
      </c>
      <c r="F19" t="s">
        <v>248</v>
      </c>
    </row>
    <row r="20" spans="1:9" x14ac:dyDescent="0.25">
      <c r="A20">
        <v>70</v>
      </c>
      <c r="F20" t="s">
        <v>249</v>
      </c>
    </row>
    <row r="21" spans="1:9" x14ac:dyDescent="0.25">
      <c r="A21">
        <v>80</v>
      </c>
      <c r="F21" t="s">
        <v>250</v>
      </c>
    </row>
    <row r="22" spans="1:9" x14ac:dyDescent="0.25">
      <c r="A22">
        <v>90</v>
      </c>
      <c r="F22" t="s">
        <v>251</v>
      </c>
    </row>
    <row r="23" spans="1:9" x14ac:dyDescent="0.25">
      <c r="A23">
        <v>100</v>
      </c>
      <c r="F23" t="s">
        <v>252</v>
      </c>
    </row>
    <row r="24" spans="1:9" x14ac:dyDescent="0.25">
      <c r="F24" t="s">
        <v>253</v>
      </c>
    </row>
    <row r="25" spans="1:9" x14ac:dyDescent="0.25">
      <c r="A25" t="s">
        <v>254</v>
      </c>
      <c r="F25" t="s">
        <v>255</v>
      </c>
    </row>
    <row r="26" spans="1:9" x14ac:dyDescent="0.25">
      <c r="A26" t="s">
        <v>113</v>
      </c>
      <c r="F26" t="s">
        <v>256</v>
      </c>
    </row>
    <row r="27" spans="1:9" x14ac:dyDescent="0.25">
      <c r="A27" t="s">
        <v>257</v>
      </c>
    </row>
    <row r="28" spans="1:9" x14ac:dyDescent="0.25">
      <c r="A28" t="s">
        <v>258</v>
      </c>
    </row>
    <row r="32" spans="1:9" x14ac:dyDescent="0.25">
      <c r="B32" t="s">
        <v>337</v>
      </c>
    </row>
    <row r="33" spans="2:2" x14ac:dyDescent="0.25">
      <c r="B33" t="s">
        <v>336</v>
      </c>
    </row>
    <row r="34" spans="2:2" x14ac:dyDescent="0.25">
      <c r="B34" t="s">
        <v>339</v>
      </c>
    </row>
    <row r="35" spans="2:2" x14ac:dyDescent="0.25">
      <c r="B35" t="s">
        <v>340</v>
      </c>
    </row>
    <row r="36" spans="2:2" x14ac:dyDescent="0.25">
      <c r="B36" t="s">
        <v>341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A7AC-E7D6-422A-8560-A4880B4B0BA2}">
  <sheetPr codeName="Sheet6"/>
  <dimension ref="A1:AZ160"/>
  <sheetViews>
    <sheetView workbookViewId="0"/>
  </sheetViews>
  <sheetFormatPr defaultColWidth="10.42578125" defaultRowHeight="14.25" customHeight="1" outlineLevelCol="1" x14ac:dyDescent="0.25"/>
  <cols>
    <col min="1" max="2" width="32.140625" style="2" bestFit="1" customWidth="1"/>
    <col min="3" max="3" width="13" style="2" bestFit="1" customWidth="1"/>
    <col min="4" max="9" width="10.42578125" style="2"/>
    <col min="10" max="13" width="10.42578125" style="18" outlineLevel="1"/>
    <col min="14" max="21" width="10.42578125" style="2"/>
    <col min="22" max="22" width="10.42578125" style="2" collapsed="1"/>
    <col min="23" max="26" width="10.42578125" style="2"/>
    <col min="27" max="27" width="10.42578125" style="2" collapsed="1"/>
    <col min="28" max="29" width="10.42578125" style="2"/>
    <col min="30" max="30" width="10.42578125" style="2" collapsed="1"/>
    <col min="31" max="31" width="10.42578125" style="2"/>
    <col min="32" max="32" width="10.42578125" style="2" outlineLevel="1"/>
    <col min="33" max="35" width="10.42578125" style="19" outlineLevel="1"/>
    <col min="36" max="36" width="10.42578125" style="19"/>
    <col min="37" max="48" width="10.42578125" style="18"/>
    <col min="49" max="51" width="10.42578125" style="2"/>
    <col min="52" max="52" width="10.42578125" style="25"/>
    <col min="53" max="16384" width="10.42578125" style="2"/>
  </cols>
  <sheetData>
    <row r="1" spans="1:39" ht="14.25" customHeight="1" x14ac:dyDescent="0.25">
      <c r="A1" t="str">
        <f>'Project Commitment'!A2</f>
        <v>English</v>
      </c>
      <c r="B1"/>
      <c r="C1"/>
      <c r="D1"/>
      <c r="E1"/>
      <c r="F1"/>
      <c r="G1"/>
      <c r="H1"/>
      <c r="I1"/>
      <c r="J1"/>
      <c r="K1"/>
      <c r="L1"/>
      <c r="M1"/>
      <c r="N1"/>
      <c r="O1"/>
      <c r="P1"/>
      <c r="Q1"/>
      <c r="R1"/>
      <c r="S1"/>
      <c r="T1"/>
      <c r="U1"/>
      <c r="V1"/>
      <c r="W1"/>
      <c r="X1"/>
      <c r="Y1"/>
      <c r="Z1"/>
      <c r="AA1"/>
      <c r="AB1"/>
      <c r="AC1"/>
      <c r="AD1"/>
      <c r="AE1"/>
      <c r="AF1"/>
      <c r="AG1"/>
      <c r="AH1"/>
      <c r="AI1"/>
      <c r="AJ1"/>
      <c r="AK1"/>
      <c r="AL1"/>
      <c r="AM1"/>
    </row>
    <row r="2" spans="1:39" ht="23.25" x14ac:dyDescent="0.35">
      <c r="A2" s="48" t="s">
        <v>5</v>
      </c>
      <c r="B2" s="48" t="s">
        <v>6</v>
      </c>
      <c r="C2" s="48" t="s">
        <v>7</v>
      </c>
      <c r="D2"/>
      <c r="E2"/>
      <c r="F2"/>
      <c r="G2"/>
      <c r="H2"/>
      <c r="I2"/>
      <c r="J2"/>
      <c r="K2"/>
      <c r="L2"/>
      <c r="M2"/>
      <c r="N2"/>
      <c r="O2"/>
      <c r="P2"/>
      <c r="Q2"/>
      <c r="R2"/>
      <c r="S2"/>
      <c r="T2"/>
      <c r="U2"/>
      <c r="V2"/>
      <c r="W2"/>
      <c r="X2"/>
      <c r="Y2"/>
      <c r="Z2"/>
      <c r="AA2"/>
      <c r="AB2"/>
      <c r="AC2"/>
      <c r="AD2"/>
      <c r="AE2"/>
      <c r="AF2"/>
      <c r="AG2"/>
      <c r="AH2"/>
      <c r="AI2"/>
      <c r="AJ2"/>
      <c r="AK2"/>
      <c r="AL2"/>
      <c r="AM2"/>
    </row>
    <row r="3" spans="1:39" ht="14.25" customHeight="1" x14ac:dyDescent="0.25">
      <c r="A3" s="209" t="s">
        <v>128</v>
      </c>
      <c r="B3" s="209"/>
      <c r="C3" s="209"/>
      <c r="D3"/>
      <c r="E3"/>
      <c r="F3"/>
      <c r="G3"/>
      <c r="H3"/>
      <c r="I3"/>
      <c r="J3"/>
      <c r="K3"/>
      <c r="L3"/>
      <c r="M3"/>
      <c r="N3"/>
      <c r="O3"/>
      <c r="P3"/>
      <c r="Q3"/>
      <c r="R3"/>
      <c r="S3"/>
      <c r="T3"/>
      <c r="U3"/>
      <c r="V3"/>
      <c r="W3"/>
      <c r="X3"/>
      <c r="Y3"/>
      <c r="Z3"/>
      <c r="AA3"/>
      <c r="AB3"/>
      <c r="AC3"/>
      <c r="AD3"/>
      <c r="AE3"/>
      <c r="AF3"/>
      <c r="AG3"/>
      <c r="AH3"/>
      <c r="AI3"/>
      <c r="AJ3"/>
      <c r="AK3"/>
      <c r="AL3"/>
      <c r="AM3"/>
    </row>
    <row r="4" spans="1:39" ht="14.25" customHeight="1" x14ac:dyDescent="0.25">
      <c r="A4" t="str">
        <f t="shared" ref="A4:A70" si="0">IF($A$1="English",B4,C4)</f>
        <v>Meeting Date</v>
      </c>
      <c r="B4" t="s">
        <v>129</v>
      </c>
      <c r="C4"/>
      <c r="D4"/>
      <c r="E4"/>
      <c r="F4"/>
      <c r="G4"/>
      <c r="H4"/>
      <c r="I4"/>
      <c r="J4"/>
      <c r="K4"/>
      <c r="L4"/>
      <c r="M4"/>
      <c r="N4"/>
      <c r="O4"/>
      <c r="P4"/>
      <c r="Q4"/>
      <c r="R4"/>
      <c r="S4"/>
      <c r="T4"/>
      <c r="U4"/>
      <c r="V4"/>
      <c r="W4"/>
      <c r="X4"/>
      <c r="Y4"/>
      <c r="Z4"/>
      <c r="AA4"/>
      <c r="AB4"/>
      <c r="AC4"/>
      <c r="AD4"/>
      <c r="AE4"/>
      <c r="AF4"/>
      <c r="AG4"/>
      <c r="AH4"/>
      <c r="AI4"/>
      <c r="AJ4"/>
      <c r="AK4"/>
      <c r="AL4"/>
      <c r="AM4"/>
    </row>
    <row r="5" spans="1:39" ht="14.25" customHeight="1" x14ac:dyDescent="0.25">
      <c r="A5" t="str">
        <f t="shared" si="0"/>
        <v>Section 1: Project Details</v>
      </c>
      <c r="B5" t="s">
        <v>130</v>
      </c>
      <c r="C5" t="s">
        <v>131</v>
      </c>
      <c r="D5"/>
      <c r="E5"/>
      <c r="F5"/>
      <c r="G5"/>
      <c r="H5"/>
      <c r="I5"/>
      <c r="J5"/>
      <c r="K5"/>
      <c r="L5"/>
      <c r="M5"/>
      <c r="N5"/>
      <c r="O5"/>
      <c r="P5"/>
      <c r="Q5"/>
      <c r="R5"/>
      <c r="S5"/>
      <c r="T5"/>
      <c r="U5"/>
      <c r="V5"/>
      <c r="W5"/>
      <c r="X5"/>
      <c r="Y5"/>
      <c r="Z5"/>
      <c r="AA5"/>
      <c r="AB5"/>
      <c r="AC5"/>
      <c r="AD5"/>
      <c r="AE5"/>
      <c r="AF5"/>
      <c r="AG5"/>
      <c r="AH5"/>
      <c r="AI5"/>
      <c r="AJ5"/>
      <c r="AK5"/>
      <c r="AL5"/>
      <c r="AM5"/>
    </row>
    <row r="6" spans="1:39" ht="14.25" customHeight="1" x14ac:dyDescent="0.25">
      <c r="A6" t="str">
        <f t="shared" si="0"/>
        <v>Project ID</v>
      </c>
      <c r="B6" t="s">
        <v>1</v>
      </c>
      <c r="C6"/>
      <c r="D6"/>
      <c r="E6"/>
      <c r="F6"/>
      <c r="G6"/>
      <c r="H6"/>
      <c r="I6"/>
      <c r="J6"/>
      <c r="K6"/>
      <c r="L6"/>
      <c r="M6"/>
      <c r="N6"/>
      <c r="O6"/>
      <c r="P6"/>
      <c r="Q6"/>
      <c r="R6"/>
      <c r="S6"/>
      <c r="T6"/>
      <c r="U6"/>
      <c r="V6"/>
      <c r="W6"/>
      <c r="X6"/>
      <c r="Y6"/>
      <c r="Z6"/>
      <c r="AA6"/>
      <c r="AB6"/>
      <c r="AC6"/>
      <c r="AD6"/>
      <c r="AE6"/>
      <c r="AF6"/>
      <c r="AG6"/>
      <c r="AH6"/>
      <c r="AI6"/>
      <c r="AJ6"/>
      <c r="AK6"/>
      <c r="AL6"/>
      <c r="AM6"/>
    </row>
    <row r="7" spans="1:39" ht="14.25" customHeight="1" x14ac:dyDescent="0.25">
      <c r="A7" t="str">
        <f t="shared" si="0"/>
        <v>Project Name</v>
      </c>
      <c r="B7" t="s">
        <v>2</v>
      </c>
      <c r="C7"/>
      <c r="D7"/>
      <c r="E7"/>
      <c r="F7"/>
      <c r="G7"/>
      <c r="H7"/>
      <c r="I7"/>
      <c r="J7"/>
      <c r="K7"/>
      <c r="L7"/>
      <c r="M7"/>
      <c r="N7"/>
      <c r="O7"/>
      <c r="P7"/>
      <c r="Q7"/>
      <c r="R7"/>
      <c r="S7"/>
      <c r="T7"/>
      <c r="U7"/>
      <c r="V7"/>
      <c r="W7"/>
      <c r="X7"/>
      <c r="Y7"/>
      <c r="Z7"/>
      <c r="AA7"/>
      <c r="AB7"/>
      <c r="AC7"/>
      <c r="AD7"/>
      <c r="AE7"/>
      <c r="AF7"/>
      <c r="AG7"/>
      <c r="AH7"/>
      <c r="AI7"/>
      <c r="AJ7"/>
      <c r="AK7"/>
      <c r="AL7"/>
      <c r="AM7"/>
    </row>
    <row r="8" spans="1:39" ht="14.25" customHeight="1" x14ac:dyDescent="0.25">
      <c r="A8" t="str">
        <f t="shared" si="0"/>
        <v>Address</v>
      </c>
      <c r="B8" t="s">
        <v>69</v>
      </c>
      <c r="C8"/>
      <c r="D8"/>
      <c r="E8"/>
      <c r="F8"/>
      <c r="G8"/>
      <c r="H8"/>
      <c r="I8"/>
      <c r="J8"/>
      <c r="K8"/>
      <c r="L8"/>
      <c r="M8"/>
      <c r="N8"/>
      <c r="O8"/>
      <c r="P8"/>
      <c r="Q8"/>
      <c r="R8"/>
      <c r="S8"/>
      <c r="T8"/>
      <c r="U8"/>
      <c r="V8"/>
      <c r="W8"/>
      <c r="X8"/>
      <c r="Y8"/>
      <c r="Z8"/>
      <c r="AA8"/>
      <c r="AB8"/>
      <c r="AC8"/>
      <c r="AD8"/>
      <c r="AE8"/>
      <c r="AF8"/>
      <c r="AG8"/>
      <c r="AH8"/>
      <c r="AI8"/>
      <c r="AJ8"/>
      <c r="AK8"/>
      <c r="AL8"/>
      <c r="AM8"/>
    </row>
    <row r="9" spans="1:39" ht="14.25" customHeight="1" x14ac:dyDescent="0.25">
      <c r="A9" t="str">
        <f t="shared" si="0"/>
        <v xml:space="preserve">City </v>
      </c>
      <c r="B9" t="s">
        <v>70</v>
      </c>
      <c r="C9"/>
      <c r="D9"/>
      <c r="E9"/>
      <c r="F9"/>
      <c r="G9"/>
      <c r="H9"/>
      <c r="I9"/>
      <c r="J9"/>
      <c r="K9"/>
      <c r="L9"/>
      <c r="M9"/>
      <c r="N9"/>
      <c r="O9"/>
      <c r="P9"/>
      <c r="Q9"/>
      <c r="R9"/>
      <c r="S9"/>
      <c r="T9"/>
      <c r="U9"/>
      <c r="V9"/>
      <c r="W9"/>
      <c r="X9"/>
      <c r="Y9"/>
      <c r="Z9"/>
      <c r="AA9"/>
      <c r="AB9"/>
      <c r="AC9"/>
      <c r="AD9"/>
      <c r="AE9"/>
      <c r="AF9"/>
      <c r="AG9"/>
      <c r="AH9"/>
      <c r="AI9"/>
      <c r="AJ9"/>
      <c r="AK9"/>
      <c r="AL9"/>
      <c r="AM9"/>
    </row>
    <row r="10" spans="1:39" ht="14.25" customHeight="1" x14ac:dyDescent="0.25">
      <c r="A10" t="str">
        <f t="shared" si="0"/>
        <v>Postal Code</v>
      </c>
      <c r="B10" t="s">
        <v>132</v>
      </c>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spans="1:39" ht="14.25" customHeight="1" x14ac:dyDescent="0.25">
      <c r="A11" t="str">
        <f t="shared" si="0"/>
        <v>Project Type</v>
      </c>
      <c r="B11" t="s">
        <v>67</v>
      </c>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spans="1:39" ht="14.25" customHeight="1" x14ac:dyDescent="0.25">
      <c r="A12" t="str">
        <f t="shared" si="0"/>
        <v>Approval Period</v>
      </c>
      <c r="B12" t="s">
        <v>133</v>
      </c>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spans="1:39" ht="14.25" customHeight="1" x14ac:dyDescent="0.25">
      <c r="A13" t="str">
        <f t="shared" si="0"/>
        <v xml:space="preserve">Project Category </v>
      </c>
      <c r="B13" t="s">
        <v>72</v>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ht="14.25" customHeight="1" x14ac:dyDescent="0.25">
      <c r="A14" t="str">
        <f t="shared" si="0"/>
        <v>Project Status</v>
      </c>
      <c r="B14" t="s">
        <v>134</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ht="14.25" customHeight="1" x14ac:dyDescent="0.25">
      <c r="A15" t="str">
        <f t="shared" si="0"/>
        <v>Construction Status</v>
      </c>
      <c r="B15" t="s">
        <v>135</v>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spans="1:39" ht="14.25" customHeight="1" x14ac:dyDescent="0.25">
      <c r="A16" t="str">
        <f t="shared" si="0"/>
        <v>Section 2: Square Footage Specification</v>
      </c>
      <c r="B16" t="s">
        <v>76</v>
      </c>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spans="1:39" ht="14.25" customHeight="1" x14ac:dyDescent="0.25">
      <c r="A17" t="str">
        <f t="shared" si="0"/>
        <v>Anticipate Design Change?</v>
      </c>
      <c r="B17" t="s">
        <v>77</v>
      </c>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spans="1:39" ht="14.25" customHeight="1" x14ac:dyDescent="0.25">
      <c r="A18" t="str">
        <f t="shared" si="0"/>
        <v>Square Footage of New Construction</v>
      </c>
      <c r="B18" t="s">
        <v>78</v>
      </c>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spans="1:39" ht="14.25" customHeight="1" x14ac:dyDescent="0.25">
      <c r="A19" t="str">
        <f t="shared" si="0"/>
        <v>Square Footage of Renovaton/Retrofit</v>
      </c>
      <c r="B19" t="s">
        <v>136</v>
      </c>
      <c r="C19"/>
      <c r="D19"/>
      <c r="E19"/>
      <c r="F19"/>
      <c r="G19"/>
      <c r="H19"/>
      <c r="I19"/>
      <c r="J19"/>
      <c r="K19"/>
      <c r="L19"/>
      <c r="M19"/>
      <c r="N19"/>
      <c r="O19"/>
      <c r="P19"/>
      <c r="Q19"/>
      <c r="R19"/>
      <c r="S19"/>
      <c r="T19"/>
      <c r="U19"/>
      <c r="V19"/>
      <c r="W19"/>
      <c r="X19"/>
      <c r="Y19"/>
      <c r="Z19"/>
      <c r="AA19"/>
      <c r="AB19"/>
      <c r="AC19"/>
      <c r="AD19"/>
      <c r="AE19"/>
      <c r="AF19"/>
      <c r="AG19"/>
      <c r="AH19"/>
      <c r="AI19"/>
      <c r="AJ19"/>
      <c r="AK19"/>
      <c r="AL19"/>
      <c r="AM19"/>
    </row>
    <row r="20" spans="1:39" ht="14.25" customHeight="1" x14ac:dyDescent="0.25">
      <c r="A20" t="str">
        <f t="shared" si="0"/>
        <v>Square Footage of Demolition</v>
      </c>
      <c r="B20" t="s">
        <v>79</v>
      </c>
      <c r="C20"/>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39" ht="14.25" customHeight="1" x14ac:dyDescent="0.25">
      <c r="A21" t="str">
        <f t="shared" si="0"/>
        <v>Square Footage of New Child Care</v>
      </c>
      <c r="B21" t="s">
        <v>137</v>
      </c>
      <c r="C21"/>
      <c r="D21"/>
      <c r="E21"/>
      <c r="F21"/>
      <c r="G21"/>
      <c r="H21"/>
      <c r="I21"/>
      <c r="J21"/>
      <c r="K21"/>
      <c r="L21"/>
      <c r="M21"/>
      <c r="N21"/>
      <c r="O21"/>
      <c r="P21"/>
      <c r="Q21"/>
      <c r="R21"/>
      <c r="S21"/>
      <c r="T21"/>
      <c r="U21"/>
      <c r="V21"/>
      <c r="W21"/>
      <c r="X21"/>
      <c r="Y21"/>
      <c r="Z21"/>
      <c r="AA21"/>
      <c r="AB21"/>
      <c r="AC21"/>
      <c r="AD21"/>
      <c r="AE21"/>
      <c r="AF21"/>
      <c r="AG21"/>
      <c r="AH21"/>
      <c r="AI21"/>
      <c r="AJ21"/>
      <c r="AK21"/>
      <c r="AL21"/>
      <c r="AM21"/>
    </row>
    <row r="22" spans="1:39" ht="14.25" customHeight="1" x14ac:dyDescent="0.25">
      <c r="A22" t="str">
        <f t="shared" si="0"/>
        <v xml:space="preserve">Square Footage of Community Space </v>
      </c>
      <c r="B22" t="s">
        <v>138</v>
      </c>
      <c r="C22"/>
      <c r="D22"/>
      <c r="E22"/>
      <c r="F22"/>
      <c r="G22"/>
      <c r="H22"/>
      <c r="I22"/>
      <c r="J22"/>
      <c r="K22"/>
      <c r="L22"/>
      <c r="M22"/>
      <c r="N22"/>
      <c r="O22"/>
      <c r="P22"/>
      <c r="Q22"/>
      <c r="R22"/>
      <c r="S22"/>
      <c r="T22"/>
      <c r="U22"/>
      <c r="V22"/>
      <c r="W22"/>
      <c r="X22"/>
      <c r="Y22"/>
      <c r="Z22"/>
      <c r="AA22"/>
      <c r="AB22"/>
      <c r="AC22"/>
      <c r="AD22"/>
      <c r="AE22"/>
      <c r="AF22"/>
      <c r="AG22"/>
      <c r="AH22"/>
      <c r="AI22"/>
      <c r="AJ22"/>
      <c r="AK22"/>
      <c r="AL22"/>
      <c r="AM22"/>
    </row>
    <row r="23" spans="1:39" ht="14.25" customHeight="1" x14ac:dyDescent="0.25">
      <c r="A23" t="str">
        <f t="shared" si="0"/>
        <v>Square Footage of EarlyOn</v>
      </c>
      <c r="B23" t="s">
        <v>80</v>
      </c>
      <c r="C23"/>
      <c r="D23"/>
      <c r="E23"/>
      <c r="F23"/>
      <c r="G23"/>
      <c r="H23"/>
      <c r="I23"/>
      <c r="J23"/>
      <c r="K23"/>
      <c r="L23"/>
      <c r="M23"/>
      <c r="N23"/>
      <c r="O23"/>
      <c r="P23"/>
      <c r="Q23"/>
      <c r="R23"/>
      <c r="S23"/>
      <c r="T23"/>
      <c r="U23"/>
      <c r="V23"/>
      <c r="W23"/>
      <c r="X23"/>
      <c r="Y23"/>
      <c r="Z23"/>
      <c r="AA23"/>
      <c r="AB23"/>
      <c r="AC23"/>
      <c r="AD23"/>
      <c r="AE23"/>
      <c r="AF23"/>
      <c r="AG23"/>
      <c r="AH23"/>
      <c r="AI23"/>
      <c r="AJ23"/>
      <c r="AK23"/>
      <c r="AL23"/>
      <c r="AM23"/>
    </row>
    <row r="24" spans="1:39" ht="14.25" customHeight="1" x14ac:dyDescent="0.25">
      <c r="A24" t="str">
        <f t="shared" si="0"/>
        <v xml:space="preserve">Section 3: Phase 1 - Pre-Tender </v>
      </c>
      <c r="B24" t="s">
        <v>139</v>
      </c>
      <c r="C24"/>
      <c r="D24"/>
      <c r="E24"/>
      <c r="F24"/>
      <c r="G24"/>
      <c r="H24"/>
      <c r="I24"/>
      <c r="J24"/>
      <c r="K24"/>
      <c r="L24"/>
      <c r="M24"/>
      <c r="N24"/>
      <c r="O24"/>
      <c r="P24"/>
      <c r="Q24"/>
      <c r="R24"/>
      <c r="S24"/>
      <c r="T24"/>
      <c r="U24"/>
      <c r="V24"/>
      <c r="W24"/>
      <c r="X24"/>
      <c r="Y24"/>
      <c r="Z24"/>
      <c r="AA24"/>
      <c r="AB24"/>
      <c r="AC24"/>
      <c r="AD24"/>
      <c r="AE24"/>
      <c r="AF24"/>
      <c r="AG24"/>
      <c r="AH24"/>
      <c r="AI24"/>
      <c r="AJ24"/>
      <c r="AK24"/>
      <c r="AL24"/>
      <c r="AM24"/>
    </row>
    <row r="25" spans="1:39" ht="14.25" customHeight="1" x14ac:dyDescent="0.25">
      <c r="A25" t="str">
        <f t="shared" si="0"/>
        <v>Site Ownership Status</v>
      </c>
      <c r="B25" t="s">
        <v>140</v>
      </c>
      <c r="C25"/>
      <c r="D25"/>
      <c r="E25"/>
      <c r="F25"/>
      <c r="G25"/>
      <c r="H25"/>
      <c r="I25"/>
      <c r="J25"/>
      <c r="K25"/>
      <c r="L25"/>
      <c r="M25"/>
      <c r="N25"/>
      <c r="O25"/>
      <c r="P25"/>
      <c r="Q25"/>
      <c r="R25"/>
      <c r="S25"/>
      <c r="T25"/>
      <c r="U25"/>
      <c r="V25"/>
      <c r="W25"/>
      <c r="X25"/>
      <c r="Y25"/>
      <c r="Z25"/>
      <c r="AA25"/>
      <c r="AB25"/>
      <c r="AC25"/>
      <c r="AD25"/>
      <c r="AE25"/>
      <c r="AF25"/>
      <c r="AG25"/>
      <c r="AH25"/>
      <c r="AI25"/>
      <c r="AJ25"/>
      <c r="AK25"/>
      <c r="AL25"/>
      <c r="AM25"/>
    </row>
    <row r="26" spans="1:39" ht="14.25" customHeight="1" x14ac:dyDescent="0.25">
      <c r="A26" t="str">
        <f t="shared" si="0"/>
        <v>Site Purchase Date</v>
      </c>
      <c r="B26" t="s">
        <v>141</v>
      </c>
      <c r="C26"/>
      <c r="D26"/>
      <c r="E26"/>
      <c r="F26"/>
      <c r="G26"/>
      <c r="H26"/>
      <c r="I26"/>
      <c r="J26"/>
      <c r="K26"/>
      <c r="L26"/>
      <c r="M26"/>
      <c r="N26"/>
      <c r="O26"/>
      <c r="P26"/>
      <c r="Q26"/>
      <c r="R26"/>
      <c r="S26"/>
      <c r="T26"/>
      <c r="U26"/>
      <c r="V26"/>
      <c r="W26"/>
      <c r="X26"/>
      <c r="Y26"/>
      <c r="Z26"/>
      <c r="AA26"/>
      <c r="AB26"/>
      <c r="AC26"/>
      <c r="AD26"/>
      <c r="AE26"/>
      <c r="AF26"/>
      <c r="AG26"/>
      <c r="AH26"/>
      <c r="AI26"/>
      <c r="AJ26"/>
      <c r="AK26"/>
      <c r="AL26"/>
      <c r="AM26"/>
    </row>
    <row r="27" spans="1:39" ht="14.25" customHeight="1" x14ac:dyDescent="0.25">
      <c r="A27" t="str">
        <f t="shared" si="0"/>
        <v xml:space="preserve">Space Template Approval Date </v>
      </c>
      <c r="B27" t="s">
        <v>142</v>
      </c>
      <c r="C27"/>
      <c r="D27"/>
      <c r="E27"/>
      <c r="F27"/>
      <c r="G27"/>
      <c r="H27"/>
      <c r="I27"/>
      <c r="J27"/>
      <c r="K27"/>
      <c r="L27"/>
      <c r="M27"/>
      <c r="N27"/>
      <c r="O27"/>
      <c r="P27"/>
      <c r="Q27"/>
      <c r="R27"/>
      <c r="S27"/>
      <c r="T27"/>
      <c r="U27"/>
      <c r="V27"/>
      <c r="W27"/>
      <c r="X27"/>
      <c r="Y27"/>
      <c r="Z27"/>
      <c r="AA27"/>
      <c r="AB27"/>
      <c r="AC27"/>
      <c r="AD27"/>
      <c r="AE27"/>
      <c r="AF27"/>
      <c r="AG27"/>
      <c r="AH27"/>
      <c r="AI27"/>
      <c r="AJ27"/>
      <c r="AK27"/>
      <c r="AL27"/>
      <c r="AM27"/>
    </row>
    <row r="28" spans="1:39" ht="14.25" customHeight="1" x14ac:dyDescent="0.25">
      <c r="A28" t="str">
        <f t="shared" si="0"/>
        <v xml:space="preserve">Type of Design Used </v>
      </c>
      <c r="B28" t="s">
        <v>143</v>
      </c>
      <c r="C28"/>
      <c r="D28"/>
      <c r="E28"/>
      <c r="F28"/>
      <c r="G28"/>
      <c r="H28"/>
      <c r="I28"/>
      <c r="J28"/>
      <c r="K28"/>
      <c r="L28"/>
      <c r="M28"/>
      <c r="N28"/>
      <c r="O28"/>
      <c r="P28"/>
      <c r="Q28"/>
      <c r="R28"/>
      <c r="S28"/>
      <c r="T28"/>
      <c r="U28"/>
      <c r="V28"/>
      <c r="W28"/>
      <c r="X28"/>
      <c r="Y28"/>
      <c r="Z28"/>
      <c r="AA28"/>
      <c r="AB28"/>
      <c r="AC28"/>
      <c r="AD28"/>
      <c r="AE28"/>
      <c r="AF28"/>
      <c r="AG28"/>
      <c r="AH28"/>
      <c r="AI28"/>
      <c r="AJ28"/>
      <c r="AK28"/>
      <c r="AL28"/>
      <c r="AM28"/>
    </row>
    <row r="29" spans="1:39" ht="14.25" customHeight="1" x14ac:dyDescent="0.25">
      <c r="A29" t="str">
        <f t="shared" si="0"/>
        <v xml:space="preserve">Design Status </v>
      </c>
      <c r="B29" t="s">
        <v>82</v>
      </c>
      <c r="C29"/>
      <c r="D29"/>
      <c r="E29"/>
      <c r="F29"/>
      <c r="G29"/>
      <c r="H29"/>
      <c r="I29"/>
      <c r="J29"/>
      <c r="K29"/>
      <c r="L29"/>
      <c r="M29"/>
      <c r="N29"/>
      <c r="O29"/>
      <c r="P29"/>
      <c r="Q29"/>
      <c r="R29"/>
      <c r="S29"/>
      <c r="T29"/>
      <c r="U29"/>
      <c r="V29"/>
      <c r="W29"/>
      <c r="X29"/>
      <c r="Y29"/>
      <c r="Z29"/>
      <c r="AA29"/>
      <c r="AB29"/>
      <c r="AC29"/>
      <c r="AD29"/>
      <c r="AE29"/>
      <c r="AF29"/>
      <c r="AG29"/>
      <c r="AH29"/>
      <c r="AI29"/>
      <c r="AJ29"/>
      <c r="AK29"/>
      <c r="AL29"/>
      <c r="AM29"/>
    </row>
    <row r="30" spans="1:39" ht="14.25" customHeight="1" x14ac:dyDescent="0.25">
      <c r="A30" t="str">
        <f t="shared" si="0"/>
        <v xml:space="preserve">Class A/B Cost Estimate -Date </v>
      </c>
      <c r="B30" t="s">
        <v>144</v>
      </c>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spans="1:39" ht="14.25" customHeight="1" x14ac:dyDescent="0.25">
      <c r="A31" t="str">
        <f t="shared" si="0"/>
        <v xml:space="preserve">Child Care Floorplan Approval - Date </v>
      </c>
      <c r="B31" t="s">
        <v>83</v>
      </c>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spans="1:39" ht="14.25" customHeight="1" x14ac:dyDescent="0.25">
      <c r="A32" t="str">
        <f t="shared" si="0"/>
        <v xml:space="preserve">Site, Design and Child Care Related Comments: Include details of scope change if applicable </v>
      </c>
      <c r="B32" t="s">
        <v>145</v>
      </c>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spans="1:39" ht="14.25" customHeight="1" x14ac:dyDescent="0.25">
      <c r="A33" t="str">
        <f t="shared" si="0"/>
        <v>Section 4: Phase 2 - Tender</v>
      </c>
      <c r="B33" t="s">
        <v>84</v>
      </c>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spans="1:39" ht="14.25" customHeight="1" x14ac:dyDescent="0.25">
      <c r="A34" t="str">
        <f t="shared" si="0"/>
        <v xml:space="preserve">Tender Issued Date </v>
      </c>
      <c r="B34" t="s">
        <v>86</v>
      </c>
      <c r="C34"/>
      <c r="D34"/>
      <c r="E34"/>
      <c r="F34"/>
      <c r="G34"/>
      <c r="H34"/>
      <c r="I34"/>
      <c r="J34"/>
      <c r="K34"/>
      <c r="L34"/>
      <c r="M34"/>
      <c r="N34"/>
      <c r="O34"/>
      <c r="P34"/>
      <c r="Q34"/>
      <c r="R34"/>
      <c r="S34"/>
      <c r="T34"/>
      <c r="U34"/>
      <c r="V34"/>
      <c r="W34"/>
      <c r="X34"/>
      <c r="Y34"/>
      <c r="Z34"/>
      <c r="AA34"/>
      <c r="AB34"/>
      <c r="AC34"/>
      <c r="AD34"/>
      <c r="AE34"/>
      <c r="AF34"/>
      <c r="AG34"/>
      <c r="AH34"/>
      <c r="AI34"/>
      <c r="AJ34"/>
      <c r="AK34"/>
      <c r="AL34"/>
      <c r="AM34"/>
    </row>
    <row r="35" spans="1:39" ht="14.25" customHeight="1" x14ac:dyDescent="0.25">
      <c r="A35" t="str">
        <f t="shared" si="0"/>
        <v>Tender Closed</v>
      </c>
      <c r="B35" t="s">
        <v>146</v>
      </c>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4.25" customHeight="1" x14ac:dyDescent="0.25">
      <c r="A36" t="str">
        <f t="shared" si="0"/>
        <v>Site Plan Submission Date</v>
      </c>
      <c r="B36" t="s">
        <v>147</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ht="14.25" customHeight="1" x14ac:dyDescent="0.25">
      <c r="A37" t="str">
        <f t="shared" si="0"/>
        <v>Site Plan Approval Date</v>
      </c>
      <c r="B37" t="s">
        <v>148</v>
      </c>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ht="14.25" customHeight="1" x14ac:dyDescent="0.25">
      <c r="A38" t="str">
        <f t="shared" si="0"/>
        <v>Section 5: Phase 3 - Construction</v>
      </c>
      <c r="B38" t="s">
        <v>149</v>
      </c>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ht="14.25" customHeight="1" x14ac:dyDescent="0.25">
      <c r="A39" t="str">
        <f t="shared" si="0"/>
        <v>Construction Start - Date</v>
      </c>
      <c r="B39" t="s">
        <v>150</v>
      </c>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ht="14.25" customHeight="1" x14ac:dyDescent="0.25">
      <c r="A40" t="str">
        <f t="shared" si="0"/>
        <v>% Construction Progress</v>
      </c>
      <c r="B40" t="s">
        <v>88</v>
      </c>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ht="14.25" customHeight="1" x14ac:dyDescent="0.25">
      <c r="A41" t="str">
        <f t="shared" si="0"/>
        <v>Substantial Completion</v>
      </c>
      <c r="B41" t="s">
        <v>151</v>
      </c>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ht="14.25" customHeight="1" x14ac:dyDescent="0.25">
      <c r="A42" t="str">
        <f t="shared" si="0"/>
        <v>Section 6: Phase 4 - Project Completion</v>
      </c>
      <c r="B42" t="s">
        <v>90</v>
      </c>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ht="14.25" customHeight="1" x14ac:dyDescent="0.25">
      <c r="A43" t="str">
        <f t="shared" si="0"/>
        <v xml:space="preserve">School Opening Date </v>
      </c>
      <c r="B43" t="s">
        <v>91</v>
      </c>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ht="14.25" customHeight="1" x14ac:dyDescent="0.25">
      <c r="A44" t="str">
        <f t="shared" si="0"/>
        <v>Child Care Opening Date</v>
      </c>
      <c r="B44" t="s">
        <v>152</v>
      </c>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ht="14.25" customHeight="1" x14ac:dyDescent="0.25">
      <c r="A45" t="str">
        <f t="shared" si="0"/>
        <v>Project Reconciliation</v>
      </c>
      <c r="B45" t="s">
        <v>54</v>
      </c>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ht="14.25" customHeight="1" x14ac:dyDescent="0.25">
      <c r="A46" t="str">
        <f t="shared" si="0"/>
        <v xml:space="preserve">Section 7: Approved Project Funding </v>
      </c>
      <c r="B46" t="s">
        <v>92</v>
      </c>
      <c r="C46" t="s">
        <v>153</v>
      </c>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ht="14.25" customHeight="1" x14ac:dyDescent="0.25">
      <c r="A47" t="str">
        <f t="shared" si="0"/>
        <v>LP/EDC</v>
      </c>
      <c r="B47" t="s">
        <v>154</v>
      </c>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ht="14.25" customHeight="1" x14ac:dyDescent="0.25">
      <c r="A48" t="str">
        <f t="shared" si="0"/>
        <v>CP</v>
      </c>
      <c r="B48" t="s">
        <v>155</v>
      </c>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ht="14.25" customHeight="1" x14ac:dyDescent="0.25">
      <c r="A49" t="str">
        <f t="shared" si="0"/>
        <v>CC</v>
      </c>
      <c r="B49" t="s">
        <v>156</v>
      </c>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ht="14.25" customHeight="1" x14ac:dyDescent="0.25">
      <c r="A50" t="str">
        <f t="shared" si="0"/>
        <v xml:space="preserve">Other </v>
      </c>
      <c r="B50" t="s">
        <v>157</v>
      </c>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ht="14.25" customHeight="1" x14ac:dyDescent="0.25">
      <c r="A51" t="str">
        <f t="shared" si="0"/>
        <v xml:space="preserve">Total Approved Funding </v>
      </c>
      <c r="B51" t="s">
        <v>158</v>
      </c>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ht="14.25" customHeight="1" x14ac:dyDescent="0.25">
      <c r="A52" t="str">
        <f t="shared" si="0"/>
        <v xml:space="preserve">Section 8: Projected Construction Cost </v>
      </c>
      <c r="B52" t="s">
        <v>93</v>
      </c>
      <c r="C52" t="s">
        <v>159</v>
      </c>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ht="14.25" customHeight="1" x14ac:dyDescent="0.25">
      <c r="A53" t="str">
        <f t="shared" si="0"/>
        <v xml:space="preserve">Basis of Cost Estimate </v>
      </c>
      <c r="B53" t="s">
        <v>94</v>
      </c>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ht="14.25" customHeight="1" x14ac:dyDescent="0.25">
      <c r="A54" t="str">
        <f t="shared" si="0"/>
        <v>Land Cost</v>
      </c>
      <c r="B54" t="s">
        <v>160</v>
      </c>
      <c r="C54"/>
      <c r="D54"/>
      <c r="E54"/>
      <c r="F54"/>
      <c r="G54"/>
      <c r="H54"/>
      <c r="I54"/>
      <c r="J54"/>
      <c r="K54"/>
      <c r="L54"/>
      <c r="M54"/>
      <c r="N54"/>
      <c r="O54"/>
      <c r="P54"/>
      <c r="Q54"/>
      <c r="R54"/>
      <c r="S54"/>
      <c r="T54"/>
      <c r="U54"/>
      <c r="V54"/>
      <c r="W54"/>
      <c r="X54"/>
      <c r="Y54"/>
      <c r="Z54"/>
      <c r="AA54"/>
      <c r="AB54"/>
      <c r="AC54"/>
      <c r="AD54"/>
      <c r="AE54"/>
      <c r="AF54"/>
      <c r="AG54"/>
      <c r="AH54"/>
      <c r="AI54"/>
      <c r="AJ54"/>
      <c r="AK54"/>
      <c r="AL54"/>
      <c r="AM54"/>
    </row>
    <row r="55" spans="1:39" ht="14.25" customHeight="1" x14ac:dyDescent="0.25">
      <c r="A55" t="str">
        <f t="shared" si="0"/>
        <v>Building Cost - School</v>
      </c>
      <c r="B55" t="s">
        <v>161</v>
      </c>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spans="1:39" ht="14.25" customHeight="1" x14ac:dyDescent="0.25">
      <c r="A56" t="str">
        <f t="shared" si="0"/>
        <v>Soft Costs - School</v>
      </c>
      <c r="B56" t="s">
        <v>162</v>
      </c>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spans="1:39" ht="14.25" customHeight="1" x14ac:dyDescent="0.25">
      <c r="A57" t="str">
        <f t="shared" si="0"/>
        <v xml:space="preserve">Building Cost - Child Care </v>
      </c>
      <c r="B57" t="s">
        <v>163</v>
      </c>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spans="1:39" ht="14.25" customHeight="1" x14ac:dyDescent="0.25">
      <c r="A58" t="str">
        <f t="shared" si="0"/>
        <v xml:space="preserve">Soft Costs -Child Care </v>
      </c>
      <c r="B58" t="s">
        <v>164</v>
      </c>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spans="1:39" ht="14.25" customHeight="1" x14ac:dyDescent="0.25">
      <c r="A59" t="str">
        <f t="shared" si="0"/>
        <v>Unique Site Costs - School</v>
      </c>
      <c r="B59" t="s">
        <v>165</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spans="1:39" ht="14.25" customHeight="1" x14ac:dyDescent="0.25">
      <c r="A60" t="str">
        <f t="shared" si="0"/>
        <v xml:space="preserve">Unique Site Costs - Child Care </v>
      </c>
      <c r="B60" t="s">
        <v>166</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spans="1:39" ht="14.25" customHeight="1" x14ac:dyDescent="0.25">
      <c r="A61" t="str">
        <f t="shared" si="0"/>
        <v xml:space="preserve">Unique Site Costs - Other </v>
      </c>
      <c r="B61" t="s">
        <v>167</v>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spans="1:39" ht="14.25" customHeight="1" x14ac:dyDescent="0.25">
      <c r="A62" t="str">
        <f t="shared" si="0"/>
        <v>Municipal/Extraordinary Cost - School</v>
      </c>
      <c r="B62" t="s">
        <v>168</v>
      </c>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spans="1:39" ht="14.25" customHeight="1" x14ac:dyDescent="0.25">
      <c r="A63" t="str">
        <f t="shared" si="0"/>
        <v>Municipal/Extraordinary Cost - Child Care</v>
      </c>
      <c r="B63" t="s">
        <v>169</v>
      </c>
      <c r="C63"/>
      <c r="D63"/>
      <c r="E63"/>
      <c r="F63"/>
      <c r="G63"/>
      <c r="H63"/>
      <c r="I63"/>
      <c r="J63"/>
      <c r="K63"/>
      <c r="L63"/>
      <c r="M63"/>
      <c r="N63"/>
      <c r="O63"/>
      <c r="P63"/>
      <c r="Q63"/>
      <c r="R63"/>
      <c r="S63"/>
      <c r="T63"/>
      <c r="U63"/>
      <c r="V63"/>
      <c r="W63"/>
      <c r="X63"/>
      <c r="Y63"/>
      <c r="Z63"/>
      <c r="AA63"/>
      <c r="AB63"/>
      <c r="AC63"/>
      <c r="AD63"/>
      <c r="AE63"/>
      <c r="AF63"/>
      <c r="AG63"/>
      <c r="AH63"/>
      <c r="AI63"/>
      <c r="AJ63"/>
      <c r="AK63"/>
      <c r="AL63"/>
      <c r="AM63"/>
    </row>
    <row r="64" spans="1:39" ht="14.25" customHeight="1" x14ac:dyDescent="0.25">
      <c r="A64" t="str">
        <f t="shared" si="0"/>
        <v>Municipal/Extraordinary Cost - Other</v>
      </c>
      <c r="B64" t="s">
        <v>170</v>
      </c>
      <c r="C64"/>
      <c r="D64"/>
      <c r="E64"/>
      <c r="F64"/>
      <c r="G64"/>
      <c r="H64"/>
      <c r="I64"/>
      <c r="J64"/>
      <c r="K64"/>
      <c r="L64"/>
      <c r="M64"/>
      <c r="N64"/>
      <c r="O64"/>
      <c r="P64"/>
      <c r="Q64"/>
      <c r="R64"/>
      <c r="S64"/>
      <c r="T64"/>
      <c r="U64"/>
      <c r="V64"/>
      <c r="W64"/>
      <c r="X64"/>
      <c r="Y64"/>
      <c r="Z64"/>
      <c r="AA64"/>
      <c r="AB64"/>
      <c r="AC64"/>
      <c r="AD64"/>
      <c r="AE64"/>
      <c r="AF64"/>
      <c r="AG64"/>
      <c r="AH64"/>
      <c r="AI64"/>
      <c r="AJ64"/>
      <c r="AK64"/>
      <c r="AL64"/>
      <c r="AM64"/>
    </row>
    <row r="65" spans="1:39" ht="14.25" customHeight="1" x14ac:dyDescent="0.25">
      <c r="A65" t="str">
        <f t="shared" si="0"/>
        <v xml:space="preserve">Total </v>
      </c>
      <c r="B65" t="s">
        <v>171</v>
      </c>
      <c r="C65"/>
      <c r="D65"/>
      <c r="E65"/>
      <c r="F65"/>
      <c r="G65"/>
      <c r="H65"/>
      <c r="I65"/>
      <c r="J65"/>
      <c r="K65"/>
      <c r="L65"/>
      <c r="M65"/>
      <c r="N65"/>
      <c r="O65"/>
      <c r="P65"/>
      <c r="Q65"/>
      <c r="R65"/>
      <c r="S65"/>
      <c r="T65"/>
      <c r="U65"/>
      <c r="V65"/>
      <c r="W65"/>
      <c r="X65"/>
      <c r="Y65"/>
      <c r="Z65"/>
      <c r="AA65"/>
      <c r="AB65"/>
      <c r="AC65"/>
      <c r="AD65"/>
      <c r="AE65"/>
      <c r="AF65"/>
      <c r="AG65"/>
      <c r="AH65"/>
      <c r="AI65"/>
      <c r="AJ65"/>
      <c r="AK65"/>
      <c r="AL65"/>
      <c r="AM65"/>
    </row>
    <row r="66" spans="1:39" ht="14.25" customHeight="1" x14ac:dyDescent="0.25">
      <c r="A66" t="str">
        <f t="shared" si="0"/>
        <v>Variance</v>
      </c>
      <c r="B66" t="s">
        <v>172</v>
      </c>
      <c r="C66"/>
      <c r="D66"/>
      <c r="E66"/>
      <c r="F66"/>
      <c r="G66"/>
      <c r="H66"/>
      <c r="I66"/>
      <c r="J66"/>
      <c r="K66"/>
      <c r="L66"/>
      <c r="M66"/>
      <c r="N66"/>
      <c r="O66"/>
      <c r="P66"/>
      <c r="Q66"/>
      <c r="R66"/>
      <c r="S66"/>
      <c r="T66"/>
      <c r="U66"/>
      <c r="V66"/>
      <c r="W66"/>
      <c r="X66"/>
      <c r="Y66"/>
      <c r="Z66"/>
      <c r="AA66"/>
      <c r="AB66"/>
      <c r="AC66"/>
      <c r="AD66"/>
      <c r="AE66"/>
      <c r="AF66"/>
      <c r="AG66"/>
      <c r="AH66"/>
      <c r="AI66"/>
      <c r="AJ66"/>
      <c r="AK66"/>
      <c r="AL66"/>
      <c r="AM66"/>
    </row>
    <row r="67" spans="1:39" ht="14.25" customHeight="1" x14ac:dyDescent="0.25">
      <c r="A67" t="str">
        <f t="shared" si="0"/>
        <v>Revised Funding Request</v>
      </c>
      <c r="B67" t="s">
        <v>173</v>
      </c>
      <c r="C67"/>
      <c r="D67"/>
      <c r="E67"/>
      <c r="F67"/>
      <c r="G67"/>
      <c r="H67"/>
      <c r="I67"/>
      <c r="J67"/>
      <c r="K67"/>
      <c r="L67"/>
      <c r="M67"/>
      <c r="N67"/>
      <c r="O67"/>
      <c r="P67"/>
      <c r="Q67"/>
      <c r="R67"/>
      <c r="S67"/>
      <c r="T67"/>
      <c r="U67"/>
      <c r="V67"/>
      <c r="W67"/>
      <c r="X67"/>
      <c r="Y67"/>
      <c r="Z67"/>
      <c r="AA67"/>
      <c r="AB67"/>
      <c r="AC67"/>
      <c r="AD67"/>
      <c r="AE67"/>
      <c r="AF67"/>
      <c r="AG67"/>
      <c r="AH67"/>
      <c r="AI67"/>
      <c r="AJ67"/>
      <c r="AK67"/>
      <c r="AL67"/>
      <c r="AM67"/>
    </row>
    <row r="68" spans="1:39" ht="14.25" customHeight="1" x14ac:dyDescent="0.25">
      <c r="A68" t="str">
        <f t="shared" si="0"/>
        <v>Section 9: Communications Protocol</v>
      </c>
      <c r="B68" t="s">
        <v>174</v>
      </c>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39" ht="14.25" customHeight="1" x14ac:dyDescent="0.25">
      <c r="A69" t="str">
        <f t="shared" si="0"/>
        <v xml:space="preserve">Signage </v>
      </c>
      <c r="B69" t="s">
        <v>95</v>
      </c>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14.25" customHeight="1" x14ac:dyDescent="0.25">
      <c r="A70" t="str">
        <f t="shared" si="0"/>
        <v>Opening Ceremony - Date</v>
      </c>
      <c r="B70" t="s">
        <v>175</v>
      </c>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4.25" customHeight="1" x14ac:dyDescent="0.25">
      <c r="A71" t="str">
        <f t="shared" ref="A71:A89" si="1">IF($A$1="English",B71,C71)</f>
        <v xml:space="preserve">Section 10: General Comments </v>
      </c>
      <c r="B71" t="s">
        <v>176</v>
      </c>
      <c r="C71" t="s">
        <v>177</v>
      </c>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4.25" customHeight="1" x14ac:dyDescent="0.25">
      <c r="A72" t="str">
        <f t="shared" si="1"/>
        <v xml:space="preserve">Section 10: Project Risks and Mitigation Stategies </v>
      </c>
      <c r="B72" t="s">
        <v>178</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4.25" customHeight="1" x14ac:dyDescent="0.25">
      <c r="A73" t="str">
        <f t="shared" si="1"/>
        <v>Risk Type</v>
      </c>
      <c r="B73" t="s">
        <v>179</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ht="14.1" customHeight="1" x14ac:dyDescent="0.25">
      <c r="A74" t="str">
        <f t="shared" si="1"/>
        <v>Risk Rating</v>
      </c>
      <c r="B74" t="s">
        <v>180</v>
      </c>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14.1" customHeight="1" x14ac:dyDescent="0.25">
      <c r="A75" t="str">
        <f t="shared" si="1"/>
        <v>Risk Exposure Start Date</v>
      </c>
      <c r="B75" t="s">
        <v>181</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4.1" customHeight="1" x14ac:dyDescent="0.25">
      <c r="A76" t="str">
        <f t="shared" si="1"/>
        <v>Min-Max Cost of Risk ($M)</v>
      </c>
      <c r="B76" t="s">
        <v>182</v>
      </c>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spans="1:39" ht="14.1" customHeight="1" x14ac:dyDescent="0.25">
      <c r="A77" t="str">
        <f t="shared" si="1"/>
        <v>Min-Max Delay of Risk (Months)</v>
      </c>
      <c r="B77" t="s">
        <v>183</v>
      </c>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spans="1:39" ht="14.1" customHeight="1" x14ac:dyDescent="0.25">
      <c r="A78" t="str">
        <f t="shared" si="1"/>
        <v>Mitigation Stategies/Comments</v>
      </c>
      <c r="B78" t="s">
        <v>184</v>
      </c>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spans="1:39" ht="14.25" customHeight="1" x14ac:dyDescent="0.25">
      <c r="A79" t="str">
        <f t="shared" si="1"/>
        <v>CA Comments</v>
      </c>
      <c r="B79" t="s">
        <v>185</v>
      </c>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spans="1:39" ht="14.25" customHeight="1" x14ac:dyDescent="0.25">
      <c r="A80" t="str">
        <f t="shared" si="1"/>
        <v>Contract Awarded</v>
      </c>
      <c r="B80" t="s">
        <v>186</v>
      </c>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spans="1:39" ht="14.25" customHeight="1" x14ac:dyDescent="0.25">
      <c r="A81" t="str">
        <f t="shared" si="1"/>
        <v>Build Permit Obtained</v>
      </c>
      <c r="B81" t="s">
        <v>46</v>
      </c>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spans="1:39" ht="14.25" customHeight="1" x14ac:dyDescent="0.25">
      <c r="A82" t="str">
        <f t="shared" si="1"/>
        <v xml:space="preserve">Site Preparation Cost </v>
      </c>
      <c r="B82" t="s">
        <v>187</v>
      </c>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spans="1:39" ht="14.25" customHeight="1" x14ac:dyDescent="0.25">
      <c r="A83" t="str">
        <f t="shared" si="1"/>
        <v xml:space="preserve">Site Funding Source </v>
      </c>
      <c r="B83" t="s">
        <v>188</v>
      </c>
      <c r="C83"/>
      <c r="D83"/>
      <c r="E83"/>
      <c r="F83"/>
      <c r="G83"/>
      <c r="H83"/>
      <c r="I83"/>
      <c r="J83"/>
      <c r="K83"/>
      <c r="L83"/>
      <c r="M83"/>
      <c r="N83"/>
      <c r="O83"/>
      <c r="P83"/>
      <c r="Q83"/>
      <c r="R83"/>
      <c r="S83"/>
      <c r="T83"/>
      <c r="U83"/>
      <c r="V83"/>
      <c r="W83"/>
      <c r="X83"/>
      <c r="Y83"/>
      <c r="Z83"/>
      <c r="AA83"/>
      <c r="AB83"/>
      <c r="AC83"/>
      <c r="AD83"/>
      <c r="AE83"/>
      <c r="AF83"/>
      <c r="AG83"/>
      <c r="AH83"/>
      <c r="AI83"/>
      <c r="AJ83"/>
      <c r="AK83"/>
      <c r="AL83"/>
      <c r="AM83"/>
    </row>
    <row r="84" spans="1:39" ht="14.25" customHeight="1" x14ac:dyDescent="0.25">
      <c r="A84" t="str">
        <f t="shared" si="1"/>
        <v>Site Prep/Mobilization</v>
      </c>
      <c r="B84" t="s">
        <v>189</v>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spans="1:39" ht="14.25" customHeight="1" x14ac:dyDescent="0.25">
      <c r="A85" t="str">
        <f t="shared" si="1"/>
        <v xml:space="preserve">Building Cost - Other </v>
      </c>
      <c r="B85" t="s">
        <v>190</v>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spans="1:39" ht="14.25" customHeight="1" x14ac:dyDescent="0.3">
      <c r="A86" t="str">
        <f t="shared" si="1"/>
        <v xml:space="preserve">ALL ESTIMATED DATES = UNBOLDED  
ALL ACTUAL DATES = BOLDED </v>
      </c>
      <c r="B86" s="49" t="s">
        <v>191</v>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spans="1:39" ht="14.25" customHeight="1" x14ac:dyDescent="0.25">
      <c r="A87">
        <f t="shared" si="1"/>
        <v>0</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spans="1:39" ht="14.25" customHeight="1" x14ac:dyDescent="0.25">
      <c r="A88">
        <f t="shared" si="1"/>
        <v>0</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row>
    <row r="89" spans="1:39" ht="14.25" customHeight="1" x14ac:dyDescent="0.25">
      <c r="A89">
        <f t="shared" si="1"/>
        <v>0</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row>
    <row r="90" spans="1:39" ht="14.25" customHeigh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row>
    <row r="91" spans="1:39" ht="14.25" customHeigh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row>
    <row r="92" spans="1:39" ht="14.25" customHeigh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row>
    <row r="93" spans="1:39" ht="14.25" customHeigh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row>
    <row r="94" spans="1:39" ht="14.25" customHeight="1" x14ac:dyDescent="0.35">
      <c r="A94" s="48" t="s">
        <v>5</v>
      </c>
      <c r="B94" s="48" t="s">
        <v>6</v>
      </c>
      <c r="C94" s="48" t="s">
        <v>7</v>
      </c>
      <c r="D94"/>
      <c r="E94"/>
      <c r="F94"/>
      <c r="G94"/>
      <c r="H94"/>
      <c r="I94"/>
      <c r="J94"/>
      <c r="K94"/>
      <c r="L94"/>
      <c r="M94"/>
      <c r="N94"/>
      <c r="O94"/>
      <c r="P94"/>
      <c r="Q94"/>
      <c r="R94"/>
      <c r="S94"/>
      <c r="T94"/>
      <c r="U94"/>
      <c r="V94"/>
      <c r="W94"/>
      <c r="X94"/>
      <c r="Y94"/>
      <c r="Z94"/>
      <c r="AA94"/>
      <c r="AB94"/>
      <c r="AC94"/>
      <c r="AD94"/>
      <c r="AE94"/>
      <c r="AF94"/>
      <c r="AG94"/>
      <c r="AH94"/>
      <c r="AI94"/>
      <c r="AJ94"/>
      <c r="AK94"/>
      <c r="AL94"/>
      <c r="AM94"/>
    </row>
    <row r="95" spans="1:39" ht="14.25" customHeight="1" x14ac:dyDescent="0.25">
      <c r="A95" s="210" t="s">
        <v>0</v>
      </c>
      <c r="B95" s="210"/>
      <c r="C95" s="210"/>
      <c r="D95"/>
      <c r="E95"/>
      <c r="F95"/>
      <c r="G95"/>
      <c r="H95"/>
      <c r="I95"/>
      <c r="J95"/>
      <c r="K95"/>
      <c r="L95"/>
      <c r="M95"/>
      <c r="N95"/>
      <c r="O95"/>
      <c r="P95"/>
      <c r="Q95"/>
      <c r="R95"/>
      <c r="S95"/>
      <c r="T95"/>
      <c r="U95"/>
      <c r="V95"/>
      <c r="W95"/>
      <c r="X95"/>
      <c r="Y95"/>
      <c r="Z95"/>
      <c r="AA95"/>
      <c r="AB95"/>
      <c r="AC95"/>
      <c r="AD95"/>
      <c r="AE95"/>
      <c r="AF95"/>
      <c r="AG95"/>
      <c r="AH95"/>
      <c r="AI95"/>
      <c r="AJ95"/>
      <c r="AK95"/>
      <c r="AL95"/>
      <c r="AM95"/>
    </row>
    <row r="96" spans="1:39" ht="14.25" customHeight="1" x14ac:dyDescent="0.25">
      <c r="A96" s="33" t="s">
        <v>8</v>
      </c>
      <c r="B96" s="33" t="s">
        <v>9</v>
      </c>
      <c r="C96" s="33" t="s">
        <v>10</v>
      </c>
      <c r="D96"/>
      <c r="E96"/>
      <c r="F96"/>
      <c r="G96"/>
      <c r="H96"/>
      <c r="I96"/>
      <c r="J96"/>
      <c r="K96"/>
      <c r="L96"/>
      <c r="M96"/>
      <c r="N96"/>
      <c r="O96"/>
      <c r="P96"/>
      <c r="Q96"/>
      <c r="R96"/>
      <c r="S96"/>
      <c r="T96"/>
      <c r="U96"/>
      <c r="V96"/>
      <c r="W96"/>
      <c r="X96"/>
      <c r="Y96"/>
      <c r="Z96"/>
      <c r="AA96"/>
      <c r="AB96"/>
      <c r="AC96"/>
      <c r="AD96"/>
      <c r="AE96"/>
      <c r="AF96"/>
      <c r="AG96"/>
      <c r="AH96"/>
      <c r="AI96"/>
      <c r="AJ96"/>
      <c r="AK96"/>
      <c r="AL96"/>
      <c r="AM96"/>
    </row>
    <row r="97" spans="1:39" ht="14.25" customHeight="1" x14ac:dyDescent="0.25">
      <c r="A97" t="str">
        <f t="shared" ref="A97:A126" si="2">IF($A$1="English",B97,C97)</f>
        <v>Project Info</v>
      </c>
      <c r="B97" t="s">
        <v>11</v>
      </c>
      <c r="C97" s="33"/>
      <c r="D97"/>
      <c r="E97"/>
      <c r="F97"/>
      <c r="G97"/>
      <c r="H97"/>
      <c r="I97"/>
      <c r="J97"/>
      <c r="K97"/>
      <c r="L97"/>
      <c r="M97"/>
      <c r="N97"/>
      <c r="O97"/>
      <c r="P97"/>
      <c r="Q97"/>
      <c r="R97"/>
      <c r="S97"/>
      <c r="T97"/>
      <c r="U97"/>
      <c r="V97"/>
      <c r="W97"/>
      <c r="X97"/>
      <c r="Y97"/>
      <c r="Z97"/>
      <c r="AA97"/>
      <c r="AB97"/>
      <c r="AC97"/>
      <c r="AD97"/>
      <c r="AE97"/>
      <c r="AF97"/>
      <c r="AG97"/>
      <c r="AH97"/>
      <c r="AI97"/>
      <c r="AJ97"/>
      <c r="AK97"/>
      <c r="AL97"/>
      <c r="AM97"/>
    </row>
    <row r="98" spans="1:39" ht="14.25" customHeight="1" x14ac:dyDescent="0.25">
      <c r="A98" t="str">
        <f t="shared" si="2"/>
        <v xml:space="preserve">Key </v>
      </c>
      <c r="B98" t="s">
        <v>12</v>
      </c>
      <c r="C98"/>
      <c r="D98"/>
      <c r="E98"/>
      <c r="F98"/>
      <c r="G98"/>
      <c r="H98"/>
      <c r="I98"/>
      <c r="J98"/>
      <c r="K98"/>
      <c r="L98"/>
      <c r="M98"/>
      <c r="N98"/>
      <c r="O98"/>
      <c r="P98"/>
      <c r="Q98"/>
      <c r="R98"/>
      <c r="S98"/>
      <c r="T98"/>
      <c r="U98"/>
      <c r="V98"/>
      <c r="W98"/>
      <c r="X98"/>
      <c r="Y98"/>
      <c r="Z98"/>
      <c r="AA98"/>
      <c r="AB98"/>
      <c r="AC98"/>
      <c r="AD98"/>
      <c r="AE98"/>
      <c r="AF98"/>
      <c r="AG98"/>
      <c r="AH98"/>
      <c r="AI98"/>
      <c r="AJ98"/>
      <c r="AK98"/>
      <c r="AL98"/>
      <c r="AM98"/>
    </row>
    <row r="99" spans="1:39" ht="14.25" customHeight="1" x14ac:dyDescent="0.25">
      <c r="A99" t="str">
        <f t="shared" si="2"/>
        <v>Project ID</v>
      </c>
      <c r="B99" t="s">
        <v>1</v>
      </c>
      <c r="C99" s="50" t="s">
        <v>13</v>
      </c>
      <c r="D99"/>
      <c r="E99"/>
      <c r="F99"/>
      <c r="G99"/>
      <c r="H99"/>
      <c r="I99"/>
      <c r="J99"/>
      <c r="K99"/>
      <c r="L99"/>
      <c r="M99"/>
      <c r="N99"/>
      <c r="O99"/>
      <c r="P99"/>
      <c r="Q99"/>
      <c r="R99"/>
      <c r="S99"/>
      <c r="T99"/>
      <c r="U99"/>
      <c r="V99"/>
      <c r="W99"/>
      <c r="X99"/>
      <c r="Y99"/>
      <c r="Z99"/>
      <c r="AA99"/>
      <c r="AB99"/>
      <c r="AC99"/>
      <c r="AD99"/>
      <c r="AE99"/>
      <c r="AF99"/>
      <c r="AG99"/>
      <c r="AH99"/>
      <c r="AI99"/>
      <c r="AJ99"/>
      <c r="AK99"/>
      <c r="AL99"/>
      <c r="AM99"/>
    </row>
    <row r="100" spans="1:39" ht="14.25" customHeight="1" x14ac:dyDescent="0.25">
      <c r="A100" t="str">
        <f t="shared" si="2"/>
        <v xml:space="preserve">Project Name </v>
      </c>
      <c r="B100" t="s">
        <v>14</v>
      </c>
      <c r="C100" t="s">
        <v>4</v>
      </c>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spans="1:39" ht="14.25" customHeight="1" x14ac:dyDescent="0.25">
      <c r="A101" t="str">
        <f t="shared" si="2"/>
        <v>Phase 1 - Start</v>
      </c>
      <c r="B101" t="s">
        <v>15</v>
      </c>
      <c r="C101" t="s">
        <v>16</v>
      </c>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spans="1:39" ht="14.25" customHeight="1" x14ac:dyDescent="0.25">
      <c r="A102" t="str">
        <f t="shared" si="2"/>
        <v xml:space="preserve">Phase 1 - End </v>
      </c>
      <c r="B102" t="s">
        <v>17</v>
      </c>
      <c r="C102" t="s">
        <v>18</v>
      </c>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spans="1:39" ht="14.25" customHeight="1" x14ac:dyDescent="0.25">
      <c r="A103" t="str">
        <f t="shared" si="2"/>
        <v>Phase 2 - Start</v>
      </c>
      <c r="B103" t="s">
        <v>19</v>
      </c>
      <c r="C103" t="s">
        <v>20</v>
      </c>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row>
    <row r="104" spans="1:39" ht="14.25" customHeight="1" x14ac:dyDescent="0.25">
      <c r="A104" t="str">
        <f t="shared" si="2"/>
        <v>Phase 2 - End</v>
      </c>
      <c r="B104" t="s">
        <v>21</v>
      </c>
      <c r="C104" t="s">
        <v>22</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spans="1:39" ht="14.25" customHeight="1" x14ac:dyDescent="0.25">
      <c r="A105" t="str">
        <f t="shared" si="2"/>
        <v>Phase 3 - Start</v>
      </c>
      <c r="B105" t="s">
        <v>23</v>
      </c>
      <c r="C105" t="s">
        <v>24</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spans="1:39" ht="14.25" customHeight="1" x14ac:dyDescent="0.25">
      <c r="A106" t="str">
        <f t="shared" si="2"/>
        <v xml:space="preserve">Phase 3 - End </v>
      </c>
      <c r="B106" t="s">
        <v>25</v>
      </c>
      <c r="C106" t="s">
        <v>26</v>
      </c>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spans="1:39" ht="14.25" customHeight="1" x14ac:dyDescent="0.25">
      <c r="A107" t="str">
        <f t="shared" si="2"/>
        <v>Phase 4 - Start</v>
      </c>
      <c r="B107" t="s">
        <v>27</v>
      </c>
      <c r="C107" t="s">
        <v>28</v>
      </c>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spans="1:39" ht="14.25" customHeight="1" x14ac:dyDescent="0.25">
      <c r="A108" t="str">
        <f t="shared" si="2"/>
        <v>Phase 4 - End</v>
      </c>
      <c r="B108" t="s">
        <v>29</v>
      </c>
      <c r="C108" t="s">
        <v>30</v>
      </c>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row>
    <row r="109" spans="1:39" ht="14.25" customHeight="1" x14ac:dyDescent="0.25">
      <c r="A109" t="str">
        <f t="shared" si="2"/>
        <v>Phase Dates</v>
      </c>
      <c r="B109" t="s">
        <v>31</v>
      </c>
      <c r="C109" t="s">
        <v>32</v>
      </c>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row>
    <row r="110" spans="1:39" ht="14.25" customHeight="1" x14ac:dyDescent="0.25">
      <c r="A110" t="str">
        <f t="shared" si="2"/>
        <v>Key Milestones</v>
      </c>
      <c r="B110" t="s">
        <v>33</v>
      </c>
      <c r="C110" t="s">
        <v>34</v>
      </c>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row>
    <row r="111" spans="1:39" ht="14.25" customHeight="1" x14ac:dyDescent="0.25">
      <c r="A111" t="str">
        <f t="shared" si="2"/>
        <v xml:space="preserve">Site Purchase </v>
      </c>
      <c r="B111" t="s">
        <v>35</v>
      </c>
      <c r="C111" t="s">
        <v>36</v>
      </c>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row>
    <row r="112" spans="1:39" ht="14.25" customHeight="1" x14ac:dyDescent="0.25">
      <c r="A112" t="str">
        <f t="shared" si="2"/>
        <v xml:space="preserve">Space Template Finalized </v>
      </c>
      <c r="B112" t="s">
        <v>37</v>
      </c>
      <c r="C112" t="s">
        <v>38</v>
      </c>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row>
    <row r="113" spans="1:39" ht="14.25" customHeight="1" x14ac:dyDescent="0.25">
      <c r="A113" t="str">
        <f t="shared" si="2"/>
        <v xml:space="preserve">Signed Joint Use Agreement </v>
      </c>
      <c r="B113" s="47" t="s">
        <v>39</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row>
    <row r="114" spans="1:39" ht="14.25" customHeight="1" x14ac:dyDescent="0.25">
      <c r="A114" t="str">
        <f t="shared" si="2"/>
        <v>80% Design</v>
      </c>
      <c r="B114" t="s">
        <v>40</v>
      </c>
      <c r="C114" t="s">
        <v>41</v>
      </c>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row>
    <row r="115" spans="1:39" ht="14.25" customHeight="1" x14ac:dyDescent="0.25">
      <c r="A115" t="str">
        <f t="shared" si="2"/>
        <v xml:space="preserve">Class A Cost Estimate </v>
      </c>
      <c r="B115" t="s">
        <v>42</v>
      </c>
      <c r="C115" t="s">
        <v>43</v>
      </c>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row>
    <row r="116" spans="1:39" ht="14.25" customHeight="1" x14ac:dyDescent="0.25">
      <c r="A116" t="str">
        <f t="shared" si="2"/>
        <v>Site Plan Approval</v>
      </c>
      <c r="B116" s="47" t="s">
        <v>44</v>
      </c>
      <c r="C116" t="s">
        <v>45</v>
      </c>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row>
    <row r="117" spans="1:39" ht="14.25" customHeight="1" x14ac:dyDescent="0.25">
      <c r="A117" t="str">
        <f t="shared" si="2"/>
        <v>Build Permit Obtained</v>
      </c>
      <c r="B117" s="47" t="s">
        <v>46</v>
      </c>
      <c r="C117" t="s">
        <v>47</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row>
    <row r="118" spans="1:39" ht="14.25" customHeight="1" x14ac:dyDescent="0.25">
      <c r="A118" t="str">
        <f t="shared" si="2"/>
        <v xml:space="preserve">Tender Issued </v>
      </c>
      <c r="B118" s="47" t="s">
        <v>48</v>
      </c>
      <c r="C118" t="s">
        <v>49</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row>
    <row r="119" spans="1:39" ht="14.25" customHeight="1" x14ac:dyDescent="0.25">
      <c r="A119" t="str">
        <f t="shared" si="2"/>
        <v>Construction Start</v>
      </c>
      <c r="B119" t="s">
        <v>50</v>
      </c>
      <c r="C119" t="s">
        <v>51</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spans="1:39" ht="14.25" customHeight="1" x14ac:dyDescent="0.25">
      <c r="A120" t="str">
        <f t="shared" si="2"/>
        <v xml:space="preserve">School/Addition Opening </v>
      </c>
      <c r="B120" t="s">
        <v>52</v>
      </c>
      <c r="C120" t="s">
        <v>53</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spans="1:39" ht="14.25" customHeight="1" x14ac:dyDescent="0.25">
      <c r="A121" t="str">
        <f t="shared" si="2"/>
        <v>Project Reconciliation</v>
      </c>
      <c r="B121" t="s">
        <v>54</v>
      </c>
      <c r="C121" t="s">
        <v>55</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spans="1:39" ht="14.25" customHeight="1" x14ac:dyDescent="0.25">
      <c r="A122" t="str">
        <f t="shared" si="2"/>
        <v>Funding Requested</v>
      </c>
      <c r="B122" t="s">
        <v>56</v>
      </c>
      <c r="C122" t="s">
        <v>57</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spans="1:39" ht="14.25" customHeight="1" x14ac:dyDescent="0.25">
      <c r="A123" t="str">
        <f t="shared" si="2"/>
        <v>Cost of Project (Excluding Site)</v>
      </c>
      <c r="B123" t="s">
        <v>58</v>
      </c>
      <c r="C123" t="s">
        <v>59</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row>
    <row r="124" spans="1:39" ht="14.25" customHeight="1" x14ac:dyDescent="0.25">
      <c r="A124" t="str">
        <f t="shared" si="2"/>
        <v>Total Cost of Project (Including Site)</v>
      </c>
      <c r="B124" t="s">
        <v>60</v>
      </c>
      <c r="C124" t="s">
        <v>61</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spans="1:39" ht="14.25" customHeight="1" x14ac:dyDescent="0.25">
      <c r="A125" t="str">
        <f t="shared" si="2"/>
        <v xml:space="preserve">Total CP Request </v>
      </c>
      <c r="B125" s="47" t="s">
        <v>62</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spans="1:39" ht="14.25" customHeight="1" x14ac:dyDescent="0.25">
      <c r="A126" t="str">
        <f t="shared" si="2"/>
        <v xml:space="preserve">Total Child Care Request </v>
      </c>
      <c r="B126" s="47" t="s">
        <v>63</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spans="1:39" ht="14.25" customHeigh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spans="1:39" ht="14.25" customHeigh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row>
    <row r="129" spans="1:39" ht="14.25" customHeigh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spans="1:39" ht="14.25" customHeigh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spans="1:39" ht="14.25" customHeigh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spans="1:39" ht="14.25" customHeigh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spans="1:39" ht="14.25" customHeigh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spans="1:39" ht="14.25" customHeigh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spans="1:39" ht="14.25" customHeigh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spans="1:39" ht="14.25" customHeigh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spans="1:39" ht="14.25" customHeigh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row>
    <row r="138" spans="1:39" ht="14.25" customHeigh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row>
    <row r="139" spans="1:39" ht="14.25" customHeigh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spans="1:39" ht="14.25" customHeigh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spans="1:39" ht="14.25" customHeigh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spans="1:39" ht="14.25" customHeigh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spans="1:39" ht="14.25" customHeigh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row>
    <row r="144" spans="1:39" ht="14.25" customHeigh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spans="1:39" ht="14.25" customHeigh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spans="1:39" ht="14.25" customHeigh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spans="1:39" ht="14.25" customHeigh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spans="1:39" ht="14.25" customHeigh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spans="1:39" ht="14.25" customHeigh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spans="1:39" ht="14.25" customHeigh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spans="1:39" ht="14.25" customHeigh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spans="1:39" ht="14.25" customHeigh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row>
    <row r="153" spans="1:39" ht="14.25" customHeigh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spans="1:39" ht="14.25" customHeigh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spans="1:39" ht="14.25" customHeigh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spans="1:39" ht="14.25" customHeigh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spans="1:39" ht="14.25" customHeigh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row>
    <row r="158" spans="1:39" ht="14.25" customHeigh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row>
    <row r="159" spans="1:39" ht="14.25" customHeigh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row>
    <row r="160" spans="1:39" ht="14.25" customHeight="1" x14ac:dyDescent="0.25">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row>
  </sheetData>
  <mergeCells count="2">
    <mergeCell ref="A3:C3"/>
    <mergeCell ref="A95:C9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98DD0B-DA64-49C3-9973-D80203D7D1B8}">
  <ds:schemaRefs>
    <ds:schemaRef ds:uri="http://schemas.microsoft.com/sharepoint/v3/contenttype/forms"/>
  </ds:schemaRefs>
</ds:datastoreItem>
</file>

<file path=customXml/itemProps2.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customXml/itemProps3.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form</vt:lpstr>
      <vt:lpstr>Instructions and Glossary</vt:lpstr>
      <vt:lpstr>Board Contacts</vt:lpstr>
      <vt:lpstr>Basic Project Info</vt:lpstr>
      <vt:lpstr>Monthly Update</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2026-01-10T14:06:17Z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