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66925"/>
  <mc:AlternateContent xmlns:mc="http://schemas.openxmlformats.org/markup-compatibility/2006">
    <mc:Choice Requires="x15">
      <x15ac:absPath xmlns:x15ac="http://schemas.microsoft.com/office/spreadsheetml/2010/11/ac" url="https://ontariogov-my.sharepoint.com/personal/geordie_mcruer_ontario_ca/Documents/Documents/R Projects/Analysis/tina_tracker/data/"/>
    </mc:Choice>
  </mc:AlternateContent>
  <xr:revisionPtr revIDLastSave="10" documentId="13_ncr:1_{FB70F0C7-EEA9-4CC1-935D-60F50EDD7396}" xr6:coauthVersionLast="47" xr6:coauthVersionMax="47" xr10:uidLastSave="{C29B46A1-DE55-45DE-814A-BB63707D6992}"/>
  <workbookProtection lockStructure="1"/>
  <bookViews>
    <workbookView xWindow="28740" yWindow="-120" windowWidth="29040" windowHeight="15720" tabRatio="564" firstSheet="1" activeTab="4" xr2:uid="{90454EDD-A9ED-4C62-BC67-EDE77C4C0816}"/>
  </bookViews>
  <sheets>
    <sheet name="form" sheetId="34" state="hidden" r:id="rId1"/>
    <sheet name="Instructions and Glossary" sheetId="29" r:id="rId2"/>
    <sheet name="Board Contacts" sheetId="30" r:id="rId3"/>
    <sheet name="Basic Project Info" sheetId="33" r:id="rId4"/>
    <sheet name="Monthly Update" sheetId="2" r:id="rId5"/>
    <sheet name="Ad-Hoc or Potential Projects" sheetId="13" r:id="rId6"/>
    <sheet name="Project Commitment" sheetId="12" r:id="rId7"/>
    <sheet name="Constants" sheetId="35" state="hidden" r:id="rId8"/>
    <sheet name="List" sheetId="5" state="hidden" r:id="rId9"/>
    <sheet name="Translation" sheetId="23" state="hidden"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3" l="1"/>
  <c r="A126" i="23" s="1"/>
  <c r="B3" i="35"/>
  <c r="AB19" i="12"/>
  <c r="CU27" i="2" s="1"/>
  <c r="AA19" i="12"/>
  <c r="Z19" i="12"/>
  <c r="CS27" i="2" s="1"/>
  <c r="Y19" i="12"/>
  <c r="CR27" i="2" s="1"/>
  <c r="X19" i="12"/>
  <c r="CQ27" i="2" s="1"/>
  <c r="W19" i="12"/>
  <c r="V19" i="12"/>
  <c r="CO27" i="2" s="1"/>
  <c r="U19" i="12"/>
  <c r="CN27" i="2" s="1"/>
  <c r="T19" i="12"/>
  <c r="S19" i="12"/>
  <c r="CL27" i="2" s="1"/>
  <c r="R19" i="12"/>
  <c r="Q19" i="12"/>
  <c r="CJ27" i="2" s="1"/>
  <c r="P19" i="12"/>
  <c r="O19" i="12"/>
  <c r="N19" i="12"/>
  <c r="AB18" i="12"/>
  <c r="CU26" i="2" s="1"/>
  <c r="AA18" i="12"/>
  <c r="Z18" i="12"/>
  <c r="Y18" i="12"/>
  <c r="CR26" i="2" s="1"/>
  <c r="X18" i="12"/>
  <c r="CQ26" i="2" s="1"/>
  <c r="W18" i="12"/>
  <c r="V18" i="12"/>
  <c r="CO26" i="2" s="1"/>
  <c r="U18" i="12"/>
  <c r="CN26" i="2" s="1"/>
  <c r="T18" i="12"/>
  <c r="S18" i="12"/>
  <c r="CL26" i="2" s="1"/>
  <c r="R18" i="12"/>
  <c r="Q18" i="12"/>
  <c r="CJ26" i="2" s="1"/>
  <c r="P18" i="12"/>
  <c r="O18" i="12"/>
  <c r="N18" i="12"/>
  <c r="CG26" i="2" s="1"/>
  <c r="AB17" i="12"/>
  <c r="AA17" i="12"/>
  <c r="Z17" i="12"/>
  <c r="Y17" i="12"/>
  <c r="X17" i="12"/>
  <c r="CQ25" i="2" s="1"/>
  <c r="W17" i="12"/>
  <c r="V17" i="12"/>
  <c r="CO25" i="2" s="1"/>
  <c r="U17" i="12"/>
  <c r="CN25" i="2" s="1"/>
  <c r="T17" i="12"/>
  <c r="S17" i="12"/>
  <c r="CL25" i="2" s="1"/>
  <c r="R17" i="12"/>
  <c r="Q17" i="12"/>
  <c r="CJ25" i="2" s="1"/>
  <c r="P17" i="12"/>
  <c r="O17" i="12"/>
  <c r="N17" i="12"/>
  <c r="CG25" i="2" s="1"/>
  <c r="AB16" i="12"/>
  <c r="CU24" i="2" s="1"/>
  <c r="AA16" i="12"/>
  <c r="Z16" i="12"/>
  <c r="Y16" i="12"/>
  <c r="X16" i="12"/>
  <c r="W16" i="12"/>
  <c r="V16" i="12"/>
  <c r="CO24" i="2" s="1"/>
  <c r="U16" i="12"/>
  <c r="CN24" i="2" s="1"/>
  <c r="T16" i="12"/>
  <c r="S16" i="12"/>
  <c r="CL24" i="2" s="1"/>
  <c r="R16" i="12"/>
  <c r="Q16" i="12"/>
  <c r="CJ24" i="2" s="1"/>
  <c r="P16" i="12"/>
  <c r="O16" i="12"/>
  <c r="N16" i="12"/>
  <c r="CG24" i="2" s="1"/>
  <c r="AB15" i="12"/>
  <c r="CU23" i="2" s="1"/>
  <c r="AA15" i="12"/>
  <c r="Z15" i="12"/>
  <c r="Y15" i="12"/>
  <c r="X15" i="12"/>
  <c r="CQ23" i="2" s="1"/>
  <c r="W15" i="12"/>
  <c r="V15" i="12"/>
  <c r="CO23" i="2" s="1"/>
  <c r="U15" i="12"/>
  <c r="CN23" i="2" s="1"/>
  <c r="T15" i="12"/>
  <c r="S15" i="12"/>
  <c r="CL23" i="2" s="1"/>
  <c r="R15" i="12"/>
  <c r="Q15" i="12"/>
  <c r="CJ23" i="2" s="1"/>
  <c r="P15" i="12"/>
  <c r="O15" i="12"/>
  <c r="N15" i="12"/>
  <c r="CG23" i="2" s="1"/>
  <c r="AB14" i="12"/>
  <c r="CU22" i="2" s="1"/>
  <c r="AA14" i="12"/>
  <c r="Z14" i="12"/>
  <c r="CS22" i="2" s="1"/>
  <c r="Y14" i="12"/>
  <c r="X14" i="12"/>
  <c r="W14" i="12"/>
  <c r="V14" i="12"/>
  <c r="CO22" i="2" s="1"/>
  <c r="U14" i="12"/>
  <c r="CN22" i="2" s="1"/>
  <c r="T14" i="12"/>
  <c r="S14" i="12"/>
  <c r="CL22" i="2" s="1"/>
  <c r="R14" i="12"/>
  <c r="Q14" i="12"/>
  <c r="P14" i="12"/>
  <c r="O14" i="12"/>
  <c r="N14" i="12"/>
  <c r="CG22" i="2" s="1"/>
  <c r="AB13" i="12"/>
  <c r="CU21" i="2" s="1"/>
  <c r="AA13" i="12"/>
  <c r="Z13" i="12"/>
  <c r="CS21" i="2" s="1"/>
  <c r="Y13" i="12"/>
  <c r="CR21" i="2" s="1"/>
  <c r="X13" i="12"/>
  <c r="W13" i="12"/>
  <c r="V13" i="12"/>
  <c r="CO21" i="2" s="1"/>
  <c r="U13" i="12"/>
  <c r="CN21" i="2" s="1"/>
  <c r="T13" i="12"/>
  <c r="S13" i="12"/>
  <c r="CL21" i="2" s="1"/>
  <c r="R13" i="12"/>
  <c r="Q13" i="12"/>
  <c r="CJ21" i="2" s="1"/>
  <c r="P13" i="12"/>
  <c r="O13" i="12"/>
  <c r="N13" i="12"/>
  <c r="CG21" i="2" s="1"/>
  <c r="AB12" i="12"/>
  <c r="CU20" i="2" s="1"/>
  <c r="AA12" i="12"/>
  <c r="Z12" i="12"/>
  <c r="CS20" i="2" s="1"/>
  <c r="Y12" i="12"/>
  <c r="CR20" i="2" s="1"/>
  <c r="X12" i="12"/>
  <c r="CQ20" i="2" s="1"/>
  <c r="W12" i="12"/>
  <c r="V12" i="12"/>
  <c r="U12" i="12"/>
  <c r="T12" i="12"/>
  <c r="S12" i="12"/>
  <c r="CL20" i="2" s="1"/>
  <c r="R12" i="12"/>
  <c r="Q12" i="12"/>
  <c r="CJ20" i="2" s="1"/>
  <c r="P12" i="12"/>
  <c r="O12" i="12"/>
  <c r="N12" i="12"/>
  <c r="CG20" i="2" s="1"/>
  <c r="AB11" i="12"/>
  <c r="CU19" i="2" s="1"/>
  <c r="AA11" i="12"/>
  <c r="Z11" i="12"/>
  <c r="CS19" i="2" s="1"/>
  <c r="Y11" i="12"/>
  <c r="CR19" i="2" s="1"/>
  <c r="X11" i="12"/>
  <c r="CQ19" i="2" s="1"/>
  <c r="W11" i="12"/>
  <c r="V11" i="12"/>
  <c r="CO19" i="2" s="1"/>
  <c r="U11" i="12"/>
  <c r="T11" i="12"/>
  <c r="S11" i="12"/>
  <c r="R11" i="12"/>
  <c r="Q11" i="12"/>
  <c r="CJ19" i="2" s="1"/>
  <c r="P11" i="12"/>
  <c r="O11" i="12"/>
  <c r="N11" i="12"/>
  <c r="CG19" i="2" s="1"/>
  <c r="AB10" i="12"/>
  <c r="CU16" i="2" s="1"/>
  <c r="AA10" i="12"/>
  <c r="Z10" i="12"/>
  <c r="CS16" i="2" s="1"/>
  <c r="Y10" i="12"/>
  <c r="CR16" i="2" s="1"/>
  <c r="X10" i="12"/>
  <c r="CQ16" i="2" s="1"/>
  <c r="W10" i="12"/>
  <c r="V10" i="12"/>
  <c r="CO16" i="2" s="1"/>
  <c r="U10" i="12"/>
  <c r="T10" i="12"/>
  <c r="S10" i="12"/>
  <c r="R10" i="12"/>
  <c r="Q10" i="12"/>
  <c r="CJ16" i="2" s="1"/>
  <c r="P10" i="12"/>
  <c r="O10" i="12"/>
  <c r="N10" i="12"/>
  <c r="CG16" i="2" s="1"/>
  <c r="AB9" i="12"/>
  <c r="AA9" i="12"/>
  <c r="Z9" i="12"/>
  <c r="CS14" i="2" s="1"/>
  <c r="Y9" i="12"/>
  <c r="X9" i="12"/>
  <c r="CQ14" i="2" s="1"/>
  <c r="W9" i="12"/>
  <c r="V9" i="12"/>
  <c r="CO14" i="2" s="1"/>
  <c r="U9" i="12"/>
  <c r="CN14" i="2" s="1"/>
  <c r="T9" i="12"/>
  <c r="S9" i="12"/>
  <c r="R9" i="12"/>
  <c r="Q9" i="12"/>
  <c r="CJ14" i="2" s="1"/>
  <c r="P9" i="12"/>
  <c r="O9" i="12"/>
  <c r="N9" i="12"/>
  <c r="AB8" i="12"/>
  <c r="CU13" i="2" s="1"/>
  <c r="AA8" i="12"/>
  <c r="Z8" i="12"/>
  <c r="CS13" i="2" s="1"/>
  <c r="Y8" i="12"/>
  <c r="CR13" i="2" s="1"/>
  <c r="X8" i="12"/>
  <c r="CQ13" i="2" s="1"/>
  <c r="W8" i="12"/>
  <c r="V8" i="12"/>
  <c r="CO13" i="2" s="1"/>
  <c r="U8" i="12"/>
  <c r="CN13" i="2" s="1"/>
  <c r="T8" i="12"/>
  <c r="S8" i="12"/>
  <c r="R8" i="12"/>
  <c r="Q8" i="12"/>
  <c r="CJ13" i="2" s="1"/>
  <c r="P8" i="12"/>
  <c r="O8" i="12"/>
  <c r="N8" i="12"/>
  <c r="CG13" i="2" s="1"/>
  <c r="AB7" i="12"/>
  <c r="CU12" i="2" s="1"/>
  <c r="AA7" i="12"/>
  <c r="Z7" i="12"/>
  <c r="CS12" i="2" s="1"/>
  <c r="Y7" i="12"/>
  <c r="CR12" i="2" s="1"/>
  <c r="X7" i="12"/>
  <c r="CQ12" i="2" s="1"/>
  <c r="W7" i="12"/>
  <c r="V7" i="12"/>
  <c r="CO12" i="2" s="1"/>
  <c r="U7" i="12"/>
  <c r="CN12" i="2" s="1"/>
  <c r="T7" i="12"/>
  <c r="S7" i="12"/>
  <c r="CL12" i="2" s="1"/>
  <c r="R7" i="12"/>
  <c r="Q7" i="12"/>
  <c r="P7" i="12"/>
  <c r="O7" i="12"/>
  <c r="N7" i="12"/>
  <c r="CG12" i="2" s="1"/>
  <c r="AB6" i="12"/>
  <c r="CU11" i="2" s="1"/>
  <c r="AA6" i="12"/>
  <c r="Z6" i="12"/>
  <c r="CS11" i="2" s="1"/>
  <c r="Y6" i="12"/>
  <c r="X6" i="12"/>
  <c r="CQ11" i="2" s="1"/>
  <c r="W6" i="12"/>
  <c r="V6" i="12"/>
  <c r="CO11" i="2" s="1"/>
  <c r="U6" i="12"/>
  <c r="CN11" i="2" s="1"/>
  <c r="T6" i="12"/>
  <c r="S6" i="12"/>
  <c r="CL11" i="2" s="1"/>
  <c r="R6" i="12"/>
  <c r="Q6" i="12"/>
  <c r="CJ11" i="2" s="1"/>
  <c r="P6" i="12"/>
  <c r="O6" i="12"/>
  <c r="N6" i="12"/>
  <c r="AB5" i="12"/>
  <c r="CU10" i="2" s="1"/>
  <c r="AA5" i="12"/>
  <c r="Z5" i="12"/>
  <c r="Y5" i="12"/>
  <c r="CR10" i="2" s="1"/>
  <c r="X5" i="12"/>
  <c r="CQ10" i="2" s="1"/>
  <c r="W5" i="12"/>
  <c r="V5" i="12"/>
  <c r="CO10" i="2" s="1"/>
  <c r="U5" i="12"/>
  <c r="CN10" i="2" s="1"/>
  <c r="T5" i="12"/>
  <c r="S5" i="12"/>
  <c r="CL10" i="2" s="1"/>
  <c r="R5" i="12"/>
  <c r="Q5" i="12"/>
  <c r="CJ10" i="2" s="1"/>
  <c r="P5" i="12"/>
  <c r="O5" i="12"/>
  <c r="N5" i="12"/>
  <c r="CG10" i="2" s="1"/>
  <c r="FL27" i="2"/>
  <c r="FJ27" i="2"/>
  <c r="FH27" i="2"/>
  <c r="FG27" i="2"/>
  <c r="FF27" i="2"/>
  <c r="FD27" i="2"/>
  <c r="FC27" i="2"/>
  <c r="FB27" i="2"/>
  <c r="FA27" i="2" s="1"/>
  <c r="DM27" i="2" s="1"/>
  <c r="EZ27" i="2"/>
  <c r="EY27" i="2"/>
  <c r="EX27" i="2"/>
  <c r="EW27" i="2" s="1"/>
  <c r="DI27" i="2" s="1"/>
  <c r="EO27" i="2"/>
  <c r="DP27" i="2"/>
  <c r="DA27" i="2"/>
  <c r="CT27" i="2"/>
  <c r="CP27" i="2"/>
  <c r="CM27" i="2"/>
  <c r="CK27" i="2"/>
  <c r="CI27" i="2"/>
  <c r="CH27" i="2"/>
  <c r="CG27" i="2"/>
  <c r="CF27" i="2"/>
  <c r="CD27" i="2"/>
  <c r="AL27" i="2"/>
  <c r="G27" i="2"/>
  <c r="FL26" i="2"/>
  <c r="FJ26" i="2"/>
  <c r="FH26" i="2"/>
  <c r="FG26" i="2"/>
  <c r="FF26" i="2"/>
  <c r="FD26" i="2"/>
  <c r="FC26" i="2"/>
  <c r="FB26" i="2"/>
  <c r="FA26" i="2" s="1"/>
  <c r="DM26" i="2" s="1"/>
  <c r="EZ26" i="2"/>
  <c r="EY26" i="2"/>
  <c r="EX26" i="2"/>
  <c r="EW26" i="2" s="1"/>
  <c r="DI26" i="2" s="1"/>
  <c r="EO26" i="2"/>
  <c r="DP26" i="2"/>
  <c r="DA26" i="2"/>
  <c r="CT26" i="2"/>
  <c r="CS26" i="2"/>
  <c r="CP26" i="2"/>
  <c r="CM26" i="2"/>
  <c r="CK26" i="2"/>
  <c r="CI26" i="2"/>
  <c r="CH26" i="2"/>
  <c r="CF26" i="2"/>
  <c r="CD26" i="2"/>
  <c r="AL26" i="2"/>
  <c r="G26" i="2"/>
  <c r="FL25" i="2"/>
  <c r="FJ25" i="2"/>
  <c r="FH25" i="2"/>
  <c r="FG25" i="2"/>
  <c r="FF25" i="2"/>
  <c r="FD25" i="2"/>
  <c r="FA25" i="2" s="1"/>
  <c r="DM25" i="2" s="1"/>
  <c r="FC25" i="2"/>
  <c r="FB25" i="2"/>
  <c r="EZ25" i="2"/>
  <c r="EY25" i="2"/>
  <c r="EW25" i="2" s="1"/>
  <c r="DI25" i="2" s="1"/>
  <c r="EX25" i="2"/>
  <c r="EO25" i="2"/>
  <c r="DP25" i="2"/>
  <c r="DA25" i="2"/>
  <c r="CU25" i="2"/>
  <c r="CT25" i="2"/>
  <c r="CS25" i="2"/>
  <c r="CR25" i="2"/>
  <c r="CP25" i="2"/>
  <c r="CM25" i="2"/>
  <c r="CK25" i="2"/>
  <c r="CI25" i="2"/>
  <c r="CH25" i="2"/>
  <c r="CF25" i="2"/>
  <c r="CD25" i="2"/>
  <c r="AL25" i="2"/>
  <c r="G25" i="2"/>
  <c r="FL24" i="2"/>
  <c r="FJ24" i="2"/>
  <c r="FH24" i="2"/>
  <c r="FG24" i="2"/>
  <c r="FF24" i="2"/>
  <c r="FD24" i="2"/>
  <c r="FC24" i="2"/>
  <c r="FB24" i="2"/>
  <c r="EZ24" i="2"/>
  <c r="EY24" i="2"/>
  <c r="EX24" i="2"/>
  <c r="EW24" i="2"/>
  <c r="EO24" i="2"/>
  <c r="DP24" i="2"/>
  <c r="DI24" i="2"/>
  <c r="DA24" i="2"/>
  <c r="CT24" i="2"/>
  <c r="CS24" i="2"/>
  <c r="CR24" i="2"/>
  <c r="CQ24" i="2"/>
  <c r="CP24" i="2"/>
  <c r="CM24" i="2"/>
  <c r="CK24" i="2"/>
  <c r="CI24" i="2"/>
  <c r="CH24" i="2"/>
  <c r="CF24" i="2"/>
  <c r="CD24" i="2"/>
  <c r="AL24" i="2"/>
  <c r="G24" i="2"/>
  <c r="FL23" i="2"/>
  <c r="FJ23" i="2"/>
  <c r="FH23" i="2"/>
  <c r="FG23" i="2"/>
  <c r="FF23" i="2"/>
  <c r="FD23" i="2"/>
  <c r="FC23" i="2"/>
  <c r="FB23" i="2"/>
  <c r="FA23" i="2" s="1"/>
  <c r="DM23" i="2" s="1"/>
  <c r="EZ23" i="2"/>
  <c r="EY23" i="2"/>
  <c r="EX23" i="2"/>
  <c r="EW23" i="2"/>
  <c r="DI23" i="2" s="1"/>
  <c r="EO23" i="2"/>
  <c r="DP23" i="2"/>
  <c r="DA23" i="2"/>
  <c r="CT23" i="2"/>
  <c r="CS23" i="2"/>
  <c r="CR23" i="2"/>
  <c r="CP23" i="2"/>
  <c r="CM23" i="2"/>
  <c r="CK23" i="2"/>
  <c r="CI23" i="2"/>
  <c r="CH23" i="2"/>
  <c r="CF23" i="2"/>
  <c r="CD23" i="2"/>
  <c r="AL23" i="2"/>
  <c r="G23" i="2"/>
  <c r="FL22" i="2"/>
  <c r="FJ22" i="2"/>
  <c r="FH22" i="2"/>
  <c r="FG22" i="2"/>
  <c r="FF22" i="2"/>
  <c r="FD22" i="2"/>
  <c r="FC22" i="2"/>
  <c r="FB22" i="2"/>
  <c r="FA22" i="2" s="1"/>
  <c r="DM22" i="2" s="1"/>
  <c r="EZ22" i="2"/>
  <c r="EY22" i="2"/>
  <c r="EW22" i="2" s="1"/>
  <c r="DI22" i="2" s="1"/>
  <c r="EX22" i="2"/>
  <c r="EO22" i="2"/>
  <c r="DP22" i="2"/>
  <c r="DA22" i="2"/>
  <c r="CT22" i="2"/>
  <c r="CR22" i="2"/>
  <c r="CQ22" i="2"/>
  <c r="CP22" i="2"/>
  <c r="CM22" i="2"/>
  <c r="CK22" i="2"/>
  <c r="CJ22" i="2"/>
  <c r="CI22" i="2"/>
  <c r="CH22" i="2"/>
  <c r="CF22" i="2"/>
  <c r="CD22" i="2"/>
  <c r="AL22" i="2"/>
  <c r="G22" i="2"/>
  <c r="FL21" i="2"/>
  <c r="FJ21" i="2"/>
  <c r="FH21" i="2"/>
  <c r="FG21" i="2"/>
  <c r="FF21" i="2"/>
  <c r="FD21" i="2"/>
  <c r="FA21" i="2" s="1"/>
  <c r="DM21" i="2" s="1"/>
  <c r="FC21" i="2"/>
  <c r="FB21" i="2"/>
  <c r="EZ21" i="2"/>
  <c r="EY21" i="2"/>
  <c r="EX21" i="2"/>
  <c r="EW21" i="2"/>
  <c r="EO21" i="2"/>
  <c r="DP21" i="2"/>
  <c r="DI21" i="2"/>
  <c r="DA21" i="2"/>
  <c r="CT21" i="2"/>
  <c r="CQ21" i="2"/>
  <c r="CP21" i="2"/>
  <c r="CM21" i="2"/>
  <c r="CK21" i="2"/>
  <c r="CI21" i="2"/>
  <c r="CH21" i="2"/>
  <c r="CF21" i="2"/>
  <c r="CD21" i="2"/>
  <c r="AL21" i="2"/>
  <c r="G21" i="2"/>
  <c r="FL20" i="2"/>
  <c r="FJ20" i="2"/>
  <c r="FH20" i="2"/>
  <c r="FG20" i="2"/>
  <c r="FF20" i="2"/>
  <c r="FD20" i="2"/>
  <c r="FC20" i="2"/>
  <c r="FA20" i="2" s="1"/>
  <c r="DM20" i="2" s="1"/>
  <c r="FB20" i="2"/>
  <c r="EZ20" i="2"/>
  <c r="EY20" i="2"/>
  <c r="EX20" i="2"/>
  <c r="EW20" i="2" s="1"/>
  <c r="DI20" i="2" s="1"/>
  <c r="EO20" i="2"/>
  <c r="DP20" i="2"/>
  <c r="DA20" i="2"/>
  <c r="CT20" i="2"/>
  <c r="CP20" i="2"/>
  <c r="CO20" i="2"/>
  <c r="CN20" i="2"/>
  <c r="CM20" i="2"/>
  <c r="CK20" i="2"/>
  <c r="CI20" i="2"/>
  <c r="CH20" i="2"/>
  <c r="CF20" i="2"/>
  <c r="CD20" i="2"/>
  <c r="AL20" i="2"/>
  <c r="G20" i="2"/>
  <c r="FL19" i="2"/>
  <c r="FJ19" i="2"/>
  <c r="FH19" i="2"/>
  <c r="FG19" i="2"/>
  <c r="FF19" i="2"/>
  <c r="FD19" i="2"/>
  <c r="FC19" i="2"/>
  <c r="FB19" i="2"/>
  <c r="FA19" i="2" s="1"/>
  <c r="DM19" i="2" s="1"/>
  <c r="EZ19" i="2"/>
  <c r="EY19" i="2"/>
  <c r="EX19" i="2"/>
  <c r="EW19" i="2" s="1"/>
  <c r="DI19" i="2" s="1"/>
  <c r="EO19" i="2"/>
  <c r="DP19" i="2"/>
  <c r="DA19" i="2"/>
  <c r="CT19" i="2"/>
  <c r="CP19" i="2"/>
  <c r="CN19" i="2"/>
  <c r="CM19" i="2"/>
  <c r="CL19" i="2"/>
  <c r="CK19" i="2"/>
  <c r="CI19" i="2"/>
  <c r="CH19" i="2"/>
  <c r="CF19" i="2"/>
  <c r="CD19" i="2"/>
  <c r="AL19" i="2"/>
  <c r="G19" i="2"/>
  <c r="FL18" i="2"/>
  <c r="FJ18" i="2"/>
  <c r="FH18" i="2"/>
  <c r="FG18" i="2"/>
  <c r="FF18" i="2"/>
  <c r="FD18" i="2"/>
  <c r="FA18" i="2" s="1"/>
  <c r="DM18" i="2" s="1"/>
  <c r="FC18" i="2"/>
  <c r="FB18" i="2"/>
  <c r="EZ18" i="2"/>
  <c r="EY18" i="2"/>
  <c r="EX18" i="2"/>
  <c r="EW18" i="2"/>
  <c r="DI18" i="2" s="1"/>
  <c r="EO18" i="2"/>
  <c r="DP18" i="2"/>
  <c r="DA18" i="2"/>
  <c r="CU18" i="2"/>
  <c r="CT18" i="2"/>
  <c r="CS18" i="2"/>
  <c r="CR18" i="2"/>
  <c r="CQ18" i="2"/>
  <c r="CP18" i="2"/>
  <c r="CO18" i="2"/>
  <c r="CN18" i="2"/>
  <c r="CM18" i="2"/>
  <c r="CL18" i="2"/>
  <c r="CK18" i="2"/>
  <c r="CJ18" i="2"/>
  <c r="CI18" i="2"/>
  <c r="CH18" i="2"/>
  <c r="CG18" i="2"/>
  <c r="CF18" i="2"/>
  <c r="CD18" i="2"/>
  <c r="AL18" i="2"/>
  <c r="G18" i="2"/>
  <c r="FL17" i="2"/>
  <c r="FJ17" i="2"/>
  <c r="FH17" i="2"/>
  <c r="FG17" i="2"/>
  <c r="FF17" i="2"/>
  <c r="FD17" i="2"/>
  <c r="FC17" i="2"/>
  <c r="FB17" i="2"/>
  <c r="EZ17" i="2"/>
  <c r="EY17" i="2"/>
  <c r="EX17" i="2"/>
  <c r="EW17" i="2"/>
  <c r="DI17" i="2" s="1"/>
  <c r="EO17" i="2"/>
  <c r="EG17" i="2"/>
  <c r="DZ17" i="2"/>
  <c r="DR17" i="2"/>
  <c r="DQ17" i="2"/>
  <c r="DP17" i="2"/>
  <c r="DJ17" i="2"/>
  <c r="DF17" i="2"/>
  <c r="DA17" i="2"/>
  <c r="CU17" i="2"/>
  <c r="CT17" i="2"/>
  <c r="CS17" i="2"/>
  <c r="CR17" i="2"/>
  <c r="CQ17" i="2"/>
  <c r="CP17" i="2"/>
  <c r="CO17" i="2"/>
  <c r="CN17" i="2"/>
  <c r="CM17" i="2"/>
  <c r="CL17" i="2"/>
  <c r="CK17" i="2"/>
  <c r="CJ17" i="2"/>
  <c r="CI17" i="2"/>
  <c r="CH17" i="2"/>
  <c r="CG17" i="2"/>
  <c r="CF17" i="2"/>
  <c r="CD17" i="2"/>
  <c r="AL17" i="2"/>
  <c r="G17" i="2"/>
  <c r="FL16" i="2"/>
  <c r="FJ16" i="2"/>
  <c r="FH16" i="2"/>
  <c r="FG16" i="2"/>
  <c r="FF16" i="2"/>
  <c r="FD16" i="2"/>
  <c r="FC16" i="2"/>
  <c r="FB16" i="2"/>
  <c r="FA16" i="2"/>
  <c r="DM16" i="2" s="1"/>
  <c r="EZ16" i="2"/>
  <c r="EY16" i="2"/>
  <c r="EX16" i="2"/>
  <c r="EW16" i="2"/>
  <c r="EP16" i="2"/>
  <c r="EO16" i="2"/>
  <c r="DZ16" i="2"/>
  <c r="DY16" i="2"/>
  <c r="DR16" i="2"/>
  <c r="DQ16" i="2"/>
  <c r="DP16" i="2"/>
  <c r="DJ16" i="2"/>
  <c r="DI16" i="2"/>
  <c r="DA16" i="2"/>
  <c r="CT16" i="2"/>
  <c r="CP16" i="2"/>
  <c r="CN16" i="2"/>
  <c r="CM16" i="2"/>
  <c r="CL16" i="2"/>
  <c r="CK16" i="2"/>
  <c r="CI16" i="2"/>
  <c r="CH16" i="2"/>
  <c r="CF16" i="2"/>
  <c r="CD16" i="2"/>
  <c r="AL16" i="2"/>
  <c r="G16" i="2"/>
  <c r="FL15" i="2"/>
  <c r="FJ15" i="2"/>
  <c r="FH15" i="2"/>
  <c r="FG15" i="2"/>
  <c r="FF15" i="2"/>
  <c r="FD15" i="2"/>
  <c r="FC15" i="2"/>
  <c r="FB15" i="2"/>
  <c r="FA15" i="2" s="1"/>
  <c r="DM15" i="2" s="1"/>
  <c r="EZ15" i="2"/>
  <c r="EY15" i="2"/>
  <c r="EW15" i="2" s="1"/>
  <c r="DI15" i="2" s="1"/>
  <c r="EX15" i="2"/>
  <c r="EP15" i="2"/>
  <c r="EO15" i="2"/>
  <c r="DZ15" i="2"/>
  <c r="DY15" i="2"/>
  <c r="DX15" i="2"/>
  <c r="DR15" i="2"/>
  <c r="DQ15" i="2"/>
  <c r="DP15" i="2"/>
  <c r="DA15" i="2"/>
  <c r="CU15" i="2"/>
  <c r="CT15" i="2"/>
  <c r="CS15" i="2"/>
  <c r="CR15" i="2"/>
  <c r="CQ15" i="2"/>
  <c r="CP15" i="2"/>
  <c r="CO15" i="2"/>
  <c r="CN15" i="2"/>
  <c r="CM15" i="2"/>
  <c r="CL15" i="2"/>
  <c r="CK15" i="2"/>
  <c r="CJ15" i="2"/>
  <c r="CI15" i="2"/>
  <c r="CH15" i="2"/>
  <c r="CG15" i="2"/>
  <c r="CF15" i="2"/>
  <c r="CD15" i="2"/>
  <c r="AL15" i="2"/>
  <c r="G15" i="2"/>
  <c r="FL14" i="2"/>
  <c r="FJ14" i="2"/>
  <c r="FH14" i="2"/>
  <c r="FG14" i="2"/>
  <c r="FF14" i="2"/>
  <c r="FD14" i="2"/>
  <c r="FC14" i="2"/>
  <c r="FA14" i="2" s="1"/>
  <c r="DM14" i="2" s="1"/>
  <c r="FB14" i="2"/>
  <c r="EZ14" i="2"/>
  <c r="EY14" i="2"/>
  <c r="EX14" i="2"/>
  <c r="EW14" i="2" s="1"/>
  <c r="DI14" i="2" s="1"/>
  <c r="EP14" i="2"/>
  <c r="EO14" i="2"/>
  <c r="DZ14" i="2"/>
  <c r="DY14" i="2"/>
  <c r="DX14" i="2"/>
  <c r="DQ14" i="2"/>
  <c r="DP14" i="2"/>
  <c r="DA14" i="2"/>
  <c r="CU14" i="2"/>
  <c r="CT14" i="2"/>
  <c r="CR14" i="2"/>
  <c r="CP14" i="2"/>
  <c r="CM14" i="2"/>
  <c r="CL14" i="2"/>
  <c r="CK14" i="2"/>
  <c r="CI14" i="2"/>
  <c r="CH14" i="2"/>
  <c r="CG14" i="2"/>
  <c r="CF14" i="2"/>
  <c r="CD14" i="2"/>
  <c r="AL14" i="2"/>
  <c r="G14" i="2"/>
  <c r="FL13" i="2"/>
  <c r="FJ13" i="2"/>
  <c r="FH13" i="2"/>
  <c r="FG13" i="2"/>
  <c r="FF13" i="2"/>
  <c r="FD13" i="2"/>
  <c r="FC13" i="2"/>
  <c r="FB13" i="2"/>
  <c r="FA13" i="2"/>
  <c r="EZ13" i="2"/>
  <c r="EY13" i="2"/>
  <c r="EX13" i="2"/>
  <c r="EP13" i="2"/>
  <c r="EO13" i="2"/>
  <c r="EG13" i="2"/>
  <c r="DZ13" i="2"/>
  <c r="DY13" i="2"/>
  <c r="DX13" i="2"/>
  <c r="DV13" i="2"/>
  <c r="DP13" i="2"/>
  <c r="DM13" i="2"/>
  <c r="DA13" i="2"/>
  <c r="CT13" i="2"/>
  <c r="CP13" i="2"/>
  <c r="CM13" i="2"/>
  <c r="CL13" i="2"/>
  <c r="CK13" i="2"/>
  <c r="CI13" i="2"/>
  <c r="CH13" i="2"/>
  <c r="CF13" i="2"/>
  <c r="CD13" i="2"/>
  <c r="AL13" i="2"/>
  <c r="G13" i="2"/>
  <c r="FL12" i="2"/>
  <c r="FJ12" i="2"/>
  <c r="FH12" i="2"/>
  <c r="FG12" i="2"/>
  <c r="FF12" i="2"/>
  <c r="FD12" i="2"/>
  <c r="FC12" i="2"/>
  <c r="FB12" i="2"/>
  <c r="FA12" i="2"/>
  <c r="EZ12" i="2"/>
  <c r="EY12" i="2"/>
  <c r="EW12" i="2" s="1"/>
  <c r="DI12" i="2" s="1"/>
  <c r="EX12" i="2"/>
  <c r="EP12" i="2"/>
  <c r="EO12" i="2"/>
  <c r="EG12" i="2"/>
  <c r="DY12" i="2"/>
  <c r="DX12" i="2"/>
  <c r="DV12" i="2"/>
  <c r="DS12" i="2"/>
  <c r="DP12" i="2"/>
  <c r="DM12" i="2"/>
  <c r="DJ12" i="2"/>
  <c r="DA12" i="2"/>
  <c r="CT12" i="2"/>
  <c r="CP12" i="2"/>
  <c r="CM12" i="2"/>
  <c r="CK12" i="2"/>
  <c r="CJ12" i="2"/>
  <c r="CI12" i="2"/>
  <c r="CH12" i="2"/>
  <c r="CF12" i="2"/>
  <c r="CD12" i="2"/>
  <c r="AL12" i="2"/>
  <c r="G12" i="2"/>
  <c r="FL11" i="2"/>
  <c r="FJ11" i="2"/>
  <c r="FH11" i="2"/>
  <c r="FG11" i="2"/>
  <c r="FF11" i="2"/>
  <c r="FD11" i="2"/>
  <c r="FC11" i="2"/>
  <c r="FA11" i="2" s="1"/>
  <c r="DM11" i="2" s="1"/>
  <c r="FB11" i="2"/>
  <c r="EZ11" i="2"/>
  <c r="EY11" i="2"/>
  <c r="EX11" i="2"/>
  <c r="EO11" i="2"/>
  <c r="EI11" i="2"/>
  <c r="EG11" i="2"/>
  <c r="DX11" i="2"/>
  <c r="DR11" i="2"/>
  <c r="DP11" i="2"/>
  <c r="DJ11" i="2"/>
  <c r="DA11" i="2"/>
  <c r="CT11" i="2"/>
  <c r="CR11" i="2"/>
  <c r="CP11" i="2"/>
  <c r="CM11" i="2"/>
  <c r="CK11" i="2"/>
  <c r="CI11" i="2"/>
  <c r="CH11" i="2"/>
  <c r="CG11" i="2"/>
  <c r="CF11" i="2"/>
  <c r="CD11" i="2"/>
  <c r="AL11" i="2"/>
  <c r="G11" i="2"/>
  <c r="FL10" i="2"/>
  <c r="FJ10" i="2"/>
  <c r="FH10" i="2"/>
  <c r="FG10" i="2"/>
  <c r="FF10" i="2"/>
  <c r="FD10" i="2"/>
  <c r="FC10" i="2"/>
  <c r="FB10" i="2"/>
  <c r="EZ10" i="2"/>
  <c r="EY10" i="2"/>
  <c r="EX10" i="2"/>
  <c r="EW10" i="2"/>
  <c r="DI10" i="2" s="1"/>
  <c r="ES10" i="2"/>
  <c r="EO10" i="2"/>
  <c r="EG10" i="2"/>
  <c r="EA10" i="2"/>
  <c r="DV10" i="2"/>
  <c r="DQ10" i="2"/>
  <c r="DP10" i="2"/>
  <c r="DK10" i="2"/>
  <c r="DJ10" i="2"/>
  <c r="DA10" i="2"/>
  <c r="CT10" i="2"/>
  <c r="CS10" i="2"/>
  <c r="CP10" i="2"/>
  <c r="CM10" i="2"/>
  <c r="CK10" i="2"/>
  <c r="CI10" i="2"/>
  <c r="CH10" i="2"/>
  <c r="CF10" i="2"/>
  <c r="CD10" i="2"/>
  <c r="AL10" i="2"/>
  <c r="G10" i="2"/>
  <c r="ES7" i="2"/>
  <c r="ER7" i="2"/>
  <c r="ER16" i="2" s="1"/>
  <c r="EQ7" i="2"/>
  <c r="EP7" i="2"/>
  <c r="EP25" i="2" s="1"/>
  <c r="EO7" i="2"/>
  <c r="EN7" i="2"/>
  <c r="EM7" i="2"/>
  <c r="EL7" i="2"/>
  <c r="EK7" i="2"/>
  <c r="EJ7" i="2"/>
  <c r="EI7" i="2"/>
  <c r="EH7" i="2"/>
  <c r="EG7" i="2"/>
  <c r="EG22" i="2" s="1"/>
  <c r="EF7" i="2"/>
  <c r="EE7" i="2"/>
  <c r="ED7" i="2"/>
  <c r="EC7" i="2"/>
  <c r="EB7" i="2"/>
  <c r="EA7" i="2"/>
  <c r="DZ7" i="2"/>
  <c r="DZ26" i="2" s="1"/>
  <c r="DY7" i="2"/>
  <c r="DY25" i="2" s="1"/>
  <c r="DX7" i="2"/>
  <c r="DX24" i="2" s="1"/>
  <c r="DW7" i="2"/>
  <c r="DV7" i="2"/>
  <c r="DV14" i="2" s="1"/>
  <c r="DU7" i="2"/>
  <c r="DT7" i="2"/>
  <c r="DS7" i="2"/>
  <c r="DR7" i="2"/>
  <c r="DR20" i="2" s="1"/>
  <c r="DQ7" i="2"/>
  <c r="DQ27" i="2" s="1"/>
  <c r="DP7" i="2"/>
  <c r="DO7" i="2"/>
  <c r="DN7" i="2"/>
  <c r="DM7" i="2"/>
  <c r="DL7" i="2"/>
  <c r="DK7" i="2"/>
  <c r="DJ7" i="2"/>
  <c r="DJ21" i="2" s="1"/>
  <c r="DI7" i="2"/>
  <c r="DH7" i="2"/>
  <c r="DG7" i="2"/>
  <c r="DF7" i="2"/>
  <c r="DF14" i="2" s="1"/>
  <c r="DE7" i="2"/>
  <c r="DD7" i="2"/>
  <c r="DC7" i="2"/>
  <c r="DB7" i="2"/>
  <c r="DA7" i="2"/>
  <c r="CZ7" i="2"/>
  <c r="CY7" i="2"/>
  <c r="FK6" i="2"/>
  <c r="FL6" i="2" s="1"/>
  <c r="FH6" i="2"/>
  <c r="FG6" i="2"/>
  <c r="FD6" i="2"/>
  <c r="FC6" i="2"/>
  <c r="EY6" i="2"/>
  <c r="EZ6" i="2" s="1"/>
  <c r="ES6" i="2"/>
  <c r="ER6" i="2"/>
  <c r="EQ6" i="2"/>
  <c r="EL6" i="2"/>
  <c r="EK6" i="2"/>
  <c r="EI6" i="2"/>
  <c r="EH6" i="2"/>
  <c r="EG6" i="2"/>
  <c r="ED6" i="2"/>
  <c r="EC6" i="2"/>
  <c r="EB6" i="2"/>
  <c r="DZ6" i="2"/>
  <c r="DY6" i="2"/>
  <c r="DU6" i="2"/>
  <c r="DT6" i="2"/>
  <c r="DS6" i="2"/>
  <c r="DQ6" i="2"/>
  <c r="DF6" i="2"/>
  <c r="DE6" i="2"/>
  <c r="DA6" i="2"/>
  <c r="CY6" i="2"/>
  <c r="CA6" i="2"/>
  <c r="BZ6" i="2"/>
  <c r="BY6" i="2"/>
  <c r="BX6" i="2"/>
  <c r="BW6" i="2"/>
  <c r="BV6" i="2"/>
  <c r="BU6" i="2"/>
  <c r="BT6" i="2"/>
  <c r="BS6" i="2"/>
  <c r="BR6" i="2"/>
  <c r="BQ6" i="2"/>
  <c r="BP6" i="2"/>
  <c r="BO6" i="2"/>
  <c r="BN6" i="2"/>
  <c r="BM6" i="2"/>
  <c r="BL6" i="2"/>
  <c r="BK6" i="2"/>
  <c r="BJ6" i="2"/>
  <c r="BI6" i="2"/>
  <c r="BH6" i="2"/>
  <c r="BG6" i="2"/>
  <c r="BF6" i="2"/>
  <c r="BE6" i="2"/>
  <c r="BD6" i="2"/>
  <c r="BC6" i="2"/>
  <c r="AV6" i="2"/>
  <c r="AU6" i="2"/>
  <c r="AT6" i="2"/>
  <c r="AS6" i="2"/>
  <c r="AR6" i="2"/>
  <c r="EP6" i="2" s="1"/>
  <c r="AQ6" i="2"/>
  <c r="EO6" i="2" s="1"/>
  <c r="AP6" i="2"/>
  <c r="EN6" i="2" s="1"/>
  <c r="AO6" i="2"/>
  <c r="EM6" i="2" s="1"/>
  <c r="AN6" i="2"/>
  <c r="AM6" i="2"/>
  <c r="AL6" i="2"/>
  <c r="EJ6" i="2" s="1"/>
  <c r="AK6" i="2"/>
  <c r="AJ6" i="2"/>
  <c r="AI6" i="2"/>
  <c r="AH6" i="2"/>
  <c r="EF6" i="2" s="1"/>
  <c r="AG6" i="2"/>
  <c r="EE6" i="2" s="1"/>
  <c r="AF6" i="2"/>
  <c r="AE6" i="2"/>
  <c r="AD6" i="2"/>
  <c r="AC6" i="2"/>
  <c r="EA6" i="2" s="1"/>
  <c r="AB6" i="2"/>
  <c r="AA6" i="2"/>
  <c r="Z6" i="2"/>
  <c r="DX6" i="2" s="1"/>
  <c r="Y6" i="2"/>
  <c r="DW6" i="2" s="1"/>
  <c r="X6" i="2"/>
  <c r="DV6" i="2" s="1"/>
  <c r="W6" i="2"/>
  <c r="V6" i="2"/>
  <c r="U6" i="2"/>
  <c r="T6" i="2"/>
  <c r="DR10" i="2" s="1"/>
  <c r="S6" i="2"/>
  <c r="R6" i="2"/>
  <c r="DP6" i="2" s="1"/>
  <c r="Q6" i="2"/>
  <c r="DO6" i="2" s="1"/>
  <c r="P6" i="2"/>
  <c r="DN6" i="2" s="1"/>
  <c r="O6" i="2"/>
  <c r="DM6" i="2" s="1"/>
  <c r="N6" i="2"/>
  <c r="DL6" i="2" s="1"/>
  <c r="M6" i="2"/>
  <c r="DK6" i="2" s="1"/>
  <c r="L6" i="2"/>
  <c r="DJ6" i="2" s="1"/>
  <c r="K6" i="2"/>
  <c r="DI6" i="2" s="1"/>
  <c r="J6" i="2"/>
  <c r="DH6" i="2" s="1"/>
  <c r="I6" i="2"/>
  <c r="DG6" i="2" s="1"/>
  <c r="H6" i="2"/>
  <c r="G6" i="2"/>
  <c r="F6" i="2"/>
  <c r="DD6" i="2" s="1"/>
  <c r="E6" i="2"/>
  <c r="DC6" i="2" s="1"/>
  <c r="D6" i="2"/>
  <c r="DB6" i="2" s="1"/>
  <c r="C6" i="2"/>
  <c r="B6" i="2"/>
  <c r="B90" i="29" s="1"/>
  <c r="ES4" i="2"/>
  <c r="ER4" i="2"/>
  <c r="EQ4" i="2"/>
  <c r="EP4" i="2"/>
  <c r="EO4" i="2"/>
  <c r="EN4" i="2"/>
  <c r="EM4" i="2"/>
  <c r="EL4" i="2"/>
  <c r="EK4" i="2"/>
  <c r="EJ4" i="2"/>
  <c r="EI4" i="2"/>
  <c r="EH4" i="2"/>
  <c r="EG4" i="2"/>
  <c r="EF4" i="2"/>
  <c r="EE4" i="2"/>
  <c r="ED4" i="2"/>
  <c r="EC4" i="2"/>
  <c r="EB4" i="2"/>
  <c r="EA4" i="2"/>
  <c r="DZ4" i="2"/>
  <c r="DY4" i="2"/>
  <c r="DX4" i="2"/>
  <c r="DW4" i="2"/>
  <c r="DV4" i="2"/>
  <c r="DU4" i="2"/>
  <c r="DT4" i="2"/>
  <c r="DS4" i="2"/>
  <c r="DR4" i="2"/>
  <c r="DQ4" i="2"/>
  <c r="DP4" i="2"/>
  <c r="DO4" i="2"/>
  <c r="DN4" i="2"/>
  <c r="DM4" i="2"/>
  <c r="DL4" i="2"/>
  <c r="DK4" i="2"/>
  <c r="DJ4" i="2"/>
  <c r="DI4" i="2"/>
  <c r="DH4" i="2"/>
  <c r="DG4" i="2"/>
  <c r="DF4" i="2"/>
  <c r="DE4" i="2"/>
  <c r="DD4" i="2"/>
  <c r="DC4" i="2"/>
  <c r="DB4" i="2"/>
  <c r="DA4" i="2"/>
  <c r="CZ4" i="2"/>
  <c r="CZ3" i="2" s="1"/>
  <c r="CY4" i="2"/>
  <c r="ES3" i="2"/>
  <c r="ER3" i="2"/>
  <c r="EQ3" i="2"/>
  <c r="EP3" i="2"/>
  <c r="EO3" i="2"/>
  <c r="EN3" i="2"/>
  <c r="EM3" i="2"/>
  <c r="EL3" i="2"/>
  <c r="EK3" i="2"/>
  <c r="EJ3" i="2"/>
  <c r="EI3" i="2"/>
  <c r="EH3" i="2"/>
  <c r="EG3" i="2"/>
  <c r="EF3" i="2"/>
  <c r="EE3" i="2"/>
  <c r="ED3" i="2"/>
  <c r="EC3" i="2"/>
  <c r="EB3" i="2"/>
  <c r="EA3" i="2"/>
  <c r="DZ3" i="2"/>
  <c r="DY3" i="2"/>
  <c r="DX3" i="2"/>
  <c r="DW3" i="2"/>
  <c r="DV3" i="2"/>
  <c r="DU3" i="2"/>
  <c r="DT3" i="2"/>
  <c r="DS3" i="2"/>
  <c r="DR3" i="2"/>
  <c r="DQ3" i="2"/>
  <c r="DP3" i="2"/>
  <c r="DO3" i="2"/>
  <c r="DN3" i="2"/>
  <c r="DM3" i="2"/>
  <c r="DL3" i="2"/>
  <c r="DK3" i="2"/>
  <c r="DJ3" i="2"/>
  <c r="DI3" i="2"/>
  <c r="DH3" i="2"/>
  <c r="DG3" i="2"/>
  <c r="DF3" i="2"/>
  <c r="DE3" i="2"/>
  <c r="DD3" i="2"/>
  <c r="DC3" i="2"/>
  <c r="DB3" i="2"/>
  <c r="DA3" i="2"/>
  <c r="E2" i="2"/>
  <c r="L3" i="33"/>
  <c r="K3" i="33"/>
  <c r="J3" i="33"/>
  <c r="I3" i="33"/>
  <c r="H3" i="33"/>
  <c r="G3" i="33"/>
  <c r="F3" i="33"/>
  <c r="E3" i="33"/>
  <c r="D3" i="33"/>
  <c r="C3" i="33"/>
  <c r="B3" i="33"/>
  <c r="A3" i="33"/>
  <c r="B92" i="29"/>
  <c r="A91" i="29"/>
  <c r="A85" i="29"/>
  <c r="B84" i="29"/>
  <c r="A79" i="29"/>
  <c r="A73" i="29"/>
  <c r="B72" i="29"/>
  <c r="B66" i="29"/>
  <c r="A60" i="29"/>
  <c r="B58" i="29"/>
  <c r="A51" i="29"/>
  <c r="B50" i="29"/>
  <c r="B44" i="29"/>
  <c r="A43" i="29"/>
  <c r="A39" i="29"/>
  <c r="A38" i="29"/>
  <c r="B38" i="29" s="1"/>
  <c r="A37" i="29"/>
  <c r="A36" i="29"/>
  <c r="B36" i="29" s="1"/>
  <c r="A35" i="29"/>
  <c r="B35" i="29" s="1"/>
  <c r="A34" i="29"/>
  <c r="A33" i="29"/>
  <c r="A32" i="29"/>
  <c r="C31" i="29"/>
  <c r="A31" i="29"/>
  <c r="C30" i="29"/>
  <c r="A30" i="29"/>
  <c r="A29" i="29"/>
  <c r="B29" i="29" s="1"/>
  <c r="A28" i="29"/>
  <c r="C27" i="29"/>
  <c r="FA24" i="2" l="1"/>
  <c r="DM24" i="2" s="1"/>
  <c r="EW11" i="2"/>
  <c r="DI11" i="2" s="1"/>
  <c r="FE16" i="2"/>
  <c r="DN16" i="2" s="1"/>
  <c r="FE10" i="2"/>
  <c r="DN10" i="2" s="1"/>
  <c r="FE24" i="2"/>
  <c r="DN24" i="2" s="1"/>
  <c r="FE12" i="2"/>
  <c r="FK12" i="2" s="1"/>
  <c r="FI12" i="2" s="1"/>
  <c r="DO12" i="2" s="1"/>
  <c r="FE13" i="2"/>
  <c r="FK13" i="2" s="1"/>
  <c r="FI13" i="2" s="1"/>
  <c r="DO13" i="2" s="1"/>
  <c r="FE17" i="2"/>
  <c r="DN17" i="2" s="1"/>
  <c r="FE21" i="2"/>
  <c r="DN21" i="2" s="1"/>
  <c r="FE18" i="2"/>
  <c r="DN18" i="2" s="1"/>
  <c r="FE25" i="2"/>
  <c r="DN25" i="2" s="1"/>
  <c r="FE11" i="2"/>
  <c r="FK11" i="2" s="1"/>
  <c r="FI11" i="2" s="1"/>
  <c r="DO11" i="2" s="1"/>
  <c r="FE23" i="2"/>
  <c r="FK23" i="2" s="1"/>
  <c r="FI23" i="2" s="1"/>
  <c r="DO23" i="2" s="1"/>
  <c r="FE20" i="2"/>
  <c r="DN20" i="2" s="1"/>
  <c r="FE22" i="2"/>
  <c r="DN22" i="2" s="1"/>
  <c r="FE19" i="2"/>
  <c r="FK19" i="2" s="1"/>
  <c r="FI19" i="2" s="1"/>
  <c r="DO19" i="2" s="1"/>
  <c r="FE27" i="2"/>
  <c r="FK27" i="2" s="1"/>
  <c r="FI27" i="2" s="1"/>
  <c r="DO27" i="2" s="1"/>
  <c r="FE26" i="2"/>
  <c r="DN26" i="2" s="1"/>
  <c r="B33" i="29"/>
  <c r="DT22" i="2"/>
  <c r="DT14" i="2"/>
  <c r="DT23" i="2"/>
  <c r="DT15" i="2"/>
  <c r="DT24" i="2"/>
  <c r="DT16" i="2"/>
  <c r="DT25" i="2"/>
  <c r="DT26" i="2"/>
  <c r="DT18" i="2"/>
  <c r="DT27" i="2"/>
  <c r="DT19" i="2"/>
  <c r="DT20" i="2"/>
  <c r="DT21" i="2"/>
  <c r="B59" i="29"/>
  <c r="B67" i="29"/>
  <c r="C68" i="29" s="1"/>
  <c r="B93" i="29"/>
  <c r="EC20" i="2"/>
  <c r="EC12" i="2"/>
  <c r="EC21" i="2"/>
  <c r="EC13" i="2"/>
  <c r="EC22" i="2"/>
  <c r="EC14" i="2"/>
  <c r="EC23" i="2"/>
  <c r="EC24" i="2"/>
  <c r="EC25" i="2"/>
  <c r="EC26" i="2"/>
  <c r="EC18" i="2"/>
  <c r="EC27" i="2"/>
  <c r="EC19" i="2"/>
  <c r="ES20" i="2"/>
  <c r="ES12" i="2"/>
  <c r="ES21" i="2"/>
  <c r="ES13" i="2"/>
  <c r="ES22" i="2"/>
  <c r="ES14" i="2"/>
  <c r="ES23" i="2"/>
  <c r="ES24" i="2"/>
  <c r="ES25" i="2"/>
  <c r="ES26" i="2"/>
  <c r="ES18" i="2"/>
  <c r="ES27" i="2"/>
  <c r="ES19" i="2"/>
  <c r="B45" i="29"/>
  <c r="B53" i="29"/>
  <c r="B61" i="29"/>
  <c r="B75" i="29"/>
  <c r="C76" i="29" s="1"/>
  <c r="B81" i="29"/>
  <c r="B87" i="29"/>
  <c r="B95" i="29"/>
  <c r="DG27" i="2"/>
  <c r="DG19" i="2"/>
  <c r="DG11" i="2"/>
  <c r="DG20" i="2"/>
  <c r="DG12" i="2"/>
  <c r="DG21" i="2"/>
  <c r="DG13" i="2"/>
  <c r="DG22" i="2"/>
  <c r="DG23" i="2"/>
  <c r="DG24" i="2"/>
  <c r="DG25" i="2"/>
  <c r="DG26" i="2"/>
  <c r="DG18" i="2"/>
  <c r="EE21" i="2"/>
  <c r="EE13" i="2"/>
  <c r="EE22" i="2"/>
  <c r="EE14" i="2"/>
  <c r="EE23" i="2"/>
  <c r="EE15" i="2"/>
  <c r="EE24" i="2"/>
  <c r="EE25" i="2"/>
  <c r="EE26" i="2"/>
  <c r="EE18" i="2"/>
  <c r="EE27" i="2"/>
  <c r="EE19" i="2"/>
  <c r="EE20" i="2"/>
  <c r="EE10" i="2"/>
  <c r="DT11" i="2"/>
  <c r="ES11" i="2"/>
  <c r="B46" i="29"/>
  <c r="B54" i="29"/>
  <c r="B62" i="29"/>
  <c r="B69" i="29"/>
  <c r="C70" i="29" s="1"/>
  <c r="B76" i="29"/>
  <c r="B88" i="29"/>
  <c r="B96" i="29"/>
  <c r="B47" i="29"/>
  <c r="B55" i="29"/>
  <c r="B63" i="29"/>
  <c r="B70" i="29"/>
  <c r="B82" i="29"/>
  <c r="C83" i="29" s="1"/>
  <c r="B89" i="29"/>
  <c r="B49" i="29"/>
  <c r="B57" i="29"/>
  <c r="B65" i="29"/>
  <c r="B71" i="29"/>
  <c r="B78" i="29"/>
  <c r="DK22" i="2"/>
  <c r="DK14" i="2"/>
  <c r="DK23" i="2"/>
  <c r="DK15" i="2"/>
  <c r="DK24" i="2"/>
  <c r="DK16" i="2"/>
  <c r="DK25" i="2"/>
  <c r="DK26" i="2"/>
  <c r="DK18" i="2"/>
  <c r="DK27" i="2"/>
  <c r="DK19" i="2"/>
  <c r="DK20" i="2"/>
  <c r="DK21" i="2"/>
  <c r="DS21" i="2"/>
  <c r="DS13" i="2"/>
  <c r="DS22" i="2"/>
  <c r="DS14" i="2"/>
  <c r="DS23" i="2"/>
  <c r="DS15" i="2"/>
  <c r="DS24" i="2"/>
  <c r="DS25" i="2"/>
  <c r="DS26" i="2"/>
  <c r="DS18" i="2"/>
  <c r="DS27" i="2"/>
  <c r="DS19" i="2"/>
  <c r="DS20" i="2"/>
  <c r="EA27" i="2"/>
  <c r="EA19" i="2"/>
  <c r="EA11" i="2"/>
  <c r="EA20" i="2"/>
  <c r="EA12" i="2"/>
  <c r="EA21" i="2"/>
  <c r="EA13" i="2"/>
  <c r="EA22" i="2"/>
  <c r="EA23" i="2"/>
  <c r="EA24" i="2"/>
  <c r="EA25" i="2"/>
  <c r="EA26" i="2"/>
  <c r="EA18" i="2"/>
  <c r="EI23" i="2"/>
  <c r="EI15" i="2"/>
  <c r="EI24" i="2"/>
  <c r="EI16" i="2"/>
  <c r="EI25" i="2"/>
  <c r="EI17" i="2"/>
  <c r="EI26" i="2"/>
  <c r="EI18" i="2"/>
  <c r="EI27" i="2"/>
  <c r="EI19" i="2"/>
  <c r="EI20" i="2"/>
  <c r="EI21" i="2"/>
  <c r="EI22" i="2"/>
  <c r="EQ26" i="2"/>
  <c r="EQ18" i="2"/>
  <c r="EQ10" i="2"/>
  <c r="EQ27" i="2"/>
  <c r="EQ19" i="2"/>
  <c r="EQ11" i="2"/>
  <c r="EQ20" i="2"/>
  <c r="EQ12" i="2"/>
  <c r="EQ21" i="2"/>
  <c r="EQ22" i="2"/>
  <c r="EQ23" i="2"/>
  <c r="EQ24" i="2"/>
  <c r="EQ25" i="2"/>
  <c r="DT10" i="2"/>
  <c r="ER10" i="2"/>
  <c r="EE11" i="2"/>
  <c r="EQ13" i="2"/>
  <c r="EA15" i="2"/>
  <c r="DS17" i="2"/>
  <c r="EQ17" i="2"/>
  <c r="EE12" i="2"/>
  <c r="DF13" i="2"/>
  <c r="EW13" i="2"/>
  <c r="DI13" i="2" s="1"/>
  <c r="EQ14" i="2"/>
  <c r="EC15" i="2"/>
  <c r="DF16" i="2"/>
  <c r="DS16" i="2"/>
  <c r="EQ16" i="2"/>
  <c r="DG17" i="2"/>
  <c r="DT17" i="2"/>
  <c r="ER17" i="2"/>
  <c r="DK13" i="2"/>
  <c r="ER14" i="2"/>
  <c r="FE14" i="2"/>
  <c r="DG16" i="2"/>
  <c r="ES17" i="2"/>
  <c r="ER27" i="2"/>
  <c r="ER19" i="2"/>
  <c r="ER11" i="2"/>
  <c r="ER20" i="2"/>
  <c r="ER12" i="2"/>
  <c r="ER21" i="2"/>
  <c r="ER13" i="2"/>
  <c r="ER22" i="2"/>
  <c r="ER23" i="2"/>
  <c r="ER24" i="2"/>
  <c r="ER25" i="2"/>
  <c r="ER26" i="2"/>
  <c r="ER18" i="2"/>
  <c r="B52" i="29"/>
  <c r="B68" i="29"/>
  <c r="B74" i="29"/>
  <c r="B80" i="29"/>
  <c r="C81" i="29" s="1"/>
  <c r="B86" i="29"/>
  <c r="B94" i="29"/>
  <c r="CZ6" i="2"/>
  <c r="DR6" i="2"/>
  <c r="DF26" i="2"/>
  <c r="DF18" i="2"/>
  <c r="DF10" i="2"/>
  <c r="DF27" i="2"/>
  <c r="DF19" i="2"/>
  <c r="DF11" i="2"/>
  <c r="DF20" i="2"/>
  <c r="DF12" i="2"/>
  <c r="DF21" i="2"/>
  <c r="DF22" i="2"/>
  <c r="DF23" i="2"/>
  <c r="DF24" i="2"/>
  <c r="DF25" i="2"/>
  <c r="DV23" i="2"/>
  <c r="DV15" i="2"/>
  <c r="DV24" i="2"/>
  <c r="DV16" i="2"/>
  <c r="DV25" i="2"/>
  <c r="DV17" i="2"/>
  <c r="DV26" i="2"/>
  <c r="DV18" i="2"/>
  <c r="DV27" i="2"/>
  <c r="DV19" i="2"/>
  <c r="DV20" i="2"/>
  <c r="DV21" i="2"/>
  <c r="DV22" i="2"/>
  <c r="EC10" i="2"/>
  <c r="DS11" i="2"/>
  <c r="EI12" i="2"/>
  <c r="DG14" i="2"/>
  <c r="ES16" i="2"/>
  <c r="EA17" i="2"/>
  <c r="EQ15" i="2"/>
  <c r="EA16" i="2"/>
  <c r="DK17" i="2"/>
  <c r="EC17" i="2"/>
  <c r="DV11" i="2"/>
  <c r="DT12" i="2"/>
  <c r="EI13" i="2"/>
  <c r="EA14" i="2"/>
  <c r="DF15" i="2"/>
  <c r="ER15" i="2"/>
  <c r="EC16" i="2"/>
  <c r="EE17" i="2"/>
  <c r="EI10" i="2"/>
  <c r="FA10" i="2"/>
  <c r="DM10" i="2" s="1"/>
  <c r="DK11" i="2"/>
  <c r="EI14" i="2"/>
  <c r="DG15" i="2"/>
  <c r="ES15" i="2"/>
  <c r="EE16" i="2"/>
  <c r="B48" i="29"/>
  <c r="B56" i="29"/>
  <c r="B64" i="29"/>
  <c r="B77" i="29"/>
  <c r="C78" i="29" s="1"/>
  <c r="B83" i="29"/>
  <c r="DG10" i="2"/>
  <c r="DS10" i="2"/>
  <c r="EC11" i="2"/>
  <c r="DK12" i="2"/>
  <c r="DT13" i="2"/>
  <c r="FE15" i="2"/>
  <c r="FA17" i="2"/>
  <c r="DM17" i="2" s="1"/>
  <c r="DQ18" i="2"/>
  <c r="DR19" i="2"/>
  <c r="DJ20" i="2"/>
  <c r="EG21" i="2"/>
  <c r="DX23" i="2"/>
  <c r="DY24" i="2"/>
  <c r="EP24" i="2"/>
  <c r="DZ25" i="2"/>
  <c r="DQ26" i="2"/>
  <c r="DR27" i="2"/>
  <c r="A8" i="23"/>
  <c r="F4" i="33" s="1"/>
  <c r="B32" i="29" s="1"/>
  <c r="A16" i="23"/>
  <c r="A24" i="23"/>
  <c r="A32" i="23"/>
  <c r="A40" i="23"/>
  <c r="A48" i="23"/>
  <c r="A56" i="23"/>
  <c r="A64" i="23"/>
  <c r="A72" i="23"/>
  <c r="A80" i="23"/>
  <c r="A88" i="23"/>
  <c r="A103" i="23"/>
  <c r="A111" i="23"/>
  <c r="A119" i="23"/>
  <c r="DR18" i="2"/>
  <c r="DJ19" i="2"/>
  <c r="EG20" i="2"/>
  <c r="DX22" i="2"/>
  <c r="DY23" i="2"/>
  <c r="EP23" i="2"/>
  <c r="DZ24" i="2"/>
  <c r="DQ25" i="2"/>
  <c r="DR26" i="2"/>
  <c r="DJ27" i="2"/>
  <c r="A9" i="23"/>
  <c r="G4" i="33" s="1"/>
  <c r="A17" i="23"/>
  <c r="A25" i="23"/>
  <c r="A33" i="23"/>
  <c r="A41" i="23"/>
  <c r="A49" i="23"/>
  <c r="A57" i="23"/>
  <c r="A65" i="23"/>
  <c r="A73" i="23"/>
  <c r="A81" i="23"/>
  <c r="A89" i="23"/>
  <c r="A104" i="23"/>
  <c r="A112" i="23"/>
  <c r="A120" i="23"/>
  <c r="DJ18" i="2"/>
  <c r="EG19" i="2"/>
  <c r="DX21" i="2"/>
  <c r="DY22" i="2"/>
  <c r="EP22" i="2"/>
  <c r="DZ23" i="2"/>
  <c r="DQ24" i="2"/>
  <c r="DR25" i="2"/>
  <c r="DJ26" i="2"/>
  <c r="EG27" i="2"/>
  <c r="A10" i="23"/>
  <c r="H4" i="33" s="1"/>
  <c r="B34" i="29" s="1"/>
  <c r="A18" i="23"/>
  <c r="A26" i="23"/>
  <c r="A34" i="23"/>
  <c r="A42" i="23"/>
  <c r="A50" i="23"/>
  <c r="A58" i="23"/>
  <c r="A66" i="23"/>
  <c r="A74" i="23"/>
  <c r="A82" i="23"/>
  <c r="A97" i="23"/>
  <c r="A105" i="23"/>
  <c r="A113" i="23"/>
  <c r="A121" i="23"/>
  <c r="EG18" i="2"/>
  <c r="DX20" i="2"/>
  <c r="DY21" i="2"/>
  <c r="EP21" i="2"/>
  <c r="DZ22" i="2"/>
  <c r="DQ23" i="2"/>
  <c r="DR24" i="2"/>
  <c r="DJ25" i="2"/>
  <c r="EG26" i="2"/>
  <c r="A11" i="23"/>
  <c r="D4" i="33" s="1"/>
  <c r="B30" i="29" s="1"/>
  <c r="A19" i="23"/>
  <c r="A27" i="23"/>
  <c r="A35" i="23"/>
  <c r="A43" i="23"/>
  <c r="A51" i="23"/>
  <c r="A59" i="23"/>
  <c r="A67" i="23"/>
  <c r="A75" i="23"/>
  <c r="A83" i="23"/>
  <c r="A98" i="23"/>
  <c r="A106" i="23"/>
  <c r="A114" i="23"/>
  <c r="A122" i="23"/>
  <c r="DX19" i="2"/>
  <c r="DY20" i="2"/>
  <c r="EP20" i="2"/>
  <c r="DZ21" i="2"/>
  <c r="DQ22" i="2"/>
  <c r="DR23" i="2"/>
  <c r="DJ24" i="2"/>
  <c r="EG25" i="2"/>
  <c r="DX27" i="2"/>
  <c r="A4" i="23"/>
  <c r="A12" i="23"/>
  <c r="A20" i="23"/>
  <c r="A28" i="23"/>
  <c r="A36" i="23"/>
  <c r="A44" i="23"/>
  <c r="A52" i="23"/>
  <c r="A60" i="23"/>
  <c r="A68" i="23"/>
  <c r="A76" i="23"/>
  <c r="A84" i="23"/>
  <c r="A99" i="23"/>
  <c r="A107" i="23"/>
  <c r="A115" i="23"/>
  <c r="A123" i="23"/>
  <c r="DX10" i="2"/>
  <c r="DY11" i="2"/>
  <c r="EP11" i="2"/>
  <c r="DZ12" i="2"/>
  <c r="DQ13" i="2"/>
  <c r="DR14" i="2"/>
  <c r="DJ15" i="2"/>
  <c r="EG16" i="2"/>
  <c r="DX18" i="2"/>
  <c r="DY19" i="2"/>
  <c r="EP19" i="2"/>
  <c r="DZ20" i="2"/>
  <c r="DQ21" i="2"/>
  <c r="DR22" i="2"/>
  <c r="DJ23" i="2"/>
  <c r="EG24" i="2"/>
  <c r="DX26" i="2"/>
  <c r="DY27" i="2"/>
  <c r="EP27" i="2"/>
  <c r="A5" i="23"/>
  <c r="A2" i="33" s="1"/>
  <c r="A26" i="29" s="1"/>
  <c r="A13" i="23"/>
  <c r="E4" i="33" s="1"/>
  <c r="B31" i="29" s="1"/>
  <c r="A21" i="23"/>
  <c r="A29" i="23"/>
  <c r="A37" i="23"/>
  <c r="A45" i="23"/>
  <c r="A53" i="23"/>
  <c r="A61" i="23"/>
  <c r="A69" i="23"/>
  <c r="A77" i="23"/>
  <c r="A85" i="23"/>
  <c r="A100" i="23"/>
  <c r="A108" i="23"/>
  <c r="A116" i="23"/>
  <c r="A124" i="23"/>
  <c r="DY10" i="2"/>
  <c r="EP10" i="2"/>
  <c r="DZ11" i="2"/>
  <c r="DQ12" i="2"/>
  <c r="DR13" i="2"/>
  <c r="DJ14" i="2"/>
  <c r="EG15" i="2"/>
  <c r="DX17" i="2"/>
  <c r="DY18" i="2"/>
  <c r="EP18" i="2"/>
  <c r="DZ19" i="2"/>
  <c r="DQ20" i="2"/>
  <c r="DR21" i="2"/>
  <c r="DJ22" i="2"/>
  <c r="EG23" i="2"/>
  <c r="DX25" i="2"/>
  <c r="DY26" i="2"/>
  <c r="EP26" i="2"/>
  <c r="DZ27" i="2"/>
  <c r="A6" i="23"/>
  <c r="A4" i="33" s="1"/>
  <c r="B27" i="29" s="1"/>
  <c r="A14" i="23"/>
  <c r="A22" i="23"/>
  <c r="A30" i="23"/>
  <c r="A38" i="23"/>
  <c r="A46" i="23"/>
  <c r="A54" i="23"/>
  <c r="A62" i="23"/>
  <c r="A70" i="23"/>
  <c r="L4" i="33" s="1"/>
  <c r="B39" i="29" s="1"/>
  <c r="A78" i="23"/>
  <c r="A86" i="23"/>
  <c r="A101" i="23"/>
  <c r="A109" i="23"/>
  <c r="A117" i="23"/>
  <c r="A125" i="23"/>
  <c r="DZ10" i="2"/>
  <c r="DQ11" i="2"/>
  <c r="DR12" i="2"/>
  <c r="DJ13" i="2"/>
  <c r="EG14" i="2"/>
  <c r="DX16" i="2"/>
  <c r="DY17" i="2"/>
  <c r="EP17" i="2"/>
  <c r="DZ18" i="2"/>
  <c r="DQ19" i="2"/>
  <c r="A7" i="23"/>
  <c r="B4" i="33" s="1"/>
  <c r="B28" i="29" s="1"/>
  <c r="A15" i="23"/>
  <c r="A23" i="23"/>
  <c r="A31" i="23"/>
  <c r="A39" i="23"/>
  <c r="A47" i="23"/>
  <c r="A55" i="23"/>
  <c r="A63" i="23"/>
  <c r="A71" i="23"/>
  <c r="A79" i="23"/>
  <c r="A87" i="23"/>
  <c r="A102" i="23"/>
  <c r="A110" i="23"/>
  <c r="A118" i="23"/>
  <c r="FK16" i="2" l="1"/>
  <c r="FI16" i="2" s="1"/>
  <c r="DO16" i="2" s="1"/>
  <c r="FK10" i="2"/>
  <c r="FI10" i="2" s="1"/>
  <c r="DO10" i="2" s="1"/>
  <c r="DN12" i="2"/>
  <c r="FK24" i="2"/>
  <c r="FI24" i="2" s="1"/>
  <c r="DO24" i="2" s="1"/>
  <c r="FK17" i="2"/>
  <c r="FI17" i="2" s="1"/>
  <c r="DO17" i="2" s="1"/>
  <c r="FK25" i="2"/>
  <c r="FI25" i="2" s="1"/>
  <c r="DO25" i="2" s="1"/>
  <c r="FK18" i="2"/>
  <c r="FI18" i="2" s="1"/>
  <c r="DO18" i="2" s="1"/>
  <c r="FK26" i="2"/>
  <c r="FI26" i="2" s="1"/>
  <c r="DO26" i="2" s="1"/>
  <c r="DN13" i="2"/>
  <c r="FK20" i="2"/>
  <c r="FI20" i="2" s="1"/>
  <c r="DO20" i="2" s="1"/>
  <c r="DN23" i="2"/>
  <c r="DN11" i="2"/>
  <c r="FK21" i="2"/>
  <c r="FI21" i="2" s="1"/>
  <c r="DO21" i="2" s="1"/>
  <c r="FK22" i="2"/>
  <c r="FI22" i="2" s="1"/>
  <c r="DO22" i="2" s="1"/>
  <c r="DN19" i="2"/>
  <c r="DN27" i="2"/>
  <c r="FK14" i="2"/>
  <c r="FI14" i="2" s="1"/>
  <c r="DO14" i="2" s="1"/>
  <c r="DN14" i="2"/>
  <c r="FK15" i="2"/>
  <c r="FI15" i="2" s="1"/>
  <c r="DO15" i="2" s="1"/>
  <c r="DN15" i="2"/>
  <c r="CX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tc={E27CCF7D-6C9E-4794-8C9E-31E69D305B3D}</author>
  </authors>
  <commentList>
    <comment ref="AI13" authorId="0" shapeId="0" xr:uid="{E27CCF7D-6C9E-4794-8C9E-31E69D305B3D}">
      <text>
        <t xml:space="preserve">[Threaded comment]
Your version of Excel allows you to read this threaded comment; however, any edits to it will get removed if the file is opened in a newer version of Excel. Learn more: https://go.microsoft.com/fwlink/?linkid=870924
Comment:
    Year after due to licensing requirements. Need full occupancy permit. There is a lot of the municipal conditions that still need to be met. 
</t>
      </text>
    </comment>
  </commentList>
</comments>
</file>

<file path=xl/sharedStrings.xml><?xml version="1.0" encoding="utf-8"?>
<sst xmlns="http://schemas.openxmlformats.org/spreadsheetml/2006/main" count="2104" uniqueCount="634">
  <si>
    <t xml:space="preserve">Project Commitment </t>
  </si>
  <si>
    <t>Project ID</t>
  </si>
  <si>
    <t>Project Name</t>
  </si>
  <si>
    <t>No. de projet</t>
  </si>
  <si>
    <t>Nom du projet</t>
  </si>
  <si>
    <t>Output</t>
  </si>
  <si>
    <t>English</t>
  </si>
  <si>
    <t>French</t>
  </si>
  <si>
    <t xml:space="preserve">Label Out </t>
  </si>
  <si>
    <t>Label English</t>
  </si>
  <si>
    <t>Label French</t>
  </si>
  <si>
    <t>Project Info</t>
  </si>
  <si>
    <t xml:space="preserve">Key </t>
  </si>
  <si>
    <t xml:space="preserve">Identification du projet </t>
  </si>
  <si>
    <t xml:space="preserve">Project Name </t>
  </si>
  <si>
    <t>Phase 1 - Start</t>
  </si>
  <si>
    <t>Phase 1 - Début</t>
  </si>
  <si>
    <t xml:space="preserve">Phase 1 - End </t>
  </si>
  <si>
    <t>Phase 1 - Fin</t>
  </si>
  <si>
    <t>Phase 2 - Start</t>
  </si>
  <si>
    <t>Phase 2 - Début</t>
  </si>
  <si>
    <t>Phase 2 - End</t>
  </si>
  <si>
    <t>Phase 2 - Fin</t>
  </si>
  <si>
    <t>Phase 3 - Start</t>
  </si>
  <si>
    <t>Phase 3 - Début</t>
  </si>
  <si>
    <t xml:space="preserve">Phase 3 - End </t>
  </si>
  <si>
    <t>Phase 3 - Fin</t>
  </si>
  <si>
    <t>Phase 4 - Start</t>
  </si>
  <si>
    <t>Phase 4 - Début</t>
  </si>
  <si>
    <t>Phase 4 - End</t>
  </si>
  <si>
    <t>Phase 4 - Fin</t>
  </si>
  <si>
    <t>Phase Dates</t>
  </si>
  <si>
    <t xml:space="preserve">Dates de phase </t>
  </si>
  <si>
    <t>Key Milestones</t>
  </si>
  <si>
    <t>Étapes Clés</t>
  </si>
  <si>
    <t xml:space="preserve">Site Purchase </t>
  </si>
  <si>
    <t xml:space="preserve">Achat du site </t>
  </si>
  <si>
    <t xml:space="preserve">Space Template Finalized </t>
  </si>
  <si>
    <t>Gabarit des espaces finalisé</t>
  </si>
  <si>
    <t xml:space="preserve">Signed Joint Use Agreement </t>
  </si>
  <si>
    <t>80% Design</t>
  </si>
  <si>
    <t>Design à 80%</t>
  </si>
  <si>
    <t xml:space="preserve">Class A Cost Estimate </t>
  </si>
  <si>
    <t>Rapport du consultant en coûts de classe A</t>
  </si>
  <si>
    <t>Site Plan Approval</t>
  </si>
  <si>
    <t>Approbation du plan de site</t>
  </si>
  <si>
    <t>Build Permit Obtained</t>
  </si>
  <si>
    <t xml:space="preserve">Permis de construire obtenu </t>
  </si>
  <si>
    <t xml:space="preserve">Tender Issued </t>
  </si>
  <si>
    <t>Projet soumissionné</t>
  </si>
  <si>
    <t>Construction Start</t>
  </si>
  <si>
    <t>Début de la construction</t>
  </si>
  <si>
    <t xml:space="preserve">School/Addition Opening </t>
  </si>
  <si>
    <t xml:space="preserve">école/ajout ouverte </t>
  </si>
  <si>
    <t>Project Reconciliation</t>
  </si>
  <si>
    <t>Réconciliation du projet</t>
  </si>
  <si>
    <t>Funding Requested</t>
  </si>
  <si>
    <t>Financement demandé</t>
  </si>
  <si>
    <t>Cost of Project (Excluding Site)</t>
  </si>
  <si>
    <t>Coût du projet (Excluant coût du site)</t>
  </si>
  <si>
    <t>Total Cost of Project (Including Site)</t>
  </si>
  <si>
    <t>Coût total</t>
  </si>
  <si>
    <t xml:space="preserve">Total CP Request </t>
  </si>
  <si>
    <t xml:space="preserve">Total Child Care Request </t>
  </si>
  <si>
    <t>Phase</t>
  </si>
  <si>
    <t>Addition</t>
  </si>
  <si>
    <t xml:space="preserve">Project ID </t>
  </si>
  <si>
    <t>Project Type</t>
  </si>
  <si>
    <t xml:space="preserve">Construction Status </t>
  </si>
  <si>
    <t>Address</t>
  </si>
  <si>
    <t xml:space="preserve">City </t>
  </si>
  <si>
    <t xml:space="preserve">Project Type </t>
  </si>
  <si>
    <t xml:space="preserve">Project Category </t>
  </si>
  <si>
    <t xml:space="preserve">Planning </t>
  </si>
  <si>
    <t xml:space="preserve">Tender Closed </t>
  </si>
  <si>
    <t>Construction</t>
  </si>
  <si>
    <t>Section 2: Square Footage Specification</t>
  </si>
  <si>
    <t>Anticipate Design Change?</t>
  </si>
  <si>
    <t>Square Footage of New Construction</t>
  </si>
  <si>
    <t>Square Footage of Demolition</t>
  </si>
  <si>
    <t>Square Footage of EarlyOn</t>
  </si>
  <si>
    <t>Space Template Approval Date</t>
  </si>
  <si>
    <t xml:space="preserve">Design Status </t>
  </si>
  <si>
    <t xml:space="preserve">Child Care Floorplan Approval - Date </t>
  </si>
  <si>
    <t>Section 4: Phase 2 - Tender</t>
  </si>
  <si>
    <t>Build Permit Obtained Date</t>
  </si>
  <si>
    <t xml:space="preserve">Tender Issued Date </t>
  </si>
  <si>
    <t>Tender Closed Date</t>
  </si>
  <si>
    <t>% Construction Progress</t>
  </si>
  <si>
    <t>Substantial Completion Date</t>
  </si>
  <si>
    <t>Section 6: Phase 4 - Project Completion</t>
  </si>
  <si>
    <t xml:space="preserve">School Opening Date </t>
  </si>
  <si>
    <t xml:space="preserve">Section 7: Approved Project Funding </t>
  </si>
  <si>
    <t xml:space="preserve">Section 8: Projected Construction Cost </t>
  </si>
  <si>
    <t xml:space="preserve">Basis of Cost Estimate </t>
  </si>
  <si>
    <t xml:space="preserve">Signage </t>
  </si>
  <si>
    <t xml:space="preserve">Name </t>
  </si>
  <si>
    <t xml:space="preserve">Title </t>
  </si>
  <si>
    <t xml:space="preserve">Email </t>
  </si>
  <si>
    <t xml:space="preserve">Phone </t>
  </si>
  <si>
    <t>Monthly Project Updates</t>
  </si>
  <si>
    <t>Min Cost of Risk ($M)</t>
  </si>
  <si>
    <t>Max Cost of Risk ($M)</t>
  </si>
  <si>
    <t>Min Delay of Risk (Months)</t>
  </si>
  <si>
    <t>Max Delay of Risk (Months)</t>
  </si>
  <si>
    <t>Type de projet</t>
  </si>
  <si>
    <t xml:space="preserve">Catégorie de projet </t>
  </si>
  <si>
    <t>IP</t>
  </si>
  <si>
    <t>Service de garde</t>
  </si>
  <si>
    <t>Autre</t>
  </si>
  <si>
    <t>Base de l'estimation des coûts</t>
  </si>
  <si>
    <t>Coûts du site</t>
  </si>
  <si>
    <t>Site Purchased</t>
  </si>
  <si>
    <t xml:space="preserve">New </t>
  </si>
  <si>
    <t>30%-80% Complete</t>
  </si>
  <si>
    <t xml:space="preserve">EDC </t>
  </si>
  <si>
    <t xml:space="preserve">Delay </t>
  </si>
  <si>
    <t xml:space="preserve">Mitigate </t>
  </si>
  <si>
    <t>Remove from tracker (Cancelled)</t>
  </si>
  <si>
    <t>Repeat</t>
  </si>
  <si>
    <t>&gt;80% Complete</t>
  </si>
  <si>
    <t xml:space="preserve">Ad Hoc </t>
  </si>
  <si>
    <t>Remove from tracker (Complete)</t>
  </si>
  <si>
    <t>&lt;30% Complete</t>
  </si>
  <si>
    <t>In Progress</t>
  </si>
  <si>
    <t xml:space="preserve">EDU Catalogue </t>
  </si>
  <si>
    <t xml:space="preserve">Monthly Update Sheet </t>
  </si>
  <si>
    <t>Meeting Date</t>
  </si>
  <si>
    <t>Section 1: Project Details</t>
  </si>
  <si>
    <t>Détails associés aux projets</t>
  </si>
  <si>
    <t>Postal Code</t>
  </si>
  <si>
    <t>Approval Period</t>
  </si>
  <si>
    <t>Project Status</t>
  </si>
  <si>
    <t>Construction Status</t>
  </si>
  <si>
    <t>Square Footage of Renovaton/Retrofit</t>
  </si>
  <si>
    <t>Square Footage of New Child Care</t>
  </si>
  <si>
    <t xml:space="preserve">Square Footage of Community Space </t>
  </si>
  <si>
    <t xml:space="preserve">Section 3: Phase 1 - Pre-Tender </t>
  </si>
  <si>
    <t>Site Ownership Status</t>
  </si>
  <si>
    <t>Site Purchase Date</t>
  </si>
  <si>
    <t xml:space="preserve">Space Template Approval Date </t>
  </si>
  <si>
    <t xml:space="preserve">Type of Design Used </t>
  </si>
  <si>
    <t xml:space="preserve">Class A/B Cost Estimate -Date </t>
  </si>
  <si>
    <t xml:space="preserve">Site, Design and Child Care Related Comments: Include details of scope change if applicable </t>
  </si>
  <si>
    <t>Tender Closed</t>
  </si>
  <si>
    <t>Site Plan Submission Date</t>
  </si>
  <si>
    <t>Site Plan Approval Date</t>
  </si>
  <si>
    <t>Section 5: Phase 3 - Construction</t>
  </si>
  <si>
    <t>Construction Start - Date</t>
  </si>
  <si>
    <t>Substantial Completion</t>
  </si>
  <si>
    <t>Child Care Opening Date</t>
  </si>
  <si>
    <t xml:space="preserve"> Financement approuvé du projet</t>
  </si>
  <si>
    <t>LP/EDC</t>
  </si>
  <si>
    <t>CP</t>
  </si>
  <si>
    <t>CC</t>
  </si>
  <si>
    <t xml:space="preserve">Other </t>
  </si>
  <si>
    <t xml:space="preserve">Total Approved Funding </t>
  </si>
  <si>
    <t>Coût prévu du projet</t>
  </si>
  <si>
    <t>Land Cost</t>
  </si>
  <si>
    <t>Building Cost - School</t>
  </si>
  <si>
    <t>Soft Costs - School</t>
  </si>
  <si>
    <t xml:space="preserve">Building Cost - Child Care </t>
  </si>
  <si>
    <t xml:space="preserve">Soft Costs -Child Care </t>
  </si>
  <si>
    <t>Unique Site Costs - School</t>
  </si>
  <si>
    <t xml:space="preserve">Unique Site Costs - Child Care </t>
  </si>
  <si>
    <t xml:space="preserve">Unique Site Costs - Other </t>
  </si>
  <si>
    <t>Municipal/Extraordinary Cost - School</t>
  </si>
  <si>
    <t>Municipal/Extraordinary Cost - Child Care</t>
  </si>
  <si>
    <t>Municipal/Extraordinary Cost - Other</t>
  </si>
  <si>
    <t xml:space="preserve">Total </t>
  </si>
  <si>
    <t>Variance</t>
  </si>
  <si>
    <t>Revised Funding Request</t>
  </si>
  <si>
    <t>Section 9: Communications Protocol</t>
  </si>
  <si>
    <t>Opening Ceremony - Date</t>
  </si>
  <si>
    <t xml:space="preserve">Section 10: General Comments </t>
  </si>
  <si>
    <t>Commentaires</t>
  </si>
  <si>
    <t xml:space="preserve">Section 10: Project Risks and Mitigation Stategies </t>
  </si>
  <si>
    <t>Risk Type</t>
  </si>
  <si>
    <t>Risk Rating</t>
  </si>
  <si>
    <t>Risk Exposure Start Date</t>
  </si>
  <si>
    <t>Min-Max Cost of Risk ($M)</t>
  </si>
  <si>
    <t>Min-Max Delay of Risk (Months)</t>
  </si>
  <si>
    <t>Mitigation Stategies/Comments</t>
  </si>
  <si>
    <t>CA Comments</t>
  </si>
  <si>
    <t>Contract Awarded</t>
  </si>
  <si>
    <t xml:space="preserve">Site Preparation Cost </t>
  </si>
  <si>
    <t xml:space="preserve">Site Funding Source </t>
  </si>
  <si>
    <t>Site Prep/Mobilization</t>
  </si>
  <si>
    <t xml:space="preserve">Building Cost - Other </t>
  </si>
  <si>
    <r>
      <t xml:space="preserve">ALL ESTIMATED DATES = UNBOLDED  
ALL ACTUAL DATES = </t>
    </r>
    <r>
      <rPr>
        <b/>
        <sz val="18"/>
        <rFont val="Arial Nova Cond Light"/>
        <family val="2"/>
      </rPr>
      <t xml:space="preserve">BOLDED </t>
    </r>
  </si>
  <si>
    <t>Ad-hoc &amp; Potential Projects</t>
  </si>
  <si>
    <t xml:space="preserve">Timing </t>
  </si>
  <si>
    <t xml:space="preserve">Cost </t>
  </si>
  <si>
    <t xml:space="preserve">Funding Source </t>
  </si>
  <si>
    <t>Accommodation Pressure</t>
  </si>
  <si>
    <t xml:space="preserve">Land </t>
  </si>
  <si>
    <t xml:space="preserve"> </t>
  </si>
  <si>
    <t>Demolition</t>
  </si>
  <si>
    <t>School Consolidation</t>
  </si>
  <si>
    <t xml:space="preserve">Purchase </t>
  </si>
  <si>
    <t>New School</t>
  </si>
  <si>
    <t>Other</t>
  </si>
  <si>
    <t xml:space="preserve">Parent ID </t>
  </si>
  <si>
    <t xml:space="preserve">Submission Type </t>
  </si>
  <si>
    <t>Year Open</t>
  </si>
  <si>
    <t>Comments</t>
  </si>
  <si>
    <t>LP</t>
  </si>
  <si>
    <t>Not Applicable</t>
  </si>
  <si>
    <t>Design Status</t>
  </si>
  <si>
    <t xml:space="preserve">Actual/Estimated </t>
  </si>
  <si>
    <t xml:space="preserve">Language </t>
  </si>
  <si>
    <t>Yes / No</t>
  </si>
  <si>
    <t>Cost Basis</t>
  </si>
  <si>
    <t>Design</t>
  </si>
  <si>
    <t>Site Plan</t>
  </si>
  <si>
    <t>Actual</t>
  </si>
  <si>
    <t>No Site Identified</t>
  </si>
  <si>
    <t>Estimate</t>
  </si>
  <si>
    <t xml:space="preserve">Pre-Procurement </t>
  </si>
  <si>
    <t>Site Identified Only</t>
  </si>
  <si>
    <t>Facility Condition</t>
  </si>
  <si>
    <t>Tender Issuance</t>
  </si>
  <si>
    <t>Site Under Option Agreement</t>
  </si>
  <si>
    <t>French Language Access</t>
  </si>
  <si>
    <t>Renovation</t>
  </si>
  <si>
    <t>Disposition</t>
  </si>
  <si>
    <t>Site Preparation</t>
  </si>
  <si>
    <t>Completion</t>
  </si>
  <si>
    <t>Cost Reconciliation</t>
  </si>
  <si>
    <t>Phase (List)</t>
  </si>
  <si>
    <t>Project Risks</t>
  </si>
  <si>
    <t xml:space="preserve">Risk Rating </t>
  </si>
  <si>
    <t>Mitigation Strategies</t>
  </si>
  <si>
    <t xml:space="preserve">Low </t>
  </si>
  <si>
    <t>Accept</t>
  </si>
  <si>
    <t>Medium</t>
  </si>
  <si>
    <t>Delay/Cost</t>
  </si>
  <si>
    <t>High</t>
  </si>
  <si>
    <t xml:space="preserve">Transfer </t>
  </si>
  <si>
    <t xml:space="preserve">Avoid </t>
  </si>
  <si>
    <t>Market Risk</t>
  </si>
  <si>
    <t>Governance Risk</t>
  </si>
  <si>
    <t>Organization/Project Management Risk</t>
  </si>
  <si>
    <t>Design Risk</t>
  </si>
  <si>
    <t>Procurement/Tender Risk</t>
  </si>
  <si>
    <t>Site Readiness/Enabling Works</t>
  </si>
  <si>
    <t>Permit, Licenses and Approvals</t>
  </si>
  <si>
    <t>Type of Design</t>
  </si>
  <si>
    <t xml:space="preserve">Construction Risk </t>
  </si>
  <si>
    <t xml:space="preserve">Testing and Commissioning </t>
  </si>
  <si>
    <t xml:space="preserve">Repeat </t>
  </si>
  <si>
    <t xml:space="preserve">Catalogue </t>
  </si>
  <si>
    <t>Longitude</t>
  </si>
  <si>
    <t>Sign Installed</t>
  </si>
  <si>
    <t>Funding - Site Acquisition</t>
  </si>
  <si>
    <t>Funding - Demolition</t>
  </si>
  <si>
    <t>Funding - All Other Associated Projects</t>
  </si>
  <si>
    <t>Estimated Cost - Land</t>
  </si>
  <si>
    <t>Estimated Cost - Demolition</t>
  </si>
  <si>
    <t>Estimated Cost - All Other Associated Projects</t>
  </si>
  <si>
    <t>Official School Name</t>
  </si>
  <si>
    <t>Record Status</t>
  </si>
  <si>
    <t>Estimated Cost - Construction Project</t>
  </si>
  <si>
    <t>Funding - Construction Project</t>
  </si>
  <si>
    <t>Meeting Minutes</t>
  </si>
  <si>
    <t>monthly_v2.0</t>
  </si>
  <si>
    <t>Funding - All Associated Projects</t>
  </si>
  <si>
    <t>Site Purchased Prior to Capital Approval</t>
  </si>
  <si>
    <t>Space Template Approved</t>
  </si>
  <si>
    <t>Site Plan Approved</t>
  </si>
  <si>
    <t>Pre-Tender Checkin</t>
  </si>
  <si>
    <t>Tender Approved</t>
  </si>
  <si>
    <t>Post-Tender Checkin</t>
  </si>
  <si>
    <t>Financial Close</t>
  </si>
  <si>
    <t>Latitude</t>
  </si>
  <si>
    <t>Senior Buisness Official</t>
  </si>
  <si>
    <t>Primary Contact</t>
  </si>
  <si>
    <t>School Board Contact List</t>
  </si>
  <si>
    <t>Director of Education</t>
  </si>
  <si>
    <t>Finance Contact</t>
  </si>
  <si>
    <t>Construction/Project Management Contact</t>
  </si>
  <si>
    <t>99-123</t>
  </si>
  <si>
    <t>Example Project</t>
  </si>
  <si>
    <t>*((table_end*((meeting_minutes_heading</t>
  </si>
  <si>
    <t>Constants</t>
  </si>
  <si>
    <t>Orange Date</t>
  </si>
  <si>
    <t>Red Date</t>
  </si>
  <si>
    <t>Basic Project Information</t>
  </si>
  <si>
    <t>cc_amount</t>
  </si>
  <si>
    <t>Role</t>
  </si>
  <si>
    <t>Project Commitments</t>
  </si>
  <si>
    <t>General Meeting Minutes:</t>
  </si>
  <si>
    <t>Historical General Meeting Minutes
-------------&gt;</t>
  </si>
  <si>
    <t>Section 2: Project Commitment Progress</t>
  </si>
  <si>
    <t>Pre-Tender Package Complete</t>
  </si>
  <si>
    <t>CA Reviewed All Pre-Tender Documents</t>
  </si>
  <si>
    <t>Post-Tender Package Complete</t>
  </si>
  <si>
    <t>CA Reviewed All Post-Tender Documents</t>
  </si>
  <si>
    <t>Col 9</t>
  </si>
  <si>
    <t>Col 11</t>
  </si>
  <si>
    <t>Col 12</t>
  </si>
  <si>
    <t>Site Plan Approval Date Error Explanation</t>
  </si>
  <si>
    <t>Pre-Tender Submission Date</t>
  </si>
  <si>
    <t>Post-Tender Submission Date</t>
  </si>
  <si>
    <t>Pre-Tender Package Type</t>
  </si>
  <si>
    <t>Package Type</t>
  </si>
  <si>
    <t>Within Budget</t>
  </si>
  <si>
    <t>Additional Funding Required</t>
  </si>
  <si>
    <t>Not Yet Known</t>
  </si>
  <si>
    <t>Post-Tender Package Type</t>
  </si>
  <si>
    <t xml:space="preserve">Child Care Floorplan Approval Date </t>
  </si>
  <si>
    <t>Error Messages</t>
  </si>
  <si>
    <t>Contract Awarded Date</t>
  </si>
  <si>
    <t>Construction Start Date</t>
  </si>
  <si>
    <t>Col 1</t>
  </si>
  <si>
    <t>Col 2</t>
  </si>
  <si>
    <t>Col 3</t>
  </si>
  <si>
    <t>Col 4</t>
  </si>
  <si>
    <t>Col 5</t>
  </si>
  <si>
    <t>Col 6</t>
  </si>
  <si>
    <t>Col 7</t>
  </si>
  <si>
    <t>Col 8</t>
  </si>
  <si>
    <t>Col 10</t>
  </si>
  <si>
    <t>Col 13</t>
  </si>
  <si>
    <t>Col 14</t>
  </si>
  <si>
    <t>Col 15</t>
  </si>
  <si>
    <t>Col 16</t>
  </si>
  <si>
    <t>Col 17</t>
  </si>
  <si>
    <t>Col 18</t>
  </si>
  <si>
    <t>Col 19</t>
  </si>
  <si>
    <t>Col 20</t>
  </si>
  <si>
    <t>Col 21</t>
  </si>
  <si>
    <t>Col 22</t>
  </si>
  <si>
    <t>Col 23</t>
  </si>
  <si>
    <t>Col 24</t>
  </si>
  <si>
    <t>Col 25</t>
  </si>
  <si>
    <t>Col 26</t>
  </si>
  <si>
    <t>Col 27</t>
  </si>
  <si>
    <t>Col 28</t>
  </si>
  <si>
    <t>Col 29</t>
  </si>
  <si>
    <t>Col 30</t>
  </si>
  <si>
    <t>Col 31</t>
  </si>
  <si>
    <t>Col 32</t>
  </si>
  <si>
    <t>Col 33</t>
  </si>
  <si>
    <t>Col 34</t>
  </si>
  <si>
    <t>Col 35</t>
  </si>
  <si>
    <t>Col 36</t>
  </si>
  <si>
    <t>Col 37</t>
  </si>
  <si>
    <t>Col 38</t>
  </si>
  <si>
    <t>Col 39</t>
  </si>
  <si>
    <t>Col 40</t>
  </si>
  <si>
    <t>Col 41</t>
  </si>
  <si>
    <t>Col 42</t>
  </si>
  <si>
    <t>Col 43</t>
  </si>
  <si>
    <t>Col 44</t>
  </si>
  <si>
    <t>Col 45</t>
  </si>
  <si>
    <t>Col 46</t>
  </si>
  <si>
    <t>Col 47</t>
  </si>
  <si>
    <t xml:space="preserve">Automatically generated and uneditable. </t>
  </si>
  <si>
    <t>Enter details about each project based on conversations with the school board.</t>
  </si>
  <si>
    <t>Automatically generated and uneditable. This field is calculated based on the dates provided to the right in this sheet. If the meeting date is after the opening date, the construction status is "Open"; if the meeting date is after the construction date, the status is "Under Construction". Otherwise the project status is "Planning".</t>
  </si>
  <si>
    <t>Use this dropdown to indicate whether the pretender budget is within existing funding or requires additional ministry funds.</t>
  </si>
  <si>
    <t>Use this dropdown to indicate whether the post-tender budget is within existing funding or requires additional ministry funds.</t>
  </si>
  <si>
    <t>This is a manual confirmation that the CA has completed their review of the post-tender package.</t>
  </si>
  <si>
    <t>This is a manual confirmation that the CA has completed their review of the pre-tender package.</t>
  </si>
  <si>
    <t>Use this dropdown to indicate the site status. Only use "Not Applicable" if the project is an addition/retrofit and does not require a site purchase.</t>
  </si>
  <si>
    <t>Use this dropdown to identify the progress on the project's designs.</t>
  </si>
  <si>
    <t>Financial Close-Out Date</t>
  </si>
  <si>
    <t>This field must be a date value. Provide the expected/actual site plan submission date.</t>
  </si>
  <si>
    <t>This field must be a date value. Provide the expected/actual initial site plan submission date.</t>
  </si>
  <si>
    <t>This field must be a date value. Enter the expected/actual date the board received a building permit for this project.</t>
  </si>
  <si>
    <t>This field must be a date value. Enter the expected/actual date the board opened the tender process.</t>
  </si>
  <si>
    <t>This field must be a date value. Enter the expected/actual date the board closed the tender process.</t>
  </si>
  <si>
    <t>Enter the estimated/actual cost of any land purchase associated with this project. Leave it blank if no land is needed for this project.</t>
  </si>
  <si>
    <t>Use this only if the project will be associated with a separate project ID assigned to a demolition project. This would only happen if the board is demolishing an entire building as part of the project.</t>
  </si>
  <si>
    <t>Automatically generated and uneditable. Project types potentially included in this tracker are: New Construction, Retrofit, Addition, and Purchase.</t>
  </si>
  <si>
    <t>Automatically generated and uneditable. This field identifies the need that is met by the project. Potential project categories that could be included on this tracker are: Accommodation Pressure, Child Care, Facility Condition, Consolidation, and French Language Access.</t>
  </si>
  <si>
    <t>This field must be a date value or blank. Indicate when the board will gain/gained ownership of the site or leave it blank if Site Ownership Status is "Not Applicable".</t>
  </si>
  <si>
    <t>This field must be a date value. Indicate expected/actual date of the space template approval.</t>
  </si>
  <si>
    <t>This field must be a date value or blank. Indicate the expected/actual date of the child care floorplan approval. Leave blank only if the project does not include child care.</t>
  </si>
  <si>
    <t>Initial Site Plan Submission Date</t>
  </si>
  <si>
    <r>
      <t xml:space="preserve">This is the estimated/actual </t>
    </r>
    <r>
      <rPr>
        <b/>
        <sz val="11"/>
        <color theme="1"/>
        <rFont val="Calibri"/>
        <family val="2"/>
        <scheme val="minor"/>
      </rPr>
      <t>submission date</t>
    </r>
    <r>
      <rPr>
        <sz val="11"/>
        <color theme="1"/>
        <rFont val="Calibri"/>
        <family val="2"/>
        <scheme val="minor"/>
      </rPr>
      <t xml:space="preserve"> for the pre-tender budget. This field must be a date value.</t>
    </r>
  </si>
  <si>
    <r>
      <t xml:space="preserve">This is the estimated/actual </t>
    </r>
    <r>
      <rPr>
        <b/>
        <sz val="11"/>
        <color theme="1"/>
        <rFont val="Calibri"/>
        <family val="2"/>
        <scheme val="minor"/>
      </rPr>
      <t>submission date</t>
    </r>
    <r>
      <rPr>
        <sz val="11"/>
        <color theme="1"/>
        <rFont val="Calibri"/>
        <family val="2"/>
        <scheme val="minor"/>
      </rPr>
      <t xml:space="preserve"> for the post-tender budget. This field must be a date value.</t>
    </r>
  </si>
  <si>
    <t xml:space="preserve">Section 3: Pre-Tender </t>
  </si>
  <si>
    <t>Purpose</t>
  </si>
  <si>
    <t>Board Contacts</t>
  </si>
  <si>
    <t>Monthly Update</t>
  </si>
  <si>
    <t>Basic Project Info</t>
  </si>
  <si>
    <t>Ad-Hoc or Potential Projects</t>
  </si>
  <si>
    <t>Project Commitment</t>
  </si>
  <si>
    <t>Section 4: Construction</t>
  </si>
  <si>
    <t>Section 5: Project Completion</t>
  </si>
  <si>
    <t>Section 6: Approved Project Funding</t>
  </si>
  <si>
    <t xml:space="preserve">Section 7: Projected Cost </t>
  </si>
  <si>
    <t>Section 8: Historical Meeting Minutes</t>
  </si>
  <si>
    <t>Section 2: Communications Issues</t>
  </si>
  <si>
    <t>Use this worksheet to enter data about potential projects that have not yet been approved or about ad-hoc, minor projects that don't show up on the Monthly Tracker sheet.</t>
  </si>
  <si>
    <t>Instructions</t>
  </si>
  <si>
    <t>During Meetings with the Board</t>
  </si>
  <si>
    <t>As Needed</t>
  </si>
  <si>
    <t>General Information &amp; Error Checking</t>
  </si>
  <si>
    <t>Overview of the Worksheets within the Project Tracker</t>
  </si>
  <si>
    <t>Within-Budget Acknowledgement Process</t>
  </si>
  <si>
    <t>Analyst Checks</t>
  </si>
  <si>
    <t>Record Keeping</t>
  </si>
  <si>
    <t>Project Tracker - Instructions</t>
  </si>
  <si>
    <t>This field must be a date value. Enter the expected/actual date the board awards the contract to the successful bid.</t>
  </si>
  <si>
    <t>Enter the postal code of the school. If the it's not yet known, leave it blank.</t>
  </si>
  <si>
    <t>Enter the address for the school. If it's not yet known, leave it blank.</t>
  </si>
  <si>
    <t>Enter the longitude of the school. This information should be updated once the site has been purchased.</t>
  </si>
  <si>
    <t>Enter the latitude of the school. This information should be updated once the site has been purchased.</t>
  </si>
  <si>
    <t>Indicate whether the board has installed a sign on the project site.</t>
  </si>
  <si>
    <t>Yes</t>
  </si>
  <si>
    <t>No</t>
  </si>
  <si>
    <t>No Site Purchased</t>
  </si>
  <si>
    <t>The Project Tracker is a tool for capital analysts to capture information about each board's projects. This data provides a line of sight into project progress and details that is critical to both analysts, other folks within the branch, and management. The data gathered here facilitates project accountability and oversight of project milestones and finances.</t>
  </si>
  <si>
    <t>When analysts meet with their board to discuss projects, you should use this tool to guide your meetings and capture information. Make sure you update the meeting date on the Monthly Tracker worksheet. You'll notice that this sheet has conditional formatting that greys out the sheet when the meeting date is not set to the current day. This is done so you have a visual reminder to update this date before you talk with your boards.
Taking comprehensive minutes is especially important part of your meetings with the boards. The template provides space for you to enter project-specific minutes, as well as a section for minuting any more general information discussed that might not fall under one specific project. The data is scraped regularly and then the template is regenerated with updated information. During this process, minutes are archived and relocated to the far-left side of the template (column BD), sorted with the most recent minutes closest to the left.</t>
  </si>
  <si>
    <t>If you need to update information at any time other than during a meeting with the board, you are free to do so and the revised information will be captured the next time the data team extracts data from worksheet. Do NOT change the meeting date during any such ad-hoc updates. You should only change the meeting dates when you actually meet with the school board.</t>
  </si>
  <si>
    <t>As mentioned above, the Monthly Update worksheet contains conditional formatting that incentivizes you not to forget to enter a meeting date when you talk with the school board. You will notice that once the meeting date is has passed (i.e., it is something other than the current date), the whole sheet goes grey. This provides a visual cue for you to update the date prior to meeting with your board.
The sheet also contains some automatic error checking. Cells contain errors when they are highlighted in purple. To determine the reason for the error, scroll over to columns CY to ES. This section contains the same columns as the main table; cells in this table will only contains text if there is an error. That text will describe the cause of the error in the corresponding cell in the main table.</t>
  </si>
  <si>
    <t>Confirm that the board has submitted all necessary documentation:
•Class A/B cost estimate
•Revised CPBF form that reflects the Class A/B cost estimate.
•80% design drawings that align with the cost estimate and approved space template.
•Child care floor plan approval letter (if applicable).
Ensure that all documents are saved in the appropriate folder on the Share Drive.
Once you have checked and confirmed all documents, send an email to the board acknowledging receipt of the pre/post tender package.</t>
  </si>
  <si>
    <t>Use this worksheet to enter the contact information for your boards. This is a central location for Capital Analysts to store this information, as well as a place where management and other analysts can go if they need this information. This is important to support coverage for analysts who are absent.</t>
  </si>
  <si>
    <t>Use this tab to memorialize meetings with the school boards. See instructions above and glossary below for more information.</t>
  </si>
  <si>
    <t>This sheet is for your reference only. It is not editable. It provides information about the current project commitment for the projects for this board.</t>
  </si>
  <si>
    <t>Glossary - Monthly Update Tab</t>
  </si>
  <si>
    <t>Glossary - Basic Project Info Tab</t>
  </si>
  <si>
    <t>Automatically generated and uneditable. This is the name assigned to the project when it is first approved. It cannot be changed and is constant throughout the project's lifecycle.</t>
  </si>
  <si>
    <t>Use this field to enter the city/town where the project is located. This should be known at the time of project approval and be pre-populated on the template. Therefore, this field can be left unedited except for very rare circumstances.</t>
  </si>
  <si>
    <t>This drop-down determines which projects will be removed from your trackers. If you want to remove a project, you must identify whether it has been completed or cancelled. The default is for projects to remain on the tracker. When projects are removed from the tracker, it triggers an email notification to your manager and director.</t>
  </si>
  <si>
    <t>This field must be a date value. Enter the expected/actual date that construction work will actually begin on the school site. This date must follow all tender dates and the contract awarded date.</t>
  </si>
  <si>
    <t>Use the drop-down to indicate how the board determined the cost estimate.</t>
  </si>
  <si>
    <t>Enter the board's estimate of the total cost of the construction project. This includes the cost of the school portion, child care portion, site costs, and any other portion not captured in columns 45 to 47</t>
  </si>
  <si>
    <t>Use this only in the rare circumstance where there is/will be any other project ID(s) associated with this project.</t>
  </si>
  <si>
    <t>Project Tracker Glossary</t>
  </si>
  <si>
    <t>Use this worksheet to enter the official school name, the school's location information, sign installation information, and the opening ceremony date. See below for a glossary, defining what should be entered in each column.</t>
  </si>
  <si>
    <t>Use this field to update the official school name that will be used after the school is open. Please use the complete name and do not use abbreviations (e.g. use "Example Public School" instead of "Example" or "Example P.S.". If this project is an addition, this field can be completed as soon as the project is approved.</t>
  </si>
  <si>
    <t>Use this once the project approaches completion if the board plans an opening ceremony. Otherwise, leave this blank.</t>
  </si>
  <si>
    <t>Automatically generated and uneditable. Each project is assigned a unique ID for tracking throughout its lifecycle. The ID displayed here is the ID for the construction portion of the project.</t>
  </si>
  <si>
    <t>Automatically generated and uneditable. This is the name assigned to the project when it is first approved. It cannot be changed and is constant throughout the project's lifecycle. The official name of the school can be modified on the Basic Project Info tab.</t>
  </si>
  <si>
    <t>Automatically generated and uneditable. This indicates whether we have a record of the pre-tender budget in our data system and, if so, the date of the approval (for packages approved by the minister) or notification (for within-budget acknowledgments).</t>
  </si>
  <si>
    <t>Automatically generated and uneditable. This indicates whether we have a record of the post-tender budget in our data system and, if so, the date of the approval (for packages approved by the minister) or notification (for within-budget acknowledgments).</t>
  </si>
  <si>
    <t>This field must be a date value. Enter the expected/actual date the project will be substantially complete - that is, the project is complete up to the point that it can be utilized for its intended purpose. Under all but very rare circumstances this date will precede the opening date.</t>
  </si>
  <si>
    <t>This field must be a date value. Enter the expected/actual date the school portion of the project will be open (i.e., the date when kids will be in new seats).</t>
  </si>
  <si>
    <t>This field must be a date value or blank. Enter the expected/actual date the child care portion of the project will be open (when will the center be taking care of children?). This must be completed unless the project does not include child care.</t>
  </si>
  <si>
    <t>This field must be a date value. Enter the expected/actual date of financial close out for the project. At this point, all construction is complete, all deficiencies have been addressed and the financial close-out form has been submitted for final budget/cost reconciliation. This is generally 12-18 months after the opening date.</t>
  </si>
  <si>
    <t>Create a folder in the following directory:
\\csc.ad.gov.on.ca\dfs$\GrpData\CBSD\CAPITAL\STRATEGY\Operations\BOARDS\^Project Commitment\Pre &amp; Post Tender Check-In
•The folder should be named using the following naming format:
project id # YYYY-MM-DD
Example: 12-123 # 2025-12-30
•The date in the folder name should be the date of the email acknowledging receipt of the documents and confirming the board can proceed.
•Save the following in the folder you created above:
     o The CPBF form that reflects the pre-tender/post-tender budget.
     o The email to the school board (sent within 7 days of the board’s submission) confirming all documents have been submitted and that the ministry has no concerns with the board proceeding to tender/awarding the contract.</t>
  </si>
  <si>
    <t>Based on estimate of $/sq ft</t>
  </si>
  <si>
    <t>Based on repeat design</t>
  </si>
  <si>
    <t>Based on Class C or lower Cost Report</t>
  </si>
  <si>
    <t>Based on Class A or B Cost Report</t>
  </si>
  <si>
    <t>Based on Tender Results</t>
  </si>
  <si>
    <t/>
  </si>
  <si>
    <t>40-010-01</t>
  </si>
  <si>
    <t>Blessed Cardinal Newman Catholic Secondary School</t>
  </si>
  <si>
    <t>New Construction</t>
  </si>
  <si>
    <t>100 BRIMLEY RD S</t>
  </si>
  <si>
    <t>SCARBOROUGH</t>
  </si>
  <si>
    <t>M1M3X4</t>
  </si>
  <si>
    <t>40-017</t>
  </si>
  <si>
    <t>Dante Alighieri Catholic Secondary School</t>
  </si>
  <si>
    <t>60 PLAYFAIR AVE</t>
  </si>
  <si>
    <t>NORTH YORK</t>
  </si>
  <si>
    <t>M6B2P9</t>
  </si>
  <si>
    <t>40-076-01</t>
  </si>
  <si>
    <t>St. Fidelis Catholic Elementary School</t>
  </si>
  <si>
    <t>155 FALSTAFF AVE</t>
  </si>
  <si>
    <t>M6L2E5</t>
  </si>
  <si>
    <t>40-109-01</t>
  </si>
  <si>
    <t>St. Raymond Catholic Elementary School</t>
  </si>
  <si>
    <t>Consolidation</t>
  </si>
  <si>
    <t>270 BARTON AVE</t>
  </si>
  <si>
    <t>TORONTO</t>
  </si>
  <si>
    <t>M6G1R4</t>
  </si>
  <si>
    <t>40-127</t>
  </si>
  <si>
    <t>St. Antoine Daniel Catholic Elementary School</t>
  </si>
  <si>
    <t>160 FINCH AVE W</t>
  </si>
  <si>
    <t>M2N2J2</t>
  </si>
  <si>
    <t>40-128</t>
  </si>
  <si>
    <t>Regina Mundi Catholic Elementary School</t>
  </si>
  <si>
    <t>Retrofit</t>
  </si>
  <si>
    <t>Condition</t>
  </si>
  <si>
    <t>70 PLAYFAIR AVE</t>
  </si>
  <si>
    <t>40-151</t>
  </si>
  <si>
    <t>St. Michael's Choir Catholic Elementary School</t>
  </si>
  <si>
    <t>40-152</t>
  </si>
  <si>
    <t>Holy Angels Catholic Elementary School</t>
  </si>
  <si>
    <t>65 JUTLAND RD</t>
  </si>
  <si>
    <t>ETOBICOKE</t>
  </si>
  <si>
    <t>M8Z2G6</t>
  </si>
  <si>
    <t>40-153</t>
  </si>
  <si>
    <t>St. Matthias Catholic Elementary School</t>
  </si>
  <si>
    <t>101 VAN HORNE AVE</t>
  </si>
  <si>
    <t>M2J2S8</t>
  </si>
  <si>
    <t>40-154</t>
  </si>
  <si>
    <t>St. Margaret Catholic Elementary School</t>
  </si>
  <si>
    <t>85 CARMICHAEL AVE</t>
  </si>
  <si>
    <t>M5M2X1</t>
  </si>
  <si>
    <t>40-156</t>
  </si>
  <si>
    <t>Baycrest Catholic Elementary School</t>
  </si>
  <si>
    <t>145 BAYCREST AVE</t>
  </si>
  <si>
    <t>M6A1W4</t>
  </si>
  <si>
    <t>40-157</t>
  </si>
  <si>
    <t>Buttonwood Catholic Elementary School</t>
  </si>
  <si>
    <t>100 ALLANHURST DR</t>
  </si>
  <si>
    <t>M9A4K4</t>
  </si>
  <si>
    <t>40-158</t>
  </si>
  <si>
    <t>Buttonwood Catholic Secondary School</t>
  </si>
  <si>
    <t>15 TREHORNE DR</t>
  </si>
  <si>
    <t>M9P1N8</t>
  </si>
  <si>
    <t>40-159</t>
  </si>
  <si>
    <t>Bishop Allen Academy Catholic Secondary School</t>
  </si>
  <si>
    <t>721 ROYAL YORK RD</t>
  </si>
  <si>
    <t>M8Y2T3</t>
  </si>
  <si>
    <t>40-160</t>
  </si>
  <si>
    <t>Loretto Abbey Catholic Secondary School</t>
  </si>
  <si>
    <t>101 MASON BLVD</t>
  </si>
  <si>
    <t>M5M3E2</t>
  </si>
  <si>
    <t>40-167</t>
  </si>
  <si>
    <t>St. Elizabeth Catholic Elementary School</t>
  </si>
  <si>
    <t>M9B1J8</t>
  </si>
  <si>
    <t>40-168</t>
  </si>
  <si>
    <t>St. Monica Catholic Elementary School</t>
  </si>
  <si>
    <t>M4P1T4</t>
  </si>
  <si>
    <t>40-175</t>
  </si>
  <si>
    <t>Block 9 Concord Place</t>
  </si>
  <si>
    <t>SHEPPARD/LESLIE AREA</t>
  </si>
  <si>
    <t>40 - Toronto Catholic DSB</t>
  </si>
  <si>
    <t>Build Permit Obtained Date Error Explanation</t>
  </si>
  <si>
    <t>Construction Start Date Error Explanation</t>
  </si>
  <si>
    <t>Substantial Completion Date Error Explanation</t>
  </si>
  <si>
    <t>School Opening Date  Error Explanation</t>
  </si>
  <si>
    <t>Child Care Opening Date Error Explanation</t>
  </si>
  <si>
    <t>December 04, 2025</t>
  </si>
  <si>
    <t>October 23, 2025</t>
  </si>
  <si>
    <t>September 29, 2025</t>
  </si>
  <si>
    <t>August 21, 2025</t>
  </si>
  <si>
    <t>August 27, 2024</t>
  </si>
  <si>
    <t>August 01, 2024</t>
  </si>
  <si>
    <t>June 25, 2024</t>
  </si>
  <si>
    <t>May 30, 2024</t>
  </si>
  <si>
    <t>May 09, 2024</t>
  </si>
  <si>
    <t>April 04, 2024</t>
  </si>
  <si>
    <t>June 16, 2023</t>
  </si>
  <si>
    <t>Child Care Floorplan Approval Date</t>
  </si>
  <si>
    <t>Tender Issued Date</t>
  </si>
  <si>
    <t>School Opening Date</t>
  </si>
  <si>
    <t>Not yet submitted/reviewed</t>
  </si>
  <si>
    <t>Need update post letter - what is the board looking into, OTG scaledown?, Recommendation has not made public yet  - Derek will organize an in person meeting to school community hopefully by the end of the year.  SB has had problems with the city and the site plan (NOAC approved with manu conditions that are cleared at the end ofthe project).  Legal was going to pursue the site plan with the city, but the SB indicated to stop all work due to confidential issues. Contractor who bid on the project has reached out to the Supervisor of the SB to discuss the project. It is likley possible the Contractor is not aware of the final ministry decision.</t>
  </si>
  <si>
    <t>Tender is still open, contractor is holding the price until a decision is made.  If the board needs to re-design the project - a change to the design, muncipal SPA, building permit etc will need to happen. The heritage designation happened after the project design began. The first SPA submission (May 2020) the buildings were NOT designated heritage. The original plan was to demolish all three buildings on site. The heritage designated happened in October 2021, the board recieved an intension to designate the structures in March 2021.</t>
  </si>
  <si>
    <t>Tender is still open, and extending the tender month by month.  What is the proposed schedule to demolish the non-heritage buildings/wing on site? Will remain on site until a ministry reponse is given.</t>
  </si>
  <si>
    <t>Dante construction is underway and on schedule. As of December, the project is not water tight, SB was hopignt ohave this complete before winter. Some windows in, frames are installed, glazing not finished, green roof not finished (some issues). If not water tight and winter sets in, there will be added costs. Still not 100% water tight. Amal to provide update next meeting re. if the project is water tight at that point. Working out utilities and encountering problems currently with Enbridge, Rogers etc. BOard has resolved Hydro issues at the moment.  Supply challenges with elevators (vertex), SB has is using Vertex on six other schools (problem with low bidding). The Regina Mundi playground and parking lot is almost complete. City - placed a hold on digging underground along the street (due to recent paving), not sure how the u/g servicing will be done. Servicing may need to be above ground.  Redesign needs to happen. This also happened with the Baycrest project - new trees planted where drop off area is designed to be.</t>
  </si>
  <si>
    <t>Dante construction is underway and on schedule. At this point, the contractor has finished water tight, working on windows before the winter season. Working out utilities - Enbridge, Rogers etc. Supply challenges with elevators (vertex), other schools also have challeges with elevators. The Regina Mundi playground and parking lot is almost complete.</t>
  </si>
  <si>
    <t>Dante construction is underway and on schedule. At this point, the contractor is working to have the building water tight (water proofing, windows in, roof complete) before the winter season. The Regina Mundi playground and parking lot is almost complete.</t>
  </si>
  <si>
    <t>RMC Playground is almost complete. Gates might be installed at a later date. Dante construction is underway and on schedule.</t>
  </si>
  <si>
    <t>School opened September 2, 2025, with partial occupancy - gymnasium and child care were not complete. Gymnasium was completed in November while child care centre is expected to open January 5, 2026. Board hopes to get occupancy of the building, but it wont be full occupancy due to the elevator not installed. Vertex dropped off the elevator equipment in the chlid care centre. The general contractor cant touch the equpment bc it becomes his responsibility. ...so the elevator equipment is sitting in the cc centre. General contractor is requesting "up front payment" for work not undertaken yet regarding the elevator. SB holding off on it.</t>
  </si>
  <si>
    <t>School expected to open September 2, 2025. School opened with partial occupancy, not full occupancy, b/c gymnasium and child care were not complete. Currently contractor is working on construction deficiencies and finishing the licensing requirements for the child care centre. Child care centre is expected to open January 5, 2026. It is expected the school will have full occupnacy by end of November, at which point the child care and gymnasium will be in use. Gym should be complete for November.</t>
  </si>
  <si>
    <t>School expected to open September 2, 2025. School opened with partial occupancy, not full occupancy, b/c gymnasium and child care were not complete. Currently contractor is working on construction deficiencies and finishing the licensing requirements for the child care centre. Child care centre is expected to open January 5, 2026. It is expected the school will have full occupnacy by end of November, at which point the child care and gymnasium will be in use.</t>
  </si>
  <si>
    <t>School expected to open September 2, 2025. Child care centre is expected to open January 5, 2026, the delay is a result of licensing.</t>
  </si>
  <si>
    <t>The project was originally scheduled to open in September 2025 but its been delayed to September 2026. The main issue is with the Site Plan Approval (SPA), which remains unapproved as the municipality continues to add requirements (e.g., sidewalk widening, crosswalks, road work, encroachments). Although school construction is complete, these outstanding SPA conditions prevent occupancy and site readiness. The board cannot open the school while site work continues, particularly given its specialized use for the hearing and deaf community. Also recent inspections also flagged HVAC issues, raising further concerns. Very little movement over the last month with this project. Issues b/w architect and general contractor.
Note: The site is complex, with slope, contaminated soil, and a heritage chimney occupied by chimney sweep birds.</t>
  </si>
  <si>
    <t>The project was originally scheduled to open in September 2025 but has been delayed to January 5, 2026, and then moved to spring 2026. The main issue is with the Site Plan Approval (SPA), which remains unapproved as the municipality continues to add requirements (e.g., sidewalk widening, crosswalks, road work, encroachments). Although school construction is complete, these outstanding SPA conditions prevent occupancy and site readiness. The board cannot open the school while site work continues, particularly given its specialized use for the hearing and deaf community. Also recent inspections also flagged HVAC issues, raising further concerns. At this point, the board has little confidence the school will be ready for January, and have moved opening to spring 2026. Walk throughs have happened. 
Note: The site is complex, with slope, contaminated soil, and a heritage chimney occupied by chimney sweep birds.</t>
  </si>
  <si>
    <t>The project was originally scheduled to open in September 2025 but has been delayed to January 5, 2026. The main issue is with the Site Plan Approval (SPA), which remains unapproved as the municipality continues to add requirements (e.g., sidewalk widening, crosswalks, road work, encroachments). Although school construction is complete, these outstanding SPA conditions prevent occupancy and site readiness. The board cannot open the school while site work continues, particularly given its specialized use for the hearing and deaf community. Also recent inspections also flagged HVAC issues, raising further concerns. At this point, the board has little confidence the school will be ready for January, and no new opening date has been announced.
Note: The site is complex, with slope, contaminated soil, and a heritage chimney occupied by chimney sweep birds.</t>
  </si>
  <si>
    <t>Project delayed - January 5, 2026. Community is aware of the opening delay. Main reason for the challenge and delay is with the SPA. The school board is pretty much building a city block around with the sschool. SPA is still not approved and additional requirements are downloaded onto the school board.  Ie. Sidewalk widening, sidewalks across the street, road work,encroachment. Municipality is still adding items to the SPA, and that is not allowing the project . The school construction is complete, but the municipality is adding items open SPA, and therefore it wont be ready for sept.. THe board cannot open the school with the site work still ongoing, due to the shcool communtiy (school for the hearing and deaf).</t>
  </si>
  <si>
    <t>The project has been delayed and will open March 23, 2026, after March Break. The delay stems from trade challenges, including the drywall contractor going out of business, which pushed back the building’s weather-tight milestone and overall schedule. Current issues - challenges with Enbridge. SB cant move ahead with connections, until Enbridge has connected the gas to the building. Board has been escalating up the line for Enbridge, but it hasnt worked.  Community pressure - SB decision to open the school for March Break. students are bussed 1hr away (jane and wilson area). It would be nice to have the grade 8 students back in the new facility for the last few months. Board is aware / concerned about the loss of enrolment....all these reasons have made the SB commit to the March Break date.</t>
  </si>
  <si>
    <t>The project has been delayed to spring 2026. The delay stems from trade challenges, including the drywall contractor going out of business, which pushed back the building’s weather-tight milestone and overall schedule.</t>
  </si>
  <si>
    <t>The project has been delayed to January 5, 2026. The delay stems from trade challenges, including the drywall contractor going out of business, which pushed back the building’s weather-tight milestone and overall schedule. While the contractor is targeting completion by December 15 (revised from November 1), the school board is not confident the timeline allows for a January opening. Based on current site activity, completion before the holidays appears unlikely, and no final decision has been made.</t>
  </si>
  <si>
    <t>Project delayed - January 5, 2026. Community is aware of the delay. Delay is a result of trade challenges (Drywall trade went out of business) and therefore that delayed the schedule. Delayed the weather tight of the building, impacting the schedule.</t>
  </si>
  <si>
    <t>Play yard is complete. Parking lot still needs to be complete. These components are tied with the Dante Alighieri project, which is under construction. This school will be 100% complete, until Dante is complete (due to shared driveway…interconnected due to campus)</t>
  </si>
  <si>
    <t>Play yard is complete. Parking lot still needs to be complete. This won't be done until Dante Alighieri is complete, as it is in use now for construction.</t>
  </si>
  <si>
    <t>The board is reviewing the feasibility study, as cost estimates came in higher than expected. The architect is now value-engineering the design. The board has also met with the community to discuss space utilization, emphasizing maximizing use of existing spaces and keeping the overall size smaller to manage costs. The project scope includes constructing an addition on top of the current school.</t>
  </si>
  <si>
    <t>Board reviewing the feasibility study. Cost Estimate came in higher than expected and now architect is value engineering the design. SB met with the community to discuss space utilization -- how much of the building is being used, keep all spaces utilized at all time, keep the size smaller to keep the funding lower. Existing school and the SB is building on top of the existing building</t>
  </si>
  <si>
    <t>Open - Final walk-through of the site and deficiencies are being finalized. One year warrantly coming to an end soon. Final deficiencies review and finances  are currently reviewed by SB.</t>
  </si>
  <si>
    <t>Open - Final walk-through of the site and deficiencies are being finalized.</t>
  </si>
  <si>
    <t>Open</t>
  </si>
  <si>
    <t>Open - Financial reconciliation underway.</t>
  </si>
  <si>
    <t>SPA executed/approved - August 12 2025. Building permit in review. Board to update the POD tab. "What else can be removed -</t>
  </si>
  <si>
    <t>NOAC received and SB responding to comments. SB to meet with city to discuss conditions. Board is close to clearing all NOAC conditions and hopes the SPA and Building Permit are finalized before construction begins. Derek and Didem spoke regarding POD funding for this project. Still no direction given if any POD can be applied to cost overages.</t>
  </si>
  <si>
    <t>NOAC received and SB responding to comments. SB to meet with city to discuss conditions. Board is close to clearing all NOAC conditions. Hope are that the SPA and Building Permit are finalized before construction begins. Regarding ATP request, board to provide additional information shortly and will let ministry know if POD is an issue to move forward ($25M out of $34M is POD-Regular).</t>
  </si>
  <si>
    <t>NOAC received and SB responding to comments. SB to meet with city to discuss conditions.</t>
  </si>
  <si>
    <t>Project progressing well. On schedule - finished pouring ground floor, concrete work.  Walls are going up. Ground breaking ceremony to be scheduled with minister.  TBD (original ground breaking set for Nov 25, but cancelled due to weather). Boundary review and name selection are currently underway for this school.</t>
  </si>
  <si>
    <t>Project progressing well. On schedule - finished pouring ground floor, concrete work.  Walls are going up.</t>
  </si>
  <si>
    <t>Project progressing well. On schedule - finished pouring ground floor, concrete work.</t>
  </si>
  <si>
    <t>Project progressing well.</t>
  </si>
  <si>
    <t>ATP has been submitted. Need to review the design vs. space template. Chapel size. Confirm with school board if a SPA required on this project, even with an addition? Planner from the consultant group advised that SPA is not required due to the location of the chapel ...it is in the back of the school, set away from Royal York Rd. Confirm dates with board to include in package. Pressure to hae this project moving</t>
  </si>
  <si>
    <t>SB reviewing the design and cost estimate, look to see what can be cut to save on costs. No SPA required on this project, because of retrofit. SB would space template, scope change request and ATP.</t>
  </si>
  <si>
    <t>Cost estimate to be received in September. Design development to be complete. Board to look to see what can be cut to save on costs. No SPA required on this project, because of retrofit. SB would space template, scope change request and ATP.</t>
  </si>
  <si>
    <t>Cost Estimate was received September22. Board will then review the costs, to find savings. Board recieved a revised Cost Estimate.  Board to prepare ATP for submission, likely after the Scarlett Heights ATP submission (targetting November 2025). The submission will be submitted before the end of the year.</t>
  </si>
  <si>
    <t>Cost Estimate was received September22. Board will then review the costs, to find savings. Board to prepare ATP for submission, likely after the Scarlett Heights ATP submission (targetting November 2025). The submission will be submitted before the end of the year.</t>
  </si>
  <si>
    <t>Cost Estimate was received September22. Board will then review the costs, to find savings.</t>
  </si>
  <si>
    <t>Cost Esimate to be received in September. Board will then review the costs.</t>
  </si>
  <si>
    <t>2025-09-04 (Additional Funding)</t>
  </si>
  <si>
    <t>MISSING</t>
  </si>
  <si>
    <t>NOAC and SPA - lenghtly and complex for this project. Board wants to have an SPA before construction begins. Board clearing the NOAC conditions - fulfilling. Board was anticipating October tendering, but the architect is pushing back to tender in January. They've agreed that they will aim for November tendering (tentative). Board and architect to meet October 24th to determine what items still need to be complete, and the tendering timeline.</t>
  </si>
  <si>
    <t>NOAC and SPA - lenghtly and complex for this project. Board wants to have an SPA before construction begins. Board clearing the NOAC conditions - fulfilling. Board is reviewing the tender package, hoping to release tender in October, and awarding the tender by end of year.</t>
  </si>
  <si>
    <t>NOAC and SPA - lenghtly and complex for this project. Board wants to have an SPA before construction begins.</t>
  </si>
  <si>
    <t>ATP - Submitted to ministry. Additional and missing information has been shared with the ministry early November. The package can now be drafted. The cost per square foot $482, project is an alternative build --u/g parking, third storey, roof top play area, artificial turf etc. These elements would increase the cost per sq foot. 
Board is working with city on NOAC (Notice of Approval Conditions) approval. The NOAC was recieved in August 2025, and revisions made October 2025.Building Permit was submitted to city in August 2025 and anticipates the Building Permit to be approved December 15, 2025. Once NOAC, Building Permit and ATP are approved, the board will move ahead with tender package, and is hopeful this will happen early spring. At this point, the board will formally announce to the school community of the holding school for St. Elizabeth, which will be Christ the King on Kipling and Lakeshore.</t>
  </si>
  <si>
    <t>Board submitted ATP.</t>
  </si>
  <si>
    <t>Project designs and municipal reporting underway. The school board submitted SPA on April 22, 2025, and is currently awaiting first set of comments. Drawings won't be developed significantly, until comments come back (likely end of Jan). 
Archeological assessment was complete (no findings). Heritage assessment is also complete. The existing building meets two of the nine conditions for heritage designation (minimum of two needed to be considered potential heritage designation). This information has now been shared with the City and the board will wait to see whether building will be listed /designated or not.  Should the school be listed or designated heritage, this will impact the funding, timing, project schedule. Consultant will prepare a summary  outlining the issue and implications and will submit to the ministry. Milka asked about potential ministry intervention, but asked to wait until the consultant provided his full summary and we can determine next steps. Consultant also plans to connect with city staff to get an understanding about the likelyhood of a heritage status.</t>
  </si>
  <si>
    <t>Project designs and municipal reporting underway. City approved submission for SPA, board awaiting first set of comments. Drawings won't be developed too far, until the comments come back (likely end of Jan).Archeological assessment was complete (no findings); heritage assessment is underway.</t>
  </si>
  <si>
    <t>Project designs and municipal reporting underway. City approved submission for SPA, board awaiting first set of comments. Archileogical assessment was complete (no findings); heritage assessment is underway.</t>
  </si>
  <si>
    <t>Project designs and municipal reporting underway.</t>
  </si>
  <si>
    <t>Developer requested a SPA. Developer is moving ahead with the designs, and is making process on the designs, including the school. The parking will be underground. Board has seen and reviewed the designs put together by the developer. Tthere will be a shared loading dock (below grade) that will be shared with the deeloper and SB. The designer is cleaning up the design ie columns. The SB plans to hire an advisor to review the designs from the developer.</t>
  </si>
  <si>
    <t>Developer requested a SPA. Developer is moving ahead with the designs, and is making process on the designs, including the schools. The parking will be underground. Board has seen and reviewed the designs put together by the developer. Tthere will be a shared loading dock (below grade) that will be shared with the deeloper and SB. The designer is cleaning up the design ie columns. The SB plans to hire an advisor to review the designs from the developer.</t>
  </si>
  <si>
    <t>Developer requested a SPA. Developer is moving ahead with the designs, and is making process on the designs, including the schools. The parking will be underground. Board has seen and reviewed the designs put together by the developer.</t>
  </si>
  <si>
    <t>Site Purchase</t>
  </si>
  <si>
    <t>School/Addition Opening</t>
  </si>
  <si>
    <t>Milka Zlomislic</t>
  </si>
  <si>
    <t>Superintendent of Capital Development and Asset Renewal</t>
  </si>
  <si>
    <t>milka.zlomislic@tcdsb.org</t>
  </si>
  <si>
    <t>Amal</t>
  </si>
  <si>
    <t>Michael Loberto</t>
  </si>
  <si>
    <t>Superintendent of Planning and Development Services</t>
  </si>
  <si>
    <t>michael.loberto@tcdsb.org</t>
  </si>
  <si>
    <t xml:space="preserve">Barbara Leporati </t>
  </si>
  <si>
    <t>Head of Plannin Services Planning and Development</t>
  </si>
  <si>
    <t>barbara.leporati@tcdsb.org</t>
  </si>
  <si>
    <t>416-222-8282 ext. 72270 or 416-522-8861 (cell)</t>
  </si>
  <si>
    <t xml:space="preserve">The TCDSB team shared with the school community the tender price due to the escalation cost was much higher than the ministry allocation. The school board is now considering a re-design to fit within the ministry allocation. School board informed the contractor that the project is not moving at the moment. Costs incurred to date on this project (on architect designs, studies) is approximately $5M. Board will reconcile the funding. After the reconciliation, the board will part with the current architect and prepare another RFP for a new architectural team to take over (confidential information at the moment). Board plans to hire consultants to undertake a feasibility study and  review designs to fit within budget and within the site limitations.  Enrolment projections - Ministry to contact Planning to get revised enrolment numbers to see if the 1100pp is still correct. </t>
  </si>
  <si>
    <t xml:space="preserve">Construction underway - completing water tight. Utilities not connected at this point, but in the next few days. Enbridge working to get heat to the site. Waiting for windows. Hoping to have the building fully enclosed for end of February. Progressing well, no concerns with opening and budget. </t>
  </si>
  <si>
    <t xml:space="preserve">This school will be 100% complete, including play yard and parking lots. The driving way is the only component still to be complete, as it is shared with Dante Alighieri (currently under construction). </t>
  </si>
  <si>
    <t>Divine Mercy Catholic Elementary School</t>
  </si>
  <si>
    <t>St. Peter Catholic Elementary School</t>
  </si>
  <si>
    <t xml:space="preserve">Board has submitted a request for an additional $29M in funding from the ministry. The review is currently underway. 
NOAC complete. SPA almost complete, the city is preparing the SPA documents, board paid letters of credit. </t>
  </si>
  <si>
    <t>Given current residential market conditions, the developer is waiting until recommended sales targets are met. The developer had started design work of the build, including the school component. Parking will be underground, with a shared below-grade loading dock for both the condo and the school. The Board had reviewed preliminary designs and commented on column layout. The school board plans to retain an advisor to review the developer’s designs.</t>
  </si>
  <si>
    <t>The project tender is currently open and scheduled to close on January 29, 2026. The Notice of Approval to Construct (NOAC) has been issued. All conditions related to SPA have been cleared, and the schol board anticipates final SPA approval prior to the start of construction. Demolition is substantially complete, and the associated holdback has been released.</t>
  </si>
  <si>
    <t>ATP Received December 12, 2025.</t>
  </si>
  <si>
    <t>Construction is progressing well and remains on schedule. The ground floor concrete pour has been completed, and vertical construction is underway.  A boundary review and school name selection process are currently underway.</t>
  </si>
  <si>
    <t>School opened in September 2025, with a partial occupancy permit. Board still doesnt have full occupancy permit due to the elevator installation not completion. The child care centre construction is complete but part of licensing is that a full occupnancy permit is in place. The Elevator operator (Vertix) has not been to the site since September. They are billing for work that doesn’t match the work that has progressed to date. School board is working with legal team to remove the elevator contractor from the job. Once the legal has been sorted out and another elevator contractor can be hired and brought in,. Installation scheduling will need to be scheduled when students aren't in the facility.</t>
  </si>
  <si>
    <t>The project was originally scheduled to open in September 2025 but its been delayed to September 2026. The main issue is with the Site Plan Approval (SPA), which remains unapproved as the municipality continues to add requirements (e.g., sidewalk widening, crosswalks, road work, encroachments). Although school construction is complete, these outstanding SPA conditions prevent occupancy and site readiness. The board cannot open the school while site work continues, particularly given its specialized use for the hearing and deaf community. Also recent inspections flagged HVAC issues, raising further concerns. The city has come back asking for phasing of the municipal work, doesnt want all work at once. This is a huge change order and the contractor has stopped all work and will only continue once additional funding is provided to them. At this point, board has contingency to cover some costs, however this change order and municipal expectation (phasing in), will likely result in an additional funding request. The phasing in adds time to the project, but also to mobilize and re-mobilize trades, equipment etc, will be expensive. School board and municipality have had meetings re. phasing.  Board checked with legal dept, and legal indicated the municipality is within their right to request these items. 
Some of the municipal work includes: three laneways around the site need to be wideneed and convey "clean land" (the land under sidewalk is given back to muncipality. Before conveying, school board needs to make sure the land is not contaminated. Before this work can happen, the school baord needs to have all utilities companies to sign that they are aware this is occuring. In this situation, there are 28 utilities companies.
Note: The site is complex, with slope, contaminated soil, and a heritage chimney occupied by chimney sweep birds.</t>
  </si>
  <si>
    <t>Construction is wrapping up and the school is expected to open March 23, 2026 (after March Break). Little blip - Some PA system components where delivered on site after ceiling work complete, so workers need to go back and install, testing and verify it works. This is happening this week.</t>
  </si>
  <si>
    <t>The board is reviewing the feasibility study (finalized early 2026), as cost estimates came in higher than expected. The architect is now value-engineering the design. In Jan 2026 - Ministry staff met with school board to discuss the scope and status update. Information was shared regarding the Archdiocese's financial commitment to the project and supporting letters indicating they would support costs above ministry allocation. With staff turnover at the school board since this project was discussed with Diocese, and school board staff now will re-engage conversations and see what can be covered from their end. Ministry also asked for board to clearly show what space is strictly school board and what is shared with the Diocese, to understand the size/scope of each element. School board working on this request.</t>
  </si>
  <si>
    <t>Open - Final walk-through of the site and deficiencies are being finalized. One year warrantly coming to an end. Final deficiencies review and finances are currently reviewed by SB, and they are aware of the financial reconciliation process.</t>
  </si>
  <si>
    <t>ATP with ministry. Currently reviewing material.</t>
  </si>
  <si>
    <t xml:space="preserve">Board is close to clearing all NOAC conditions and hopes the SPA and Building Permit are finalized before construction begins. Derek and Didem spoke regarding POD funding for this project. Still no direction given if any POD can be applied to cost overages. Demolition is substantially complete. </t>
  </si>
  <si>
    <t xml:space="preserve">ATP has been submitted. Need to review the design vs. space template. Board reviewing if the chapel can be incorporated within the existing building, and not as an addition. School Board is  reviewing the drawings. The contractor for this project indicated the project will not require an SPA, as it is a retrofit of an existing build. Asked if the chapel addition would trigger a SPA, the school board indicated it wouldn't. </t>
  </si>
  <si>
    <t>Project design and municipal review are underway. The SPA was submitted on April 22, 2025, and the Board is awaiting initial comments; significant drawing development will not proceed until comments are received (anticipated end of January). The archaeological assessment is complete with no findings, and the heritage assessment is also complete. The existing building meets two of nine criteria for potential heritage designation, and this information has been shared with the City. The Board is awaiting confirmation on whether the building will be listed or designated, as this could impact funding, timelines, and the overall project schedule. A consultant is preparing a summary of the issues and implications for submission to the Ministry and will also connect with City staff to assess the likelihood of heritage status. Legal has been consulted regarding responsibility for a cultural heritage assessment, noting the SPA comments are unclear. The school board is meeting with the municipality to discuss next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</si>
</sst>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43" formatCode="_-* #,##0.00_-;\-* #,##0.00_-;_-* &quot;-&quot;??_-;_-@_-"/>
    <numFmt numFmtId="164" formatCode="_(* #,##0.00_);_(* \(#,##0.00\);_(* &quot;-&quot;??_);_(@_)"/>
    <numFmt numFmtId="165" formatCode="mmm\-yyyy"/>
    <numFmt numFmtId="166" formatCode="_-&quot;$&quot;* #,##0_-;\-&quot;$&quot;* #,##0_-;_-&quot;$&quot;* &quot;-&quot;??_-;_-@_-"/>
  </numFmts>
  <fonts count="41" x14ac:knownFonts="1">
    <font>
      <sz val="11"/>
      <color theme="1"/>
      <name val="Calibri"/>
      <family val="2"/>
      <scheme val="minor"/>
    </font>
    <font>
      <sz val="16"/>
      <name val="Arial Nova Cond Light"/>
      <family val="2"/>
    </font>
    <font>
      <b/>
      <sz val="16"/>
      <name val="Arial Nova Cond Light"/>
      <family val="2"/>
    </font>
    <font>
      <b/>
      <sz val="11"/>
      <name val="Arial Nova Cond Light"/>
      <family val="2"/>
    </font>
    <font>
      <b/>
      <sz val="11"/>
      <color theme="1"/>
      <name val="Arial Nova Cond Light"/>
      <family val="2"/>
    </font>
    <font>
      <sz val="11"/>
      <color theme="1"/>
      <name val="Arial Nova Cond Light"/>
      <family val="2"/>
    </font>
    <font>
      <sz val="11"/>
      <name val="Arial Nova Cond Light"/>
      <family val="2"/>
    </font>
    <font>
      <b/>
      <sz val="11"/>
      <color theme="0"/>
      <name val="Arial Nova Cond Light"/>
      <family val="2"/>
    </font>
    <font>
      <sz val="11"/>
      <color theme="1"/>
      <name val="Calibri"/>
      <family val="2"/>
      <scheme val="minor"/>
    </font>
    <font>
      <b/>
      <sz val="11"/>
      <color theme="1"/>
      <name val="Calibri"/>
      <family val="2"/>
      <scheme val="minor"/>
    </font>
    <font>
      <sz val="12"/>
      <color theme="1"/>
      <name val="Arial"/>
      <family val="2"/>
    </font>
    <font>
      <b/>
      <sz val="12"/>
      <color theme="1"/>
      <name val="Arial Nova Cond Light"/>
      <family val="2"/>
    </font>
    <font>
      <b/>
      <sz val="14"/>
      <color theme="1"/>
      <name val="Arial Nova Cond Light"/>
      <family val="2"/>
    </font>
    <font>
      <sz val="14"/>
      <color theme="1"/>
      <name val="Arial Nova Cond Light"/>
      <family val="2"/>
    </font>
    <font>
      <b/>
      <sz val="20"/>
      <name val="Arial Nova Cond Light"/>
      <family val="2"/>
    </font>
    <font>
      <b/>
      <sz val="11"/>
      <color theme="1" tint="0.34998626667073579"/>
      <name val="Arial Nova Cond Light"/>
      <family val="2"/>
    </font>
    <font>
      <sz val="18"/>
      <name val="Arial Nova Cond Light"/>
      <family val="2"/>
    </font>
    <font>
      <sz val="8"/>
      <name val="Calibri"/>
      <family val="2"/>
      <scheme val="minor"/>
    </font>
    <font>
      <b/>
      <sz val="18"/>
      <name val="Arial"/>
      <family val="2"/>
    </font>
    <font>
      <sz val="10"/>
      <name val="Arial"/>
      <family val="2"/>
    </font>
    <font>
      <sz val="11"/>
      <name val="Calibri"/>
      <family val="2"/>
      <scheme val="minor"/>
    </font>
    <font>
      <b/>
      <sz val="18"/>
      <name val="Arial Nova Cond Light"/>
      <family val="2"/>
    </font>
    <font>
      <b/>
      <u/>
      <sz val="11"/>
      <color theme="1"/>
      <name val="Calibri"/>
      <family val="2"/>
      <scheme val="minor"/>
    </font>
    <font>
      <b/>
      <sz val="22"/>
      <color rgb="FFFF0000"/>
      <name val="Arial Nova Cond Light"/>
      <family val="2"/>
    </font>
    <font>
      <b/>
      <sz val="24"/>
      <name val="Arial Nova Cond Light"/>
      <family val="2"/>
    </font>
    <font>
      <sz val="12"/>
      <color rgb="FFFF0000"/>
      <name val="Arial Nova Cond Light"/>
      <family val="2"/>
    </font>
    <font>
      <sz val="16"/>
      <color theme="0"/>
      <name val="Arial Nova Cond Light"/>
      <family val="2"/>
    </font>
    <font>
      <sz val="12"/>
      <color theme="0"/>
      <name val="Arial Nova Cond Light"/>
      <family val="2"/>
    </font>
    <font>
      <sz val="14"/>
      <name val="Arial Nova Cond Light"/>
      <family val="2"/>
    </font>
    <font>
      <sz val="11"/>
      <color theme="0"/>
      <name val="Calibri"/>
      <family val="2"/>
      <scheme val="minor"/>
    </font>
    <font>
      <b/>
      <sz val="11"/>
      <name val="Calibri"/>
      <family val="2"/>
      <scheme val="minor"/>
    </font>
    <font>
      <b/>
      <sz val="28"/>
      <color theme="1"/>
      <name val="Calibri"/>
      <family val="2"/>
      <scheme val="minor"/>
    </font>
    <font>
      <b/>
      <sz val="22"/>
      <name val="Arial Nova Cond Light"/>
      <family val="2"/>
    </font>
    <font>
      <b/>
      <sz val="12"/>
      <name val="Arial Nova Cond Light"/>
      <family val="2"/>
    </font>
    <font>
      <b/>
      <sz val="18"/>
      <color rgb="FFFF0000"/>
      <name val="Arial Nova Cond Light"/>
      <family val="2"/>
    </font>
    <font>
      <sz val="11"/>
      <color theme="0"/>
      <name val="Arial Nova Cond Light"/>
      <family val="2"/>
    </font>
    <font>
      <b/>
      <u/>
      <sz val="24"/>
      <name val="Arial Nova Cond Light"/>
      <family val="2"/>
    </font>
    <font>
      <b/>
      <u/>
      <sz val="18"/>
      <name val="Arial Nova Cond Light"/>
      <family val="2"/>
    </font>
    <font>
      <b/>
      <sz val="12.85"/>
      <color rgb="FF951B1E"/>
      <name val="Arial"/>
      <family val="2"/>
    </font>
    <font>
      <b/>
      <sz val="12"/>
      <color rgb="FF000000"/>
      <name val="Arial"/>
      <family val="2"/>
    </font>
    <font>
      <sz val="14"/>
      <color rgb="FF951B1E"/>
      <name val="Arial"/>
      <family val="2"/>
    </font>
  </fonts>
  <fills count="1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rgb="FFFFC000"/>
        <bgColor indexed="64"/>
      </patternFill>
    </fill>
    <fill>
      <patternFill patternType="solid">
        <fgColor them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2" tint="-0.249977111117893"/>
        <bgColor indexed="64"/>
      </patternFill>
    </fill>
  </fills>
  <borders count="49">
    <border>
      <left/>
      <right/>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ck">
        <color auto="1"/>
      </left>
      <right/>
      <top/>
      <bottom/>
      <diagonal/>
    </border>
    <border>
      <left style="medium">
        <color indexed="64"/>
      </left>
      <right/>
      <top/>
      <bottom/>
      <diagonal/>
    </border>
    <border>
      <left/>
      <right/>
      <top style="thin">
        <color indexed="64"/>
      </top>
      <bottom/>
      <diagonal/>
    </border>
    <border>
      <left/>
      <right/>
      <top style="thin">
        <color indexed="64"/>
      </top>
      <bottom style="thin">
        <color indexed="64"/>
      </bottom>
      <diagonal/>
    </border>
    <border>
      <left style="thick">
        <color auto="1"/>
      </left>
      <right style="thin">
        <color indexed="64"/>
      </right>
      <top/>
      <bottom/>
      <diagonal/>
    </border>
    <border>
      <left style="thick">
        <color auto="1"/>
      </left>
      <right style="thin">
        <color indexed="64"/>
      </right>
      <top style="thin">
        <color indexed="64"/>
      </top>
      <bottom style="thin">
        <color indexed="64"/>
      </bottom>
      <diagonal/>
    </border>
    <border>
      <left style="thick">
        <color auto="1"/>
      </left>
      <right style="thin">
        <color indexed="64"/>
      </right>
      <top style="thin">
        <color indexed="64"/>
      </top>
      <bottom/>
      <diagonal/>
    </border>
    <border>
      <left style="thick">
        <color auto="1"/>
      </left>
      <right/>
      <top style="medium">
        <color indexed="64"/>
      </top>
      <bottom style="medium">
        <color indexed="64"/>
      </bottom>
      <diagonal/>
    </border>
    <border>
      <left style="thick">
        <color auto="1"/>
      </left>
      <right style="medium">
        <color indexed="64"/>
      </right>
      <top/>
      <bottom/>
      <diagonal/>
    </border>
    <border>
      <left style="thick">
        <color indexed="64"/>
      </left>
      <right/>
      <top style="medium">
        <color indexed="64"/>
      </top>
      <bottom/>
      <diagonal/>
    </border>
    <border>
      <left/>
      <right style="thick">
        <color auto="1"/>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ck">
        <color auto="1"/>
      </left>
      <right style="thin">
        <color auto="1"/>
      </right>
      <top style="medium">
        <color indexed="64"/>
      </top>
      <bottom style="thin">
        <color indexed="64"/>
      </bottom>
      <diagonal/>
    </border>
    <border>
      <left style="thin">
        <color auto="1"/>
      </left>
      <right style="thick">
        <color auto="1"/>
      </right>
      <top style="medium">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8">
    <xf numFmtId="0" fontId="0" fillId="0" borderId="0"/>
    <xf numFmtId="0" fontId="10" fillId="0" borderId="0"/>
    <xf numFmtId="164" fontId="8" fillId="0" borderId="0" applyFont="0" applyFill="0" applyBorder="0" applyAlignment="0" applyProtection="0"/>
    <xf numFmtId="44" fontId="8" fillId="0" borderId="0" applyFont="0" applyFill="0" applyBorder="0" applyAlignment="0" applyProtection="0"/>
    <xf numFmtId="0" fontId="19" fillId="0" borderId="0"/>
    <xf numFmtId="43" fontId="8" fillId="0" borderId="0" applyFont="0" applyFill="0" applyBorder="0" applyAlignment="0" applyProtection="0"/>
    <xf numFmtId="43" fontId="8" fillId="0" borderId="0" applyFont="0" applyFill="0" applyBorder="0" applyAlignment="0" applyProtection="0"/>
    <xf numFmtId="44" fontId="8" fillId="0" borderId="0" applyFont="0" applyFill="0" applyBorder="0" applyAlignment="0" applyProtection="0"/>
  </cellStyleXfs>
  <cellXfs count="243">
    <xf numFmtId="0" fontId="0" fillId="0" borderId="0" xfId="0"/>
    <xf numFmtId="0" fontId="6" fillId="0" borderId="0" xfId="0" applyFont="1" applyAlignment="1">
      <alignment horizontal="center" vertical="center"/>
    </xf>
    <xf numFmtId="0" fontId="5" fillId="2" borderId="0" xfId="0" applyFont="1" applyFill="1" applyAlignment="1">
      <alignment horizontal="center" vertical="center"/>
    </xf>
    <xf numFmtId="0" fontId="5" fillId="3" borderId="1" xfId="0" applyFont="1" applyFill="1" applyBorder="1" applyAlignment="1">
      <alignment horizontal="center" vertical="center"/>
    </xf>
    <xf numFmtId="0" fontId="9" fillId="0" borderId="0" xfId="0" applyFont="1"/>
    <xf numFmtId="0" fontId="0" fillId="0" borderId="0" xfId="0" applyAlignment="1">
      <alignment horizontal="left" vertical="center"/>
    </xf>
    <xf numFmtId="0" fontId="0" fillId="0" borderId="0" xfId="0" applyAlignment="1">
      <alignment vertical="center"/>
    </xf>
    <xf numFmtId="0" fontId="5" fillId="2" borderId="7" xfId="0" applyFont="1" applyFill="1" applyBorder="1" applyAlignment="1">
      <alignment horizontal="center" vertical="top" wrapText="1"/>
    </xf>
    <xf numFmtId="0" fontId="5" fillId="2" borderId="2" xfId="0" applyFont="1" applyFill="1" applyBorder="1" applyAlignment="1">
      <alignment horizontal="center" vertical="top" wrapText="1"/>
    </xf>
    <xf numFmtId="0" fontId="5" fillId="2" borderId="13" xfId="0" applyFont="1" applyFill="1" applyBorder="1" applyAlignment="1">
      <alignment horizontal="center" vertical="top" wrapText="1"/>
    </xf>
    <xf numFmtId="0" fontId="15" fillId="4" borderId="1" xfId="0" applyFont="1" applyFill="1" applyBorder="1" applyAlignment="1">
      <alignment horizontal="center" vertical="center"/>
    </xf>
    <xf numFmtId="0" fontId="15" fillId="4" borderId="8" xfId="0" applyFont="1" applyFill="1" applyBorder="1" applyAlignment="1">
      <alignment horizontal="center" vertical="center"/>
    </xf>
    <xf numFmtId="0" fontId="15" fillId="4" borderId="9" xfId="0" applyFont="1" applyFill="1" applyBorder="1" applyAlignment="1">
      <alignment horizontal="center" vertical="center"/>
    </xf>
    <xf numFmtId="0" fontId="15" fillId="4" borderId="10" xfId="0" applyFont="1" applyFill="1" applyBorder="1" applyAlignment="1">
      <alignment horizontal="center" vertical="center"/>
    </xf>
    <xf numFmtId="0" fontId="15" fillId="4" borderId="14" xfId="0" applyFont="1" applyFill="1" applyBorder="1" applyAlignment="1">
      <alignment horizontal="center" vertical="center"/>
    </xf>
    <xf numFmtId="165" fontId="5" fillId="3" borderId="7" xfId="0" applyNumberFormat="1" applyFont="1" applyFill="1" applyBorder="1" applyAlignment="1">
      <alignment horizontal="center" vertical="top" wrapText="1"/>
    </xf>
    <xf numFmtId="0" fontId="15" fillId="4" borderId="8" xfId="0" applyFont="1" applyFill="1" applyBorder="1" applyAlignment="1" applyProtection="1">
      <alignment horizontal="center" vertical="center"/>
      <protection locked="0"/>
    </xf>
    <xf numFmtId="0" fontId="15" fillId="4" borderId="14" xfId="0" applyFont="1" applyFill="1" applyBorder="1" applyAlignment="1" applyProtection="1">
      <alignment horizontal="center" vertical="center"/>
      <protection locked="0"/>
    </xf>
    <xf numFmtId="0" fontId="5" fillId="2" borderId="0" xfId="0" applyFont="1" applyFill="1" applyAlignment="1" applyProtection="1">
      <alignment horizontal="center" vertical="center"/>
      <protection locked="0"/>
    </xf>
    <xf numFmtId="0" fontId="5" fillId="0" borderId="0" xfId="0" applyFont="1" applyAlignment="1" applyProtection="1">
      <alignment horizontal="center" vertical="center"/>
      <protection locked="0"/>
    </xf>
    <xf numFmtId="14" fontId="9" fillId="0" borderId="0" xfId="0" applyNumberFormat="1" applyFont="1"/>
    <xf numFmtId="0" fontId="9" fillId="0" borderId="0" xfId="0" applyFont="1" applyAlignment="1">
      <alignment vertical="center"/>
    </xf>
    <xf numFmtId="0" fontId="2" fillId="2" borderId="0" xfId="0" applyFont="1" applyFill="1" applyAlignment="1">
      <alignment horizontal="center" vertical="center"/>
    </xf>
    <xf numFmtId="0" fontId="1" fillId="2" borderId="0" xfId="0" applyFont="1" applyFill="1" applyAlignment="1">
      <alignment horizontal="center" vertical="center"/>
    </xf>
    <xf numFmtId="0" fontId="13" fillId="2" borderId="0" xfId="0" applyFont="1" applyFill="1" applyAlignment="1">
      <alignment horizontal="center" vertical="center"/>
    </xf>
    <xf numFmtId="0" fontId="5" fillId="2" borderId="1" xfId="0" applyFont="1" applyFill="1" applyBorder="1" applyAlignment="1">
      <alignment horizontal="center" vertical="center"/>
    </xf>
    <xf numFmtId="3" fontId="3" fillId="3" borderId="12" xfId="0" applyNumberFormat="1"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4" fillId="3" borderId="11" xfId="0" applyFont="1" applyFill="1" applyBorder="1" applyAlignment="1" applyProtection="1">
      <alignment horizontal="center" vertical="center" wrapText="1"/>
      <protection locked="0"/>
    </xf>
    <xf numFmtId="0" fontId="4" fillId="3" borderId="11" xfId="0" applyFont="1" applyFill="1" applyBorder="1" applyAlignment="1">
      <alignment horizontal="center" vertical="center" wrapText="1"/>
    </xf>
    <xf numFmtId="0" fontId="0" fillId="0" borderId="0" xfId="0" applyAlignment="1">
      <alignment horizontal="center" vertical="center"/>
    </xf>
    <xf numFmtId="0" fontId="7" fillId="4" borderId="6" xfId="0" applyFont="1" applyFill="1" applyBorder="1" applyAlignment="1">
      <alignment horizontal="center" vertical="center"/>
    </xf>
    <xf numFmtId="0" fontId="4" fillId="3" borderId="2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2" xfId="0" applyFont="1" applyFill="1" applyBorder="1" applyAlignment="1" applyProtection="1">
      <alignment horizontal="center" vertical="center" wrapText="1"/>
      <protection locked="0"/>
    </xf>
    <xf numFmtId="3" fontId="3" fillId="3" borderId="2" xfId="0" applyNumberFormat="1" applyFont="1" applyFill="1" applyBorder="1" applyAlignment="1">
      <alignment horizontal="center" vertical="center" wrapText="1"/>
    </xf>
    <xf numFmtId="0" fontId="5" fillId="2" borderId="2" xfId="0" applyFont="1" applyFill="1" applyBorder="1" applyAlignment="1">
      <alignment horizontal="center" vertical="center"/>
    </xf>
    <xf numFmtId="0" fontId="4" fillId="3" borderId="23"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0" fillId="5" borderId="0" xfId="0" applyFill="1"/>
    <xf numFmtId="0" fontId="18" fillId="0" borderId="0" xfId="0" applyFont="1"/>
    <xf numFmtId="0" fontId="0" fillId="0" borderId="0" xfId="0" applyAlignment="1">
      <alignment wrapText="1"/>
    </xf>
    <xf numFmtId="0" fontId="19" fillId="0" borderId="0" xfId="0" applyFont="1"/>
    <xf numFmtId="0" fontId="4" fillId="3" borderId="2" xfId="0" applyFont="1" applyFill="1" applyBorder="1" applyAlignment="1">
      <alignment horizontal="center" vertical="center"/>
    </xf>
    <xf numFmtId="0" fontId="4" fillId="3" borderId="29" xfId="0" applyFont="1" applyFill="1" applyBorder="1" applyAlignment="1">
      <alignment horizontal="center" vertical="center" wrapText="1"/>
    </xf>
    <xf numFmtId="0" fontId="22" fillId="0" borderId="0" xfId="0" applyFont="1" applyAlignment="1">
      <alignment vertical="center"/>
    </xf>
    <xf numFmtId="0" fontId="14" fillId="2" borderId="0" xfId="0" applyFont="1" applyFill="1" applyAlignment="1">
      <alignment horizontal="center" vertical="top"/>
    </xf>
    <xf numFmtId="0" fontId="5" fillId="3" borderId="2" xfId="0" applyFont="1" applyFill="1" applyBorder="1" applyAlignment="1">
      <alignment horizontal="center" vertical="top" wrapText="1"/>
    </xf>
    <xf numFmtId="0" fontId="14" fillId="2" borderId="0" xfId="0" applyFont="1" applyFill="1" applyAlignment="1">
      <alignment horizontal="center" vertical="top"/>
    </xf>
    <xf numFmtId="0" fontId="12" fillId="3" borderId="4" xfId="0" applyFont="1" applyFill="1" applyBorder="1" applyAlignment="1">
      <alignment horizontal="left" vertical="center"/>
    </xf>
    <xf numFmtId="0" fontId="0" fillId="0" borderId="0" xfId="0" applyAlignment="1">
      <alignment horizontal="center"/>
    </xf>
    <xf numFmtId="0" fontId="14" fillId="2" borderId="0" xfId="0" applyFont="1" applyFill="1" applyAlignment="1">
      <alignment horizontal="center" vertical="top"/>
    </xf>
    <xf numFmtId="0" fontId="12" fillId="3" borderId="18" xfId="0" applyFont="1" applyFill="1" applyBorder="1" applyAlignment="1">
      <alignment horizontal="left" vertical="center"/>
    </xf>
    <xf numFmtId="0" fontId="12" fillId="3" borderId="20" xfId="0" applyFont="1" applyFill="1" applyBorder="1" applyAlignment="1">
      <alignment horizontal="left" vertical="center"/>
    </xf>
    <xf numFmtId="165" fontId="5" fillId="3" borderId="7" xfId="0" applyNumberFormat="1" applyFont="1" applyFill="1" applyBorder="1" applyAlignment="1" applyProtection="1">
      <alignment horizontal="center" vertical="top" wrapText="1"/>
    </xf>
    <xf numFmtId="0" fontId="5" fillId="0" borderId="2" xfId="0" applyFont="1" applyFill="1" applyBorder="1" applyAlignment="1" applyProtection="1">
      <alignment horizontal="center" vertical="top" wrapText="1"/>
      <protection locked="0"/>
    </xf>
    <xf numFmtId="0" fontId="12" fillId="8" borderId="18" xfId="0" applyFont="1" applyFill="1" applyBorder="1" applyAlignment="1">
      <alignment vertical="center"/>
    </xf>
    <xf numFmtId="0" fontId="12" fillId="8" borderId="20" xfId="0" applyFont="1" applyFill="1" applyBorder="1" applyAlignment="1">
      <alignment vertical="center"/>
    </xf>
    <xf numFmtId="0" fontId="12" fillId="8" borderId="19" xfId="0" applyFont="1" applyFill="1" applyBorder="1" applyAlignment="1">
      <alignment vertical="center"/>
    </xf>
    <xf numFmtId="0" fontId="12" fillId="3" borderId="4" xfId="0" applyFont="1" applyFill="1" applyBorder="1" applyAlignment="1">
      <alignment horizontal="left" vertical="center"/>
    </xf>
    <xf numFmtId="0" fontId="4" fillId="3" borderId="2" xfId="0" applyFont="1" applyFill="1" applyBorder="1" applyAlignment="1">
      <alignment horizontal="left" vertical="center" wrapText="1"/>
    </xf>
    <xf numFmtId="0" fontId="14" fillId="2" borderId="0" xfId="0" applyFont="1" applyFill="1" applyAlignment="1">
      <alignment vertical="top"/>
    </xf>
    <xf numFmtId="0" fontId="12" fillId="3" borderId="20" xfId="0" applyFont="1" applyFill="1" applyBorder="1" applyAlignment="1">
      <alignment vertical="center"/>
    </xf>
    <xf numFmtId="2" fontId="0" fillId="0" borderId="0" xfId="0" applyNumberFormat="1"/>
    <xf numFmtId="0" fontId="16" fillId="9" borderId="31" xfId="0" applyFont="1" applyFill="1" applyBorder="1" applyAlignment="1">
      <alignment vertical="top"/>
    </xf>
    <xf numFmtId="0" fontId="16" fillId="9" borderId="0" xfId="0" applyFont="1" applyFill="1" applyBorder="1" applyAlignment="1">
      <alignment vertical="top"/>
    </xf>
    <xf numFmtId="0" fontId="24" fillId="2" borderId="0" xfId="0" applyFont="1" applyFill="1" applyAlignment="1">
      <alignment vertical="top"/>
    </xf>
    <xf numFmtId="0" fontId="0" fillId="0" borderId="0" xfId="0" applyProtection="1">
      <protection locked="0"/>
    </xf>
    <xf numFmtId="0" fontId="25" fillId="2" borderId="0" xfId="0" applyFont="1" applyFill="1" applyAlignment="1">
      <alignment horizontal="center" vertical="center" wrapText="1"/>
    </xf>
    <xf numFmtId="0" fontId="26" fillId="2" borderId="0" xfId="0" applyFont="1" applyFill="1" applyAlignment="1">
      <alignment horizontal="center" vertical="center"/>
    </xf>
    <xf numFmtId="0" fontId="0" fillId="0" borderId="0" xfId="0" applyFill="1"/>
    <xf numFmtId="0" fontId="27" fillId="2" borderId="0" xfId="0" applyFont="1" applyFill="1" applyAlignment="1">
      <alignment horizontal="center" vertical="center" wrapText="1"/>
    </xf>
    <xf numFmtId="0" fontId="5" fillId="0" borderId="2" xfId="0" applyFont="1" applyFill="1" applyBorder="1" applyAlignment="1" applyProtection="1">
      <alignment horizontal="left" vertical="top" wrapText="1"/>
      <protection locked="0"/>
    </xf>
    <xf numFmtId="0" fontId="25" fillId="0" borderId="0" xfId="0" applyFont="1" applyFill="1" applyAlignment="1">
      <alignment horizontal="center" vertical="center"/>
    </xf>
    <xf numFmtId="0" fontId="6" fillId="0" borderId="0" xfId="0" applyFont="1" applyFill="1" applyBorder="1" applyAlignment="1" applyProtection="1">
      <alignment horizontal="center" vertical="top" wrapText="1"/>
      <protection locked="0"/>
    </xf>
    <xf numFmtId="0" fontId="7" fillId="4" borderId="32" xfId="0" applyFont="1" applyFill="1" applyBorder="1" applyAlignment="1">
      <alignment horizontal="center" vertical="center"/>
    </xf>
    <xf numFmtId="0" fontId="4" fillId="3" borderId="30" xfId="0" applyFont="1" applyFill="1" applyBorder="1" applyAlignment="1">
      <alignment horizontal="center" vertical="center"/>
    </xf>
    <xf numFmtId="0" fontId="5" fillId="3" borderId="32" xfId="0" applyFont="1" applyFill="1" applyBorder="1" applyAlignment="1">
      <alignment horizontal="center" vertical="center"/>
    </xf>
    <xf numFmtId="0" fontId="15" fillId="4" borderId="32" xfId="0" applyFont="1" applyFill="1" applyBorder="1" applyAlignment="1">
      <alignment horizontal="center" vertical="center"/>
    </xf>
    <xf numFmtId="0" fontId="5" fillId="2" borderId="30" xfId="0" applyFont="1" applyFill="1" applyBorder="1" applyAlignment="1">
      <alignment horizontal="center" vertical="top" wrapText="1"/>
    </xf>
    <xf numFmtId="0" fontId="1" fillId="0" borderId="0" xfId="0" applyFont="1" applyFill="1" applyBorder="1" applyAlignment="1">
      <alignment horizontal="center" vertical="center"/>
    </xf>
    <xf numFmtId="0" fontId="20" fillId="0" borderId="0" xfId="0" applyFont="1" applyFill="1" applyBorder="1"/>
    <xf numFmtId="0" fontId="28" fillId="0" borderId="0" xfId="0" applyFont="1" applyFill="1" applyBorder="1" applyAlignment="1">
      <alignment horizontal="center" vertical="center"/>
    </xf>
    <xf numFmtId="0" fontId="6" fillId="0" borderId="0" xfId="0" applyFont="1" applyFill="1" applyBorder="1" applyAlignment="1">
      <alignment horizontal="center" vertical="center"/>
    </xf>
    <xf numFmtId="3" fontId="20" fillId="0" borderId="0" xfId="0" applyNumberFormat="1" applyFont="1" applyFill="1" applyBorder="1"/>
    <xf numFmtId="0" fontId="3" fillId="0" borderId="0" xfId="0" applyFont="1" applyFill="1" applyBorder="1" applyAlignment="1">
      <alignment horizontal="left" vertical="center"/>
    </xf>
    <xf numFmtId="0" fontId="5" fillId="3" borderId="2" xfId="0" applyFont="1" applyFill="1" applyBorder="1" applyAlignment="1" applyProtection="1">
      <alignment horizontal="left" vertical="top" wrapText="1"/>
    </xf>
    <xf numFmtId="166" fontId="5" fillId="0" borderId="2" xfId="3" applyNumberFormat="1" applyFont="1" applyFill="1" applyBorder="1" applyAlignment="1" applyProtection="1">
      <alignment horizontal="center" vertical="top" wrapText="1"/>
      <protection locked="0"/>
    </xf>
    <xf numFmtId="0" fontId="5" fillId="0" borderId="0" xfId="0" applyFont="1" applyFill="1" applyAlignment="1">
      <alignment horizontal="center"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30" fillId="0" borderId="0" xfId="0" applyFont="1" applyAlignment="1">
      <alignment horizontal="center" vertical="center" wrapText="1"/>
    </xf>
    <xf numFmtId="3" fontId="9" fillId="0" borderId="0" xfId="0" applyNumberFormat="1" applyFont="1" applyAlignment="1">
      <alignment horizontal="center" vertical="center"/>
    </xf>
    <xf numFmtId="0" fontId="29" fillId="0" borderId="0" xfId="0" applyFont="1"/>
    <xf numFmtId="0" fontId="9" fillId="7" borderId="0" xfId="0" applyFont="1" applyFill="1" applyAlignment="1"/>
    <xf numFmtId="165" fontId="5" fillId="2" borderId="13" xfId="0" applyNumberFormat="1" applyFont="1" applyFill="1" applyBorder="1" applyAlignment="1" applyProtection="1">
      <alignment horizontal="center" vertical="top" wrapText="1"/>
      <protection locked="0"/>
    </xf>
    <xf numFmtId="0" fontId="5" fillId="0" borderId="2" xfId="0" applyFont="1" applyFill="1" applyBorder="1" applyAlignment="1" applyProtection="1">
      <alignment horizontal="center" vertical="top" wrapText="1"/>
    </xf>
    <xf numFmtId="0" fontId="5" fillId="0" borderId="30" xfId="0" applyFont="1" applyFill="1" applyBorder="1" applyAlignment="1" applyProtection="1">
      <alignment horizontal="center" vertical="top" wrapText="1"/>
    </xf>
    <xf numFmtId="0" fontId="23" fillId="2" borderId="0" xfId="0" applyFont="1" applyFill="1" applyBorder="1" applyAlignment="1">
      <alignment horizontal="left" vertical="center"/>
    </xf>
    <xf numFmtId="0" fontId="32" fillId="2" borderId="0" xfId="0" applyFont="1" applyFill="1" applyBorder="1" applyAlignment="1">
      <alignment horizontal="left" vertical="center"/>
    </xf>
    <xf numFmtId="0" fontId="5" fillId="0" borderId="2" xfId="0" applyFont="1" applyFill="1" applyBorder="1" applyAlignment="1" applyProtection="1">
      <alignment horizontal="left" vertical="center" wrapText="1"/>
      <protection locked="0"/>
    </xf>
    <xf numFmtId="0" fontId="3" fillId="3" borderId="0" xfId="0" applyFont="1" applyFill="1" applyBorder="1" applyAlignment="1">
      <alignment horizontal="center" vertical="center" wrapText="1"/>
    </xf>
    <xf numFmtId="0" fontId="20" fillId="0" borderId="0" xfId="0" applyFont="1"/>
    <xf numFmtId="0" fontId="35" fillId="2" borderId="7" xfId="0" applyFont="1" applyFill="1" applyBorder="1" applyAlignment="1">
      <alignment horizontal="center" vertical="top" wrapText="1"/>
    </xf>
    <xf numFmtId="0" fontId="35" fillId="2" borderId="2" xfId="0" applyFont="1" applyFill="1" applyBorder="1" applyAlignment="1">
      <alignment horizontal="center" vertical="top" wrapText="1"/>
    </xf>
    <xf numFmtId="0" fontId="35" fillId="2" borderId="30" xfId="0" applyFont="1" applyFill="1" applyBorder="1" applyAlignment="1">
      <alignment horizontal="center" vertical="top" wrapText="1"/>
    </xf>
    <xf numFmtId="0" fontId="29" fillId="0" borderId="0" xfId="0" applyFont="1" applyFill="1" applyBorder="1"/>
    <xf numFmtId="0" fontId="12" fillId="3" borderId="4" xfId="0" applyFont="1" applyFill="1" applyBorder="1" applyAlignment="1">
      <alignment vertical="center"/>
    </xf>
    <xf numFmtId="3" fontId="3" fillId="3" borderId="0" xfId="0" applyNumberFormat="1" applyFont="1" applyFill="1" applyBorder="1" applyAlignment="1">
      <alignment horizontal="center" vertical="center" wrapText="1"/>
    </xf>
    <xf numFmtId="0" fontId="15" fillId="4" borderId="33" xfId="0" applyFont="1" applyFill="1" applyBorder="1" applyAlignment="1">
      <alignment horizontal="center" vertical="center"/>
    </xf>
    <xf numFmtId="165" fontId="5" fillId="2" borderId="34" xfId="0" applyNumberFormat="1" applyFont="1" applyFill="1" applyBorder="1" applyAlignment="1" applyProtection="1">
      <alignment horizontal="center" vertical="top" wrapText="1"/>
      <protection locked="0"/>
    </xf>
    <xf numFmtId="0" fontId="1" fillId="2" borderId="31" xfId="0" applyFont="1" applyFill="1" applyBorder="1" applyAlignment="1">
      <alignment horizontal="center" vertical="center"/>
    </xf>
    <xf numFmtId="0" fontId="25" fillId="2" borderId="31" xfId="0" applyFont="1" applyFill="1" applyBorder="1" applyAlignment="1">
      <alignment horizontal="center" vertical="center" wrapText="1"/>
    </xf>
    <xf numFmtId="0" fontId="7" fillId="4" borderId="35" xfId="0" applyFont="1" applyFill="1" applyBorder="1" applyAlignment="1">
      <alignment horizontal="center" vertical="center"/>
    </xf>
    <xf numFmtId="0" fontId="4" fillId="3" borderId="35" xfId="0" applyFont="1" applyFill="1" applyBorder="1" applyAlignment="1">
      <alignment horizontal="center" vertical="center" wrapText="1"/>
    </xf>
    <xf numFmtId="3" fontId="3" fillId="3" borderId="35" xfId="0" applyNumberFormat="1" applyFont="1" applyFill="1" applyBorder="1" applyAlignment="1">
      <alignment horizontal="center" vertical="center" wrapText="1"/>
    </xf>
    <xf numFmtId="0" fontId="15" fillId="4" borderId="35" xfId="0" applyFont="1" applyFill="1" applyBorder="1" applyAlignment="1">
      <alignment horizontal="center" vertical="center"/>
    </xf>
    <xf numFmtId="0" fontId="5" fillId="2" borderId="35" xfId="0" applyFont="1" applyFill="1" applyBorder="1" applyAlignment="1">
      <alignment horizontal="center" vertical="top" wrapText="1"/>
    </xf>
    <xf numFmtId="0" fontId="5" fillId="2" borderId="31" xfId="0" applyFont="1" applyFill="1" applyBorder="1" applyAlignment="1">
      <alignment horizontal="center" vertical="center"/>
    </xf>
    <xf numFmtId="0" fontId="4" fillId="3" borderId="36" xfId="0" applyFont="1" applyFill="1" applyBorder="1" applyAlignment="1">
      <alignment horizontal="center" vertical="center" wrapText="1"/>
    </xf>
    <xf numFmtId="0" fontId="15" fillId="4" borderId="37" xfId="0" applyFont="1" applyFill="1" applyBorder="1" applyAlignment="1">
      <alignment horizontal="center" vertical="center"/>
    </xf>
    <xf numFmtId="0" fontId="5" fillId="2" borderId="36" xfId="0" applyFont="1" applyFill="1" applyBorder="1" applyAlignment="1">
      <alignment horizontal="center" vertical="top" wrapText="1"/>
    </xf>
    <xf numFmtId="0" fontId="35" fillId="2" borderId="36" xfId="0" applyFont="1" applyFill="1" applyBorder="1" applyAlignment="1">
      <alignment horizontal="center" vertical="top" wrapText="1"/>
    </xf>
    <xf numFmtId="0" fontId="4" fillId="3" borderId="30" xfId="0" applyFont="1" applyFill="1" applyBorder="1" applyAlignment="1" applyProtection="1">
      <alignment horizontal="center" vertical="center" wrapText="1"/>
      <protection locked="0"/>
    </xf>
    <xf numFmtId="0" fontId="15" fillId="4" borderId="33" xfId="0" applyFont="1" applyFill="1" applyBorder="1" applyAlignment="1" applyProtection="1">
      <alignment horizontal="center" vertical="center"/>
      <protection locked="0"/>
    </xf>
    <xf numFmtId="0" fontId="5" fillId="3" borderId="30" xfId="0" applyFont="1" applyFill="1" applyBorder="1" applyAlignment="1">
      <alignment horizontal="center" vertical="top" wrapText="1"/>
    </xf>
    <xf numFmtId="0" fontId="4" fillId="3" borderId="36" xfId="0" applyFont="1" applyFill="1" applyBorder="1" applyAlignment="1" applyProtection="1">
      <alignment horizontal="center" vertical="center" wrapText="1"/>
      <protection locked="0"/>
    </xf>
    <xf numFmtId="0" fontId="15" fillId="4" borderId="37" xfId="0" applyFont="1" applyFill="1" applyBorder="1" applyAlignment="1" applyProtection="1">
      <alignment horizontal="center" vertical="center"/>
      <protection locked="0"/>
    </xf>
    <xf numFmtId="0" fontId="4" fillId="3" borderId="30" xfId="0" applyFont="1" applyFill="1" applyBorder="1" applyAlignment="1">
      <alignment horizontal="center" vertical="center" wrapText="1"/>
    </xf>
    <xf numFmtId="0" fontId="12" fillId="3" borderId="38" xfId="0" applyFont="1" applyFill="1" applyBorder="1" applyAlignment="1">
      <alignment vertical="center"/>
    </xf>
    <xf numFmtId="3" fontId="3" fillId="3" borderId="36" xfId="0" applyNumberFormat="1" applyFont="1" applyFill="1" applyBorder="1" applyAlignment="1">
      <alignment horizontal="center" vertical="center" wrapText="1"/>
    </xf>
    <xf numFmtId="0" fontId="5" fillId="2" borderId="36" xfId="0" applyFont="1" applyFill="1" applyBorder="1" applyAlignment="1" applyProtection="1">
      <alignment horizontal="center" vertical="top" wrapText="1"/>
      <protection locked="0"/>
    </xf>
    <xf numFmtId="0" fontId="4" fillId="3" borderId="35" xfId="0" applyFont="1" applyFill="1" applyBorder="1" applyAlignment="1" applyProtection="1">
      <alignment horizontal="center" vertical="center" wrapText="1"/>
      <protection locked="0"/>
    </xf>
    <xf numFmtId="0" fontId="5" fillId="0" borderId="36" xfId="0" applyFont="1" applyFill="1" applyBorder="1" applyAlignment="1" applyProtection="1">
      <alignment horizontal="center" vertical="top" wrapText="1"/>
      <protection locked="0"/>
    </xf>
    <xf numFmtId="0" fontId="5" fillId="2" borderId="31" xfId="0" applyFont="1" applyFill="1" applyBorder="1" applyAlignment="1" applyProtection="1">
      <alignment horizontal="center" vertical="center"/>
      <protection locked="0"/>
    </xf>
    <xf numFmtId="0" fontId="5" fillId="0" borderId="30" xfId="0" applyFont="1" applyFill="1" applyBorder="1" applyAlignment="1" applyProtection="1">
      <alignment horizontal="center" vertical="top" wrapText="1"/>
      <protection locked="0"/>
    </xf>
    <xf numFmtId="0" fontId="5" fillId="2" borderId="32" xfId="0" applyFont="1" applyFill="1" applyBorder="1" applyAlignment="1">
      <alignment horizontal="center" vertical="center"/>
    </xf>
    <xf numFmtId="0" fontId="5" fillId="0" borderId="36" xfId="0" applyFont="1" applyFill="1" applyBorder="1" applyAlignment="1" applyProtection="1">
      <alignment horizontal="center" vertical="top" wrapText="1"/>
    </xf>
    <xf numFmtId="0" fontId="4" fillId="3" borderId="36" xfId="0" applyFont="1" applyFill="1" applyBorder="1" applyAlignment="1">
      <alignment horizontal="center" vertical="center"/>
    </xf>
    <xf numFmtId="0" fontId="5" fillId="3" borderId="39" xfId="0" applyFont="1" applyFill="1" applyBorder="1" applyAlignment="1">
      <alignment horizontal="center" vertical="center"/>
    </xf>
    <xf numFmtId="0" fontId="15" fillId="4" borderId="39" xfId="0" applyFont="1" applyFill="1" applyBorder="1" applyAlignment="1">
      <alignment horizontal="center" vertical="center"/>
    </xf>
    <xf numFmtId="0" fontId="0" fillId="0" borderId="31" xfId="0" applyBorder="1"/>
    <xf numFmtId="0" fontId="1" fillId="2" borderId="0" xfId="0" applyFont="1" applyFill="1" applyBorder="1" applyAlignment="1">
      <alignment horizontal="center" vertical="center"/>
    </xf>
    <xf numFmtId="0" fontId="25" fillId="2" borderId="0" xfId="0" applyFont="1" applyFill="1" applyBorder="1" applyAlignment="1">
      <alignment horizontal="center" vertical="center" wrapText="1"/>
    </xf>
    <xf numFmtId="0" fontId="7" fillId="4" borderId="12" xfId="0" applyFont="1" applyFill="1" applyBorder="1" applyAlignment="1">
      <alignment horizontal="center" vertical="center"/>
    </xf>
    <xf numFmtId="0" fontId="35" fillId="2" borderId="13" xfId="0" applyFont="1" applyFill="1" applyBorder="1" applyAlignment="1">
      <alignment horizontal="center" vertical="top" wrapText="1"/>
    </xf>
    <xf numFmtId="0" fontId="5" fillId="2" borderId="0" xfId="0" applyFont="1" applyFill="1" applyBorder="1" applyAlignment="1">
      <alignment horizontal="center" vertical="center"/>
    </xf>
    <xf numFmtId="0" fontId="25" fillId="2" borderId="17" xfId="0" applyFont="1" applyFill="1" applyBorder="1" applyAlignment="1">
      <alignment horizontal="center" vertical="center" wrapText="1"/>
    </xf>
    <xf numFmtId="166" fontId="5" fillId="3" borderId="36" xfId="3" applyNumberFormat="1" applyFont="1" applyFill="1" applyBorder="1" applyAlignment="1" applyProtection="1">
      <alignment horizontal="center" vertical="top" wrapText="1"/>
    </xf>
    <xf numFmtId="166" fontId="5" fillId="3" borderId="2" xfId="3" applyNumberFormat="1" applyFont="1" applyFill="1" applyBorder="1" applyAlignment="1" applyProtection="1">
      <alignment horizontal="center" vertical="top" wrapText="1"/>
    </xf>
    <xf numFmtId="166" fontId="5" fillId="3" borderId="30" xfId="3" applyNumberFormat="1" applyFont="1" applyFill="1" applyBorder="1" applyAlignment="1" applyProtection="1">
      <alignment horizontal="center" vertical="top" wrapText="1"/>
    </xf>
    <xf numFmtId="0" fontId="12" fillId="3" borderId="3" xfId="0" applyFont="1" applyFill="1" applyBorder="1" applyAlignment="1">
      <alignment vertical="center"/>
    </xf>
    <xf numFmtId="0" fontId="4" fillId="3" borderId="13" xfId="0" applyFont="1" applyFill="1" applyBorder="1" applyAlignment="1" applyProtection="1">
      <alignment horizontal="center" vertical="center" wrapText="1"/>
      <protection locked="0"/>
    </xf>
    <xf numFmtId="0" fontId="5" fillId="3" borderId="13" xfId="0" applyFont="1" applyFill="1" applyBorder="1" applyAlignment="1">
      <alignment horizontal="center" vertical="top" wrapText="1"/>
    </xf>
    <xf numFmtId="0" fontId="12" fillId="3" borderId="42" xfId="0" applyFont="1" applyFill="1" applyBorder="1" applyAlignment="1">
      <alignment vertical="center"/>
    </xf>
    <xf numFmtId="0" fontId="26" fillId="0" borderId="0" xfId="0" applyFont="1" applyFill="1" applyBorder="1" applyAlignment="1">
      <alignment horizontal="center" vertical="center"/>
    </xf>
    <xf numFmtId="0" fontId="0" fillId="0" borderId="0" xfId="0"/>
    <xf numFmtId="0" fontId="4" fillId="3" borderId="2" xfId="0" applyFont="1" applyFill="1" applyBorder="1" applyAlignment="1">
      <alignment horizontal="left" vertical="center" wrapText="1"/>
    </xf>
    <xf numFmtId="0" fontId="0" fillId="0" borderId="0" xfId="0" applyAlignment="1">
      <alignment vertical="center" wrapText="1"/>
    </xf>
    <xf numFmtId="0" fontId="7" fillId="4" borderId="43" xfId="0" applyFont="1" applyFill="1" applyBorder="1" applyAlignment="1">
      <alignment horizontal="center" vertical="center"/>
    </xf>
    <xf numFmtId="0" fontId="7" fillId="4" borderId="44" xfId="0" applyFont="1" applyFill="1" applyBorder="1" applyAlignment="1">
      <alignment horizontal="center" vertical="center"/>
    </xf>
    <xf numFmtId="0" fontId="7" fillId="4" borderId="45" xfId="0" applyFont="1" applyFill="1" applyBorder="1" applyAlignment="1">
      <alignment horizontal="center" vertical="center"/>
    </xf>
    <xf numFmtId="0" fontId="0" fillId="0" borderId="2" xfId="0" applyBorder="1" applyAlignment="1">
      <alignment vertical="center" wrapText="1"/>
    </xf>
    <xf numFmtId="0" fontId="0" fillId="0" borderId="0" xfId="0" applyFont="1" applyAlignment="1">
      <alignment horizontal="left" vertical="top" wrapText="1"/>
    </xf>
    <xf numFmtId="0" fontId="0" fillId="0" borderId="13" xfId="0" applyBorder="1" applyAlignment="1">
      <alignment vertical="center" wrapText="1"/>
    </xf>
    <xf numFmtId="0" fontId="9" fillId="0" borderId="0" xfId="0" applyFont="1" applyBorder="1" applyAlignment="1">
      <alignment horizontal="center" vertical="center" wrapText="1"/>
    </xf>
    <xf numFmtId="0" fontId="9" fillId="0" borderId="46" xfId="0" applyFont="1" applyBorder="1" applyAlignment="1">
      <alignment horizontal="center" vertical="center"/>
    </xf>
    <xf numFmtId="0" fontId="0" fillId="0" borderId="14" xfId="0" applyFont="1" applyBorder="1" applyAlignment="1">
      <alignment horizontal="left" vertical="top" wrapText="1"/>
    </xf>
    <xf numFmtId="0" fontId="9" fillId="0" borderId="5" xfId="0" applyFont="1" applyBorder="1" applyAlignment="1">
      <alignment horizontal="center" vertical="center"/>
    </xf>
    <xf numFmtId="0" fontId="0" fillId="0" borderId="12" xfId="0" applyFont="1" applyBorder="1" applyAlignment="1">
      <alignment horizontal="left" vertical="top" wrapText="1"/>
    </xf>
    <xf numFmtId="0" fontId="9" fillId="0" borderId="47" xfId="0" applyFont="1" applyBorder="1" applyAlignment="1">
      <alignment horizontal="center" vertical="center" wrapText="1"/>
    </xf>
    <xf numFmtId="0" fontId="0" fillId="0" borderId="48" xfId="0" applyFont="1" applyBorder="1" applyAlignment="1">
      <alignment horizontal="left" vertical="top" wrapText="1"/>
    </xf>
    <xf numFmtId="0" fontId="0" fillId="0" borderId="14" xfId="0" applyBorder="1" applyAlignment="1">
      <alignment vertical="center" wrapText="1"/>
    </xf>
    <xf numFmtId="0" fontId="0" fillId="0" borderId="12" xfId="0" applyBorder="1" applyAlignment="1">
      <alignment vertical="center" wrapText="1"/>
    </xf>
    <xf numFmtId="0" fontId="0" fillId="0" borderId="48" xfId="0" applyBorder="1" applyAlignment="1">
      <alignment vertical="center" wrapText="1"/>
    </xf>
    <xf numFmtId="0" fontId="9" fillId="0" borderId="46" xfId="0" applyFont="1" applyBorder="1" applyAlignment="1">
      <alignment vertical="center"/>
    </xf>
    <xf numFmtId="0" fontId="9" fillId="0" borderId="5" xfId="0" applyFont="1" applyBorder="1" applyAlignment="1">
      <alignment vertical="center"/>
    </xf>
    <xf numFmtId="0" fontId="9" fillId="0" borderId="47" xfId="0" applyFont="1" applyBorder="1" applyAlignment="1">
      <alignment vertical="center"/>
    </xf>
    <xf numFmtId="0" fontId="9" fillId="0" borderId="0" xfId="0" applyFont="1" applyBorder="1" applyAlignment="1">
      <alignment vertical="center"/>
    </xf>
    <xf numFmtId="0" fontId="0" fillId="0" borderId="0" xfId="0" applyBorder="1" applyAlignment="1">
      <alignment vertical="center" wrapText="1"/>
    </xf>
    <xf numFmtId="0" fontId="9" fillId="0" borderId="30" xfId="0" applyFont="1" applyBorder="1" applyAlignment="1">
      <alignment vertical="center"/>
    </xf>
    <xf numFmtId="0" fontId="0" fillId="0" borderId="0" xfId="0" applyAlignment="1"/>
    <xf numFmtId="0" fontId="9" fillId="0" borderId="5" xfId="0" applyFont="1" applyBorder="1" applyAlignment="1">
      <alignment horizontal="center" vertical="center" wrapText="1"/>
    </xf>
    <xf numFmtId="0" fontId="0" fillId="0" borderId="12" xfId="0" applyFont="1" applyBorder="1" applyAlignment="1">
      <alignment vertical="center" wrapText="1"/>
    </xf>
    <xf numFmtId="0" fontId="0" fillId="0" borderId="48" xfId="0" applyFont="1" applyBorder="1" applyAlignment="1">
      <alignment horizontal="left" vertical="center" wrapText="1"/>
    </xf>
    <xf numFmtId="0" fontId="36" fillId="2" borderId="0" xfId="0" applyFont="1" applyFill="1" applyBorder="1" applyAlignment="1">
      <alignment horizontal="center" vertical="top"/>
    </xf>
    <xf numFmtId="0" fontId="36" fillId="2" borderId="30" xfId="0" applyFont="1" applyFill="1" applyBorder="1" applyAlignment="1">
      <alignment horizontal="center" vertical="top"/>
    </xf>
    <xf numFmtId="0" fontId="0" fillId="0" borderId="0" xfId="0" applyBorder="1"/>
    <xf numFmtId="0" fontId="36" fillId="2" borderId="34" xfId="0" applyFont="1" applyFill="1" applyBorder="1" applyAlignment="1">
      <alignment horizontal="center" vertical="top"/>
    </xf>
    <xf numFmtId="165" fontId="5" fillId="3" borderId="2" xfId="0" applyNumberFormat="1" applyFont="1" applyFill="1" applyBorder="1" applyAlignment="1" applyProtection="1">
      <alignment horizontal="center" vertical="top" wrapText="1"/>
    </xf>
    <xf numFmtId="165" fontId="5" fillId="0" borderId="13" xfId="0" applyNumberFormat="1" applyFont="1" applyFill="1" applyBorder="1" applyAlignment="1" applyProtection="1">
      <alignment horizontal="center" vertical="top" wrapText="1"/>
      <protection locked="0"/>
    </xf>
    <xf numFmtId="165" fontId="5" fillId="0" borderId="34" xfId="0" applyNumberFormat="1" applyFont="1" applyFill="1" applyBorder="1" applyAlignment="1" applyProtection="1">
      <alignment horizontal="center" vertical="top" wrapText="1"/>
      <protection locked="0"/>
    </xf>
    <xf numFmtId="14" fontId="5" fillId="0" borderId="2" xfId="0" applyNumberFormat="1" applyFont="1" applyFill="1" applyBorder="1" applyAlignment="1" applyProtection="1">
      <alignment horizontal="center" vertical="top" wrapText="1"/>
      <protection locked="0"/>
    </xf>
    <xf numFmtId="14" fontId="5" fillId="2" borderId="36" xfId="0" applyNumberFormat="1" applyFont="1" applyFill="1" applyBorder="1" applyAlignment="1" applyProtection="1">
      <alignment horizontal="center" vertical="top" wrapText="1"/>
      <protection locked="0"/>
    </xf>
    <xf numFmtId="14" fontId="5" fillId="2" borderId="13" xfId="0" applyNumberFormat="1" applyFont="1" applyFill="1" applyBorder="1" applyAlignment="1" applyProtection="1">
      <alignment horizontal="center" vertical="top" wrapText="1"/>
      <protection locked="0"/>
    </xf>
    <xf numFmtId="14" fontId="5" fillId="2" borderId="34" xfId="0" applyNumberFormat="1" applyFont="1" applyFill="1" applyBorder="1" applyAlignment="1" applyProtection="1">
      <alignment horizontal="center" vertical="top" wrapText="1"/>
      <protection locked="0"/>
    </xf>
    <xf numFmtId="14" fontId="5" fillId="2" borderId="2" xfId="0" applyNumberFormat="1" applyFont="1" applyFill="1" applyBorder="1" applyAlignment="1" applyProtection="1">
      <alignment horizontal="center" vertical="top" wrapText="1"/>
      <protection locked="0"/>
    </xf>
    <xf numFmtId="14" fontId="0" fillId="0" borderId="0" xfId="0" applyNumberFormat="1"/>
    <xf numFmtId="14" fontId="11" fillId="0" borderId="0" xfId="0" applyNumberFormat="1" applyFont="1" applyFill="1" applyAlignment="1" applyProtection="1">
      <alignment horizontal="center" vertical="center"/>
      <protection locked="0"/>
    </xf>
    <xf numFmtId="0" fontId="38" fillId="0" borderId="0" xfId="0" applyFont="1" applyAlignment="1" applyProtection="1">
      <alignment horizontal="left" vertical="center" wrapText="1"/>
      <protection locked="0"/>
    </xf>
    <xf numFmtId="0" fontId="39" fillId="0" borderId="0" xfId="0" applyFont="1" applyProtection="1">
      <protection locked="0"/>
    </xf>
    <xf numFmtId="0" fontId="40" fillId="0" borderId="0" xfId="0" applyFont="1" applyProtection="1">
      <protection locked="0"/>
    </xf>
    <xf numFmtId="0" fontId="36" fillId="2" borderId="5" xfId="0" applyFont="1" applyFill="1" applyBorder="1" applyAlignment="1">
      <alignment horizontal="center" vertical="top"/>
    </xf>
    <xf numFmtId="0" fontId="36" fillId="2" borderId="0" xfId="0" applyFont="1" applyFill="1" applyBorder="1" applyAlignment="1">
      <alignment horizontal="center" vertical="top"/>
    </xf>
    <xf numFmtId="0" fontId="36" fillId="2" borderId="30" xfId="0" applyFont="1" applyFill="1" applyBorder="1" applyAlignment="1">
      <alignment horizontal="center" vertical="top"/>
    </xf>
    <xf numFmtId="0" fontId="36" fillId="2" borderId="34" xfId="0" applyFont="1" applyFill="1" applyBorder="1" applyAlignment="1">
      <alignment horizontal="center" vertical="top"/>
    </xf>
    <xf numFmtId="0" fontId="36" fillId="2" borderId="13" xfId="0" applyFont="1" applyFill="1" applyBorder="1" applyAlignment="1">
      <alignment horizontal="center" vertical="top"/>
    </xf>
    <xf numFmtId="0" fontId="37" fillId="2" borderId="30" xfId="0" applyFont="1" applyFill="1" applyBorder="1" applyAlignment="1">
      <alignment horizontal="center" vertical="top"/>
    </xf>
    <xf numFmtId="0" fontId="37" fillId="2" borderId="34" xfId="0" applyFont="1" applyFill="1" applyBorder="1" applyAlignment="1">
      <alignment horizontal="center" vertical="top"/>
    </xf>
    <xf numFmtId="0" fontId="37" fillId="2" borderId="13" xfId="0" applyFont="1" applyFill="1" applyBorder="1" applyAlignment="1">
      <alignment horizontal="center" vertical="top"/>
    </xf>
    <xf numFmtId="0" fontId="9" fillId="10" borderId="30" xfId="0" applyFont="1" applyFill="1" applyBorder="1" applyAlignment="1">
      <alignment horizontal="center" vertical="center"/>
    </xf>
    <xf numFmtId="0" fontId="9" fillId="10" borderId="34" xfId="0" applyFont="1" applyFill="1" applyBorder="1" applyAlignment="1">
      <alignment horizontal="center" vertical="center"/>
    </xf>
    <xf numFmtId="0" fontId="9" fillId="10" borderId="13" xfId="0" applyFont="1" applyFill="1" applyBorder="1" applyAlignment="1">
      <alignment horizontal="center" vertical="center"/>
    </xf>
    <xf numFmtId="0" fontId="9" fillId="0" borderId="2" xfId="0" applyFont="1" applyBorder="1" applyAlignment="1">
      <alignment horizontal="center" vertical="center"/>
    </xf>
    <xf numFmtId="0" fontId="9" fillId="0" borderId="30" xfId="0" applyFont="1" applyBorder="1" applyAlignment="1">
      <alignment horizontal="center" vertical="center" wrapText="1"/>
    </xf>
    <xf numFmtId="0" fontId="9" fillId="0" borderId="13" xfId="0" applyFont="1" applyBorder="1" applyAlignment="1">
      <alignment horizontal="center" vertical="center" wrapText="1"/>
    </xf>
    <xf numFmtId="0" fontId="14" fillId="0" borderId="0" xfId="0" applyFont="1" applyFill="1" applyAlignment="1">
      <alignment horizontal="left" vertical="top"/>
    </xf>
    <xf numFmtId="0" fontId="12" fillId="3" borderId="15" xfId="0" applyFont="1" applyFill="1" applyBorder="1" applyAlignment="1">
      <alignment horizontal="center" vertical="center"/>
    </xf>
    <xf numFmtId="0" fontId="12" fillId="3" borderId="16" xfId="0" applyFont="1" applyFill="1" applyBorder="1" applyAlignment="1">
      <alignment horizontal="center" vertical="center"/>
    </xf>
    <xf numFmtId="0" fontId="24" fillId="9" borderId="27" xfId="0" applyFont="1" applyFill="1" applyBorder="1" applyAlignment="1">
      <alignment horizontal="left" vertical="top" wrapText="1"/>
    </xf>
    <xf numFmtId="0" fontId="24" fillId="9" borderId="28" xfId="0" applyFont="1" applyFill="1" applyBorder="1" applyAlignment="1">
      <alignment horizontal="left" vertical="top" wrapText="1"/>
    </xf>
    <xf numFmtId="0" fontId="12" fillId="3" borderId="38" xfId="0" applyFont="1" applyFill="1" applyBorder="1" applyAlignment="1">
      <alignment horizontal="left" vertical="center"/>
    </xf>
    <xf numFmtId="0" fontId="12" fillId="3" borderId="20" xfId="0" applyFont="1" applyFill="1" applyBorder="1" applyAlignment="1">
      <alignment horizontal="left" vertical="center"/>
    </xf>
    <xf numFmtId="0" fontId="12" fillId="3" borderId="19" xfId="0" applyFont="1" applyFill="1" applyBorder="1" applyAlignment="1">
      <alignment horizontal="left" vertical="center"/>
    </xf>
    <xf numFmtId="0" fontId="12" fillId="3" borderId="3" xfId="0" applyFont="1" applyFill="1" applyBorder="1" applyAlignment="1">
      <alignment horizontal="left" vertical="center"/>
    </xf>
    <xf numFmtId="0" fontId="12" fillId="3" borderId="4" xfId="0" applyFont="1" applyFill="1" applyBorder="1" applyAlignment="1">
      <alignment horizontal="left" vertical="center"/>
    </xf>
    <xf numFmtId="0" fontId="12" fillId="3" borderId="21" xfId="0" applyFont="1" applyFill="1" applyBorder="1" applyAlignment="1">
      <alignment horizontal="left" vertical="center"/>
    </xf>
    <xf numFmtId="0" fontId="34" fillId="2" borderId="17" xfId="0" applyFont="1" applyFill="1" applyBorder="1" applyAlignment="1">
      <alignment horizontal="left" vertical="center"/>
    </xf>
    <xf numFmtId="0" fontId="12" fillId="3" borderId="3" xfId="0" applyFont="1" applyFill="1" applyBorder="1" applyAlignment="1" applyProtection="1">
      <alignment horizontal="left" vertical="center"/>
      <protection locked="0"/>
    </xf>
    <xf numFmtId="0" fontId="12" fillId="3" borderId="4" xfId="0" applyFont="1" applyFill="1" applyBorder="1" applyAlignment="1" applyProtection="1">
      <alignment horizontal="left" vertical="center"/>
      <protection locked="0"/>
    </xf>
    <xf numFmtId="0" fontId="12" fillId="3" borderId="18" xfId="0" applyFont="1" applyFill="1" applyBorder="1" applyAlignment="1" applyProtection="1">
      <alignment horizontal="left" vertical="center"/>
      <protection locked="0"/>
    </xf>
    <xf numFmtId="0" fontId="12" fillId="3" borderId="20" xfId="0" applyFont="1" applyFill="1" applyBorder="1" applyAlignment="1" applyProtection="1">
      <alignment horizontal="left" vertical="center"/>
      <protection locked="0"/>
    </xf>
    <xf numFmtId="0" fontId="33" fillId="2" borderId="17" xfId="0" applyFont="1" applyFill="1" applyBorder="1" applyAlignment="1">
      <alignment horizontal="center" vertical="center" wrapText="1"/>
    </xf>
    <xf numFmtId="0" fontId="12" fillId="3" borderId="40" xfId="0" applyFont="1" applyFill="1" applyBorder="1" applyAlignment="1">
      <alignment horizontal="left" vertical="center"/>
    </xf>
    <xf numFmtId="0" fontId="12" fillId="3" borderId="41" xfId="0" applyFont="1" applyFill="1" applyBorder="1" applyAlignment="1">
      <alignment horizontal="left" vertical="center"/>
    </xf>
    <xf numFmtId="0" fontId="31" fillId="0" borderId="0" xfId="0" applyFont="1" applyAlignment="1">
      <alignment horizontal="left"/>
    </xf>
    <xf numFmtId="0" fontId="9" fillId="6" borderId="0" xfId="0" applyFont="1" applyFill="1" applyAlignment="1">
      <alignment horizontal="center" wrapText="1"/>
    </xf>
    <xf numFmtId="0" fontId="0" fillId="0" borderId="0" xfId="0" applyAlignment="1">
      <alignment horizontal="center"/>
    </xf>
    <xf numFmtId="0" fontId="0" fillId="0" borderId="0" xfId="0" applyAlignment="1">
      <alignment horizontal="center" vertical="center"/>
    </xf>
  </cellXfs>
  <cellStyles count="8">
    <cellStyle name="Comma 2" xfId="5" xr:uid="{E17F2546-F9B5-4ED1-B538-CE8969D905FD}"/>
    <cellStyle name="Comma 3" xfId="2" xr:uid="{9F3620BC-6570-4821-A109-B7C59E51EC5E}"/>
    <cellStyle name="Comma 3 2" xfId="6" xr:uid="{BEEFE6D0-C743-4AB3-B200-F1B4B9E3D76B}"/>
    <cellStyle name="Currency" xfId="3" builtinId="4"/>
    <cellStyle name="Currency 2" xfId="7" xr:uid="{AA365B12-D43F-49E5-88F6-02A9FECC099C}"/>
    <cellStyle name="Normal" xfId="0" builtinId="0"/>
    <cellStyle name="Normal 2 4" xfId="4" xr:uid="{7FC29283-96A4-4073-9126-33BE5960D54B}"/>
    <cellStyle name="Normal 6" xfId="1" xr:uid="{E7BD5715-E06F-4718-B724-93599D421480}"/>
  </cellStyles>
  <dxfs count="48">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7030A0"/>
        </patternFill>
      </fill>
    </dxf>
    <dxf>
      <font>
        <b/>
        <i val="0"/>
      </font>
      <fill>
        <patternFill>
          <bgColor rgb="FFFFFF00"/>
        </patternFill>
      </fill>
      <border>
        <left style="thin">
          <color rgb="FFFF0000"/>
        </left>
        <right style="thin">
          <color rgb="FFFF0000"/>
        </right>
        <top style="thin">
          <color rgb="FFFF0000"/>
        </top>
        <bottom style="thin">
          <color rgb="FFFF0000"/>
        </bottom>
      </border>
    </dxf>
    <dxf>
      <fill>
        <patternFill>
          <bgColor rgb="FF893BC3"/>
        </patternFill>
      </fill>
    </dxf>
    <dxf>
      <fill>
        <patternFill>
          <bgColor theme="0" tint="-0.24994659260841701"/>
        </patternFill>
      </fill>
    </dxf>
    <dxf>
      <fill>
        <patternFill>
          <bgColor rgb="FFFF0000"/>
        </patternFill>
      </fill>
    </dxf>
    <dxf>
      <fill>
        <patternFill>
          <bgColor theme="0" tint="-0.24994659260841701"/>
        </patternFill>
      </fill>
    </dxf>
    <dxf>
      <protection locked="0" hidden="0"/>
    </dxf>
    <dxf>
      <protection locked="0" hidden="0"/>
    </dxf>
    <dxf>
      <protection locked="0" hidden="0"/>
    </dxf>
    <dxf>
      <protection locked="0" hidden="0"/>
    </dxf>
    <dxf>
      <protection locked="0" hidden="0"/>
    </dxf>
    <dxf>
      <protection locked="0" hidden="0"/>
    </dxf>
  </dxfs>
  <tableStyles count="0" defaultTableStyle="TableStyleMedium2" defaultPivotStyle="PivotStyleLight16"/>
  <colors>
    <mruColors>
      <color rgb="FF893BC3"/>
      <color rgb="FF8C3F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Grunenko, Kristin (EDU)" id="{BA27502C-B875-482C-98B4-0F6CBD19545A}" userId="S::Kristin.Grunenko@ontario.ca::d2e04e18-6de5-4634-93cb-6a91ade118c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979BA2-5FA0-47BC-B88F-AD5C45D85D62}" name="Table1" displayName="Table1" ref="A4:E29" totalsRowShown="0" dataDxfId="47">
  <autoFilter ref="A4:E29" xr:uid="{D7979BA2-5FA0-47BC-B88F-AD5C45D85D62}"/>
  <tableColumns count="5">
    <tableColumn id="2" xr3:uid="{99834B35-951E-4502-A771-3689BFB7D62F}" name="Name " dataDxfId="46"/>
    <tableColumn id="1" xr3:uid="{6AB9033E-F018-4C58-886E-9609663EFA86}" name="Role" dataDxfId="45"/>
    <tableColumn id="3" xr3:uid="{0419F9DE-D756-4638-A048-C435C33D4D34}" name="Title " dataDxfId="44"/>
    <tableColumn id="4" xr3:uid="{2F5FA33B-5CD4-42A0-9444-5EAD2A474103}" name="Email " dataDxfId="43"/>
    <tableColumn id="5" xr3:uid="{415C1599-E34E-4EAC-9960-CC647B2DD4C5}" name="Phone " dataDxfId="42"/>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I13" dT="2026-01-27T19:38:58.91" personId="{BA27502C-B875-482C-98B4-0F6CBD19545A}" id="{E27CCF7D-6C9E-4794-8C9E-31E69D305B3D}">
    <text xml:space="preserve">Year after due to licensing requirements. Need full occupancy permit. There is a lot of the municipal conditions that still need to be met. 
</text>
  </threadedComment>
</ThreadedComment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workbookViewId="0"/>
  </sheetViews>
  <sheetFormatPr defaultRowHeight="15" x14ac:dyDescent="0.25"/>
  <sheetData>
    <row r="1" spans="1:1" x14ac:dyDescent="0.25">
      <c r="A1" t="s">
        <v>265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E96"/>
  <sheetViews>
    <sheetView topLeftCell="A18" zoomScale="140" zoomScaleNormal="140" workbookViewId="0">
      <selection activeCell="C21" sqref="C21"/>
    </sheetView>
  </sheetViews>
  <sheetFormatPr defaultRowHeight="15" x14ac:dyDescent="0.25"/>
  <cols>
    <col min="1" max="1" width="7" style="49" bestFit="1" customWidth="1"/>
    <col min="2" max="2" width="30.5703125" style="6" customWidth="1"/>
    <col min="3" max="3" width="82.85546875" style="162" customWidth="1"/>
    <col min="5" max="5" width="20.28515625" customWidth="1"/>
  </cols>
  <sheetData>
    <row r="1" spans="1:5" s="160" customFormat="1" ht="30" x14ac:dyDescent="0.25">
      <c r="A1" s="206" t="s">
        <v>405</v>
      </c>
      <c r="B1" s="207"/>
      <c r="C1" s="207"/>
      <c r="D1" s="207"/>
    </row>
    <row r="2" spans="1:5" s="160" customFormat="1" x14ac:dyDescent="0.25">
      <c r="A2" s="49"/>
      <c r="B2" s="6"/>
      <c r="C2" s="162"/>
    </row>
    <row r="3" spans="1:5" s="160" customFormat="1" x14ac:dyDescent="0.25">
      <c r="A3" s="49"/>
      <c r="B3" s="6"/>
      <c r="C3" s="162"/>
    </row>
    <row r="4" spans="1:5" s="160" customFormat="1" ht="60" x14ac:dyDescent="0.25">
      <c r="A4" s="49"/>
      <c r="B4" s="184" t="s">
        <v>384</v>
      </c>
      <c r="C4" s="168" t="s">
        <v>415</v>
      </c>
    </row>
    <row r="5" spans="1:5" s="160" customFormat="1" x14ac:dyDescent="0.25">
      <c r="A5" s="49"/>
      <c r="B5" s="6"/>
      <c r="C5" s="162"/>
    </row>
    <row r="6" spans="1:5" s="160" customFormat="1" x14ac:dyDescent="0.25">
      <c r="A6" s="49"/>
      <c r="B6" s="217" t="s">
        <v>397</v>
      </c>
      <c r="C6" s="217"/>
    </row>
    <row r="7" spans="1:5" s="160" customFormat="1" ht="195" x14ac:dyDescent="0.25">
      <c r="A7" s="49"/>
      <c r="B7" s="170" t="s">
        <v>398</v>
      </c>
      <c r="C7" s="171" t="s">
        <v>416</v>
      </c>
    </row>
    <row r="8" spans="1:5" s="160" customFormat="1" ht="75" x14ac:dyDescent="0.25">
      <c r="A8" s="49"/>
      <c r="B8" s="172" t="s">
        <v>399</v>
      </c>
      <c r="C8" s="173" t="s">
        <v>417</v>
      </c>
    </row>
    <row r="9" spans="1:5" s="160" customFormat="1" ht="165" x14ac:dyDescent="0.25">
      <c r="A9" s="49"/>
      <c r="B9" s="174" t="s">
        <v>400</v>
      </c>
      <c r="C9" s="175" t="s">
        <v>418</v>
      </c>
    </row>
    <row r="10" spans="1:5" s="160" customFormat="1" x14ac:dyDescent="0.25">
      <c r="A10" s="49"/>
      <c r="B10" s="169"/>
      <c r="C10" s="167"/>
    </row>
    <row r="11" spans="1:5" s="160" customFormat="1" x14ac:dyDescent="0.25">
      <c r="A11" s="49"/>
      <c r="B11" s="218" t="s">
        <v>402</v>
      </c>
      <c r="C11" s="219"/>
    </row>
    <row r="12" spans="1:5" s="160" customFormat="1" ht="150" x14ac:dyDescent="0.25">
      <c r="A12" s="49"/>
      <c r="B12" s="186" t="s">
        <v>403</v>
      </c>
      <c r="C12" s="187" t="s">
        <v>419</v>
      </c>
      <c r="E12" s="185"/>
    </row>
    <row r="13" spans="1:5" s="160" customFormat="1" ht="225" x14ac:dyDescent="0.25">
      <c r="A13" s="49"/>
      <c r="B13" s="174" t="s">
        <v>404</v>
      </c>
      <c r="C13" s="188" t="s">
        <v>444</v>
      </c>
    </row>
    <row r="14" spans="1:5" s="160" customFormat="1" x14ac:dyDescent="0.25">
      <c r="A14" s="49"/>
      <c r="B14" s="169"/>
      <c r="C14" s="167"/>
    </row>
    <row r="15" spans="1:5" s="160" customFormat="1" ht="30" x14ac:dyDescent="0.25">
      <c r="A15" s="208" t="s">
        <v>432</v>
      </c>
      <c r="B15" s="209"/>
      <c r="C15" s="209"/>
      <c r="D15" s="210"/>
    </row>
    <row r="16" spans="1:5" s="191" customFormat="1" ht="30" x14ac:dyDescent="0.25">
      <c r="A16" s="189"/>
      <c r="B16" s="189"/>
      <c r="C16" s="189"/>
    </row>
    <row r="17" spans="1:4" s="160" customFormat="1" x14ac:dyDescent="0.25">
      <c r="A17" s="49"/>
      <c r="B17" s="217" t="s">
        <v>401</v>
      </c>
      <c r="C17" s="217"/>
    </row>
    <row r="18" spans="1:4" s="160" customFormat="1" ht="60" x14ac:dyDescent="0.25">
      <c r="A18" s="49"/>
      <c r="B18" s="179" t="s">
        <v>385</v>
      </c>
      <c r="C18" s="176" t="s">
        <v>420</v>
      </c>
    </row>
    <row r="19" spans="1:4" s="160" customFormat="1" ht="30" x14ac:dyDescent="0.25">
      <c r="A19" s="49"/>
      <c r="B19" s="180" t="s">
        <v>386</v>
      </c>
      <c r="C19" s="177" t="s">
        <v>421</v>
      </c>
    </row>
    <row r="20" spans="1:4" s="160" customFormat="1" ht="45" x14ac:dyDescent="0.25">
      <c r="A20" s="49"/>
      <c r="B20" s="180" t="s">
        <v>387</v>
      </c>
      <c r="C20" s="177" t="s">
        <v>433</v>
      </c>
    </row>
    <row r="21" spans="1:4" s="160" customFormat="1" ht="45" x14ac:dyDescent="0.25">
      <c r="A21" s="49"/>
      <c r="B21" s="180" t="s">
        <v>388</v>
      </c>
      <c r="C21" s="177" t="s">
        <v>396</v>
      </c>
    </row>
    <row r="22" spans="1:4" s="160" customFormat="1" ht="30" x14ac:dyDescent="0.25">
      <c r="A22" s="49"/>
      <c r="B22" s="181" t="s">
        <v>389</v>
      </c>
      <c r="C22" s="178" t="s">
        <v>422</v>
      </c>
    </row>
    <row r="23" spans="1:4" s="160" customFormat="1" x14ac:dyDescent="0.25">
      <c r="A23" s="49"/>
      <c r="B23" s="182"/>
      <c r="C23" s="183"/>
    </row>
    <row r="24" spans="1:4" s="160" customFormat="1" ht="22.5" x14ac:dyDescent="0.25">
      <c r="A24" s="211" t="s">
        <v>424</v>
      </c>
      <c r="B24" s="212"/>
      <c r="C24" s="212"/>
      <c r="D24" s="213"/>
    </row>
    <row r="25" spans="1:4" s="160" customFormat="1" ht="11.25" customHeight="1" x14ac:dyDescent="0.25">
      <c r="A25" s="190"/>
      <c r="B25" s="192"/>
      <c r="C25" s="192"/>
      <c r="D25" s="189"/>
    </row>
    <row r="26" spans="1:4" s="160" customFormat="1" x14ac:dyDescent="0.25">
      <c r="A26" s="214" t="str">
        <f>'Basic Project Info'!A2</f>
        <v>Section 1: Project Details</v>
      </c>
      <c r="B26" s="215"/>
      <c r="C26" s="216"/>
    </row>
    <row r="27" spans="1:4" s="160" customFormat="1" ht="45" x14ac:dyDescent="0.25">
      <c r="A27" s="33" t="s">
        <v>314</v>
      </c>
      <c r="B27" s="161" t="str">
        <f>_xlfn.XLOOKUP(A27,'Basic Project Info'!$A$3:$L$3, 'Basic Project Info'!$A$4:$L$4)</f>
        <v>Project ID</v>
      </c>
      <c r="C27" s="166" t="str">
        <f>C44</f>
        <v>Automatically generated and uneditable. Each project is assigned a unique ID for tracking throughout its lifecycle. The ID displayed here is the ID for the construction portion of the project.</v>
      </c>
    </row>
    <row r="28" spans="1:4" s="160" customFormat="1" ht="30" x14ac:dyDescent="0.25">
      <c r="A28" s="33" t="str">
        <f t="shared" ref="A28:A36" si="0">"Col " &amp; ROW() -ROW($A$27)+1</f>
        <v>Col 2</v>
      </c>
      <c r="B28" s="161" t="str">
        <f>_xlfn.XLOOKUP(A28,'Basic Project Info'!$A$3:$L$3, 'Basic Project Info'!$A$4:$L$4)</f>
        <v>Project Name</v>
      </c>
      <c r="C28" s="166" t="s">
        <v>425</v>
      </c>
    </row>
    <row r="29" spans="1:4" s="160" customFormat="1" ht="60" x14ac:dyDescent="0.25">
      <c r="A29" s="33" t="str">
        <f t="shared" si="0"/>
        <v>Col 3</v>
      </c>
      <c r="B29" s="161" t="str">
        <f>_xlfn.XLOOKUP(A29,'Basic Project Info'!$A$3:$L$3, 'Basic Project Info'!$A$4:$L$4)</f>
        <v>Official School Name</v>
      </c>
      <c r="C29" s="166" t="s">
        <v>434</v>
      </c>
    </row>
    <row r="30" spans="1:4" s="160" customFormat="1" ht="30" x14ac:dyDescent="0.25">
      <c r="A30" s="33" t="str">
        <f t="shared" si="0"/>
        <v>Col 4</v>
      </c>
      <c r="B30" s="161" t="str">
        <f>_xlfn.XLOOKUP(A30,'Basic Project Info'!$A$3:$L$3, 'Basic Project Info'!$A$4:$L$4)</f>
        <v>Project Type</v>
      </c>
      <c r="C30" s="166" t="str">
        <f>C47</f>
        <v>Automatically generated and uneditable. Project types potentially included in this tracker are: New Construction, Retrofit, Addition, and Purchase.</v>
      </c>
    </row>
    <row r="31" spans="1:4" s="160" customFormat="1" ht="60" x14ac:dyDescent="0.25">
      <c r="A31" s="33" t="str">
        <f t="shared" si="0"/>
        <v>Col 5</v>
      </c>
      <c r="B31" s="161" t="str">
        <f>_xlfn.XLOOKUP(A31,'Basic Project Info'!$A$3:$L$3, 'Basic Project Info'!$A$4:$L$4)</f>
        <v xml:space="preserve">Project Category </v>
      </c>
      <c r="C31" s="166" t="str">
        <f>C48</f>
        <v>Automatically generated and uneditable. This field identifies the need that is met by the project. Potential project categories that could be included on this tracker are: Accommodation Pressure, Child Care, Facility Condition, Consolidation, and French Language Access.</v>
      </c>
    </row>
    <row r="32" spans="1:4" s="160" customFormat="1" x14ac:dyDescent="0.25">
      <c r="A32" s="33" t="str">
        <f t="shared" si="0"/>
        <v>Col 6</v>
      </c>
      <c r="B32" s="161" t="str">
        <f>_xlfn.XLOOKUP(A32,'Basic Project Info'!$A$3:$L$3, 'Basic Project Info'!$A$4:$L$4)</f>
        <v>Address</v>
      </c>
      <c r="C32" s="166" t="s">
        <v>408</v>
      </c>
    </row>
    <row r="33" spans="1:4" s="160" customFormat="1" ht="45" x14ac:dyDescent="0.25">
      <c r="A33" s="33" t="str">
        <f t="shared" si="0"/>
        <v>Col 7</v>
      </c>
      <c r="B33" s="161" t="str">
        <f>_xlfn.XLOOKUP(A33,'Basic Project Info'!$A$3:$L$3, 'Basic Project Info'!$A$4:$L$4)</f>
        <v xml:space="preserve">City </v>
      </c>
      <c r="C33" s="166" t="s">
        <v>426</v>
      </c>
    </row>
    <row r="34" spans="1:4" s="160" customFormat="1" x14ac:dyDescent="0.25">
      <c r="A34" s="33" t="str">
        <f t="shared" si="0"/>
        <v>Col 8</v>
      </c>
      <c r="B34" s="161" t="str">
        <f>_xlfn.XLOOKUP(A34,'Basic Project Info'!$A$3:$L$3, 'Basic Project Info'!$A$4:$L$4)</f>
        <v>Postal Code</v>
      </c>
      <c r="C34" s="166" t="s">
        <v>407</v>
      </c>
    </row>
    <row r="35" spans="1:4" s="160" customFormat="1" ht="30" x14ac:dyDescent="0.25">
      <c r="A35" s="33" t="str">
        <f t="shared" si="0"/>
        <v>Col 9</v>
      </c>
      <c r="B35" s="161" t="str">
        <f>_xlfn.XLOOKUP(A35,'Basic Project Info'!$A$3:$L$3, 'Basic Project Info'!$A$4:$L$4)</f>
        <v>Latitude</v>
      </c>
      <c r="C35" s="166" t="s">
        <v>410</v>
      </c>
    </row>
    <row r="36" spans="1:4" s="160" customFormat="1" ht="30" x14ac:dyDescent="0.25">
      <c r="A36" s="33" t="str">
        <f t="shared" si="0"/>
        <v>Col 10</v>
      </c>
      <c r="B36" s="161" t="str">
        <f>_xlfn.XLOOKUP(A36,'Basic Project Info'!$A$3:$L$3, 'Basic Project Info'!$A$4:$L$4)</f>
        <v>Longitude</v>
      </c>
      <c r="C36" s="166" t="s">
        <v>409</v>
      </c>
    </row>
    <row r="37" spans="1:4" s="160" customFormat="1" x14ac:dyDescent="0.25">
      <c r="A37" s="214" t="str">
        <f>'Basic Project Info'!K2</f>
        <v>Section 2: Communications Issues</v>
      </c>
      <c r="B37" s="215"/>
      <c r="C37" s="216"/>
    </row>
    <row r="38" spans="1:4" s="160" customFormat="1" x14ac:dyDescent="0.25">
      <c r="A38" s="33" t="str">
        <f>"Col " &amp; ROW() -ROW($A$27)</f>
        <v>Col 11</v>
      </c>
      <c r="B38" s="161" t="str">
        <f>_xlfn.XLOOKUP(A38,'Basic Project Info'!$A$3:$L$3, 'Basic Project Info'!$A$4:$L$4)</f>
        <v>Sign Installed</v>
      </c>
      <c r="C38" s="166" t="s">
        <v>411</v>
      </c>
    </row>
    <row r="39" spans="1:4" s="160" customFormat="1" ht="30" x14ac:dyDescent="0.25">
      <c r="A39" s="33" t="str">
        <f>"Col " &amp; ROW() -ROW($A$27)</f>
        <v>Col 12</v>
      </c>
      <c r="B39" s="161" t="str">
        <f>_xlfn.XLOOKUP(A39,'Basic Project Info'!$A$3:$L$3, 'Basic Project Info'!$A$4:$L$4)</f>
        <v>Opening Ceremony - Date</v>
      </c>
      <c r="C39" s="166" t="s">
        <v>435</v>
      </c>
    </row>
    <row r="41" spans="1:4" s="160" customFormat="1" ht="22.5" x14ac:dyDescent="0.25">
      <c r="A41" s="211" t="s">
        <v>423</v>
      </c>
      <c r="B41" s="212"/>
      <c r="C41" s="212"/>
      <c r="D41" s="213"/>
    </row>
    <row r="42" spans="1:4" s="160" customFormat="1" ht="11.25" customHeight="1" x14ac:dyDescent="0.25">
      <c r="A42" s="190"/>
      <c r="B42" s="192"/>
      <c r="C42" s="192"/>
      <c r="D42" s="189"/>
    </row>
    <row r="43" spans="1:4" x14ac:dyDescent="0.25">
      <c r="A43" s="214" t="str">
        <f>'Monthly Update'!A5</f>
        <v>Section 1: Project Details</v>
      </c>
      <c r="B43" s="215"/>
      <c r="C43" s="216"/>
    </row>
    <row r="44" spans="1:4" ht="45" x14ac:dyDescent="0.25">
      <c r="A44" s="33" t="s">
        <v>314</v>
      </c>
      <c r="B44" s="64" t="str">
        <f>_xlfn.XLOOKUP(A44, 'Monthly Update'!$A$6:$AU$6, 'Monthly Update'!$A$7:$AU$7)</f>
        <v>Project ID</v>
      </c>
      <c r="C44" s="166" t="s">
        <v>436</v>
      </c>
    </row>
    <row r="45" spans="1:4" ht="45" x14ac:dyDescent="0.25">
      <c r="A45" s="33" t="s">
        <v>315</v>
      </c>
      <c r="B45" s="161" t="str">
        <f>_xlfn.XLOOKUP(A45, 'Monthly Update'!$A$6:$AU$6, 'Monthly Update'!$A$7:$AU$7)</f>
        <v>Project Name</v>
      </c>
      <c r="C45" s="166" t="s">
        <v>437</v>
      </c>
    </row>
    <row r="46" spans="1:4" x14ac:dyDescent="0.25">
      <c r="A46" s="33" t="s">
        <v>316</v>
      </c>
      <c r="B46" s="161" t="str">
        <f>_xlfn.XLOOKUP(A46, 'Monthly Update'!$A$6:$AU$6, 'Monthly Update'!$A$7:$AU$7)</f>
        <v>Meeting Minutes</v>
      </c>
      <c r="C46" s="166" t="s">
        <v>359</v>
      </c>
    </row>
    <row r="47" spans="1:4" ht="30" x14ac:dyDescent="0.25">
      <c r="A47" s="33" t="s">
        <v>317</v>
      </c>
      <c r="B47" s="161" t="str">
        <f>_xlfn.XLOOKUP(A47, 'Monthly Update'!$A$6:$AU$6, 'Monthly Update'!$A$7:$AU$7)</f>
        <v>Project Type</v>
      </c>
      <c r="C47" s="166" t="s">
        <v>375</v>
      </c>
    </row>
    <row r="48" spans="1:4" ht="60" x14ac:dyDescent="0.25">
      <c r="A48" s="33" t="s">
        <v>318</v>
      </c>
      <c r="B48" s="161" t="str">
        <f>_xlfn.XLOOKUP(A48, 'Monthly Update'!$A$6:$AU$6, 'Monthly Update'!$A$7:$AU$7)</f>
        <v xml:space="preserve">Project Category </v>
      </c>
      <c r="C48" s="166" t="s">
        <v>376</v>
      </c>
    </row>
    <row r="49" spans="1:3" ht="60" x14ac:dyDescent="0.25">
      <c r="A49" s="33" t="s">
        <v>319</v>
      </c>
      <c r="B49" s="161" t="str">
        <f>_xlfn.XLOOKUP(A49, 'Monthly Update'!$A$6:$AU$6, 'Monthly Update'!$A$7:$AU$7)</f>
        <v>Record Status</v>
      </c>
      <c r="C49" s="166" t="s">
        <v>427</v>
      </c>
    </row>
    <row r="50" spans="1:3" ht="60" x14ac:dyDescent="0.25">
      <c r="A50" s="33" t="s">
        <v>320</v>
      </c>
      <c r="B50" s="161" t="str">
        <f>_xlfn.XLOOKUP(A50, 'Monthly Update'!$A$6:$AU$6, 'Monthly Update'!$A$7:$AU$7)</f>
        <v>Construction Status</v>
      </c>
      <c r="C50" s="166" t="s">
        <v>360</v>
      </c>
    </row>
    <row r="51" spans="1:3" x14ac:dyDescent="0.25">
      <c r="A51" s="214" t="str">
        <f>'Monthly Update'!H5</f>
        <v>Section 2: Project Commitment Progress</v>
      </c>
      <c r="B51" s="215"/>
      <c r="C51" s="216"/>
    </row>
    <row r="52" spans="1:3" ht="30" x14ac:dyDescent="0.25">
      <c r="A52" s="33" t="s">
        <v>321</v>
      </c>
      <c r="B52" s="161" t="str">
        <f>_xlfn.XLOOKUP(A52, 'Monthly Update'!$A$6:$AU$6, 'Monthly Update'!$A$7:$AU$7)</f>
        <v>Pre-Tender Submission Date</v>
      </c>
      <c r="C52" s="166" t="s">
        <v>381</v>
      </c>
    </row>
    <row r="53" spans="1:3" ht="30" x14ac:dyDescent="0.25">
      <c r="A53" s="33" t="s">
        <v>298</v>
      </c>
      <c r="B53" s="161" t="str">
        <f>_xlfn.XLOOKUP(A53, 'Monthly Update'!$A$6:$AU$6, 'Monthly Update'!$A$7:$AU$7)</f>
        <v>Pre-Tender Package Type</v>
      </c>
      <c r="C53" s="166" t="s">
        <v>361</v>
      </c>
    </row>
    <row r="54" spans="1:3" s="6" customFormat="1" ht="45" x14ac:dyDescent="0.25">
      <c r="A54" s="33" t="s">
        <v>322</v>
      </c>
      <c r="B54" s="161" t="str">
        <f>_xlfn.XLOOKUP(A54, 'Monthly Update'!$A$6:$AU$6, 'Monthly Update'!$A$7:$AU$7)</f>
        <v>Pre-Tender Package Complete</v>
      </c>
      <c r="C54" s="166" t="s">
        <v>438</v>
      </c>
    </row>
    <row r="55" spans="1:3" ht="30" x14ac:dyDescent="0.25">
      <c r="A55" s="33" t="s">
        <v>299</v>
      </c>
      <c r="B55" s="161" t="str">
        <f>_xlfn.XLOOKUP(A55, 'Monthly Update'!$A$6:$AU$6, 'Monthly Update'!$A$7:$AU$7)</f>
        <v>CA Reviewed All Pre-Tender Documents</v>
      </c>
      <c r="C55" s="166" t="s">
        <v>364</v>
      </c>
    </row>
    <row r="56" spans="1:3" ht="30" x14ac:dyDescent="0.25">
      <c r="A56" s="33" t="s">
        <v>300</v>
      </c>
      <c r="B56" s="161" t="str">
        <f>_xlfn.XLOOKUP(A56, 'Monthly Update'!$A$6:$AU$6, 'Monthly Update'!$A$7:$AU$7)</f>
        <v>Post-Tender Submission Date</v>
      </c>
      <c r="C56" s="166" t="s">
        <v>382</v>
      </c>
    </row>
    <row r="57" spans="1:3" ht="30" x14ac:dyDescent="0.25">
      <c r="A57" s="33" t="s">
        <v>323</v>
      </c>
      <c r="B57" s="161" t="str">
        <f>_xlfn.XLOOKUP(A57, 'Monthly Update'!$A$6:$AU$6, 'Monthly Update'!$A$7:$AU$7)</f>
        <v>Post-Tender Package Type</v>
      </c>
      <c r="C57" s="166" t="s">
        <v>362</v>
      </c>
    </row>
    <row r="58" spans="1:3" ht="45" x14ac:dyDescent="0.25">
      <c r="A58" s="33" t="s">
        <v>324</v>
      </c>
      <c r="B58" s="161" t="str">
        <f>_xlfn.XLOOKUP(A58, 'Monthly Update'!$A$6:$AU$6, 'Monthly Update'!$A$7:$AU$7)</f>
        <v>Post-Tender Package Complete</v>
      </c>
      <c r="C58" s="166" t="s">
        <v>439</v>
      </c>
    </row>
    <row r="59" spans="1:3" ht="30" x14ac:dyDescent="0.25">
      <c r="A59" s="33" t="s">
        <v>325</v>
      </c>
      <c r="B59" s="161" t="str">
        <f>_xlfn.XLOOKUP(A59, 'Monthly Update'!$A$6:$AU$6, 'Monthly Update'!$A$7:$AU$7)</f>
        <v>CA Reviewed All Post-Tender Documents</v>
      </c>
      <c r="C59" s="166" t="s">
        <v>363</v>
      </c>
    </row>
    <row r="60" spans="1:3" x14ac:dyDescent="0.25">
      <c r="A60" s="214" t="str">
        <f>'Monthly Update'!P5</f>
        <v xml:space="preserve">Section 3: Pre-Tender </v>
      </c>
      <c r="B60" s="215"/>
      <c r="C60" s="216"/>
    </row>
    <row r="61" spans="1:3" ht="30" x14ac:dyDescent="0.25">
      <c r="A61" s="33" t="s">
        <v>326</v>
      </c>
      <c r="B61" s="161" t="str">
        <f>_xlfn.XLOOKUP(A61, 'Monthly Update'!$A$6:$AU$6, 'Monthly Update'!$A$7:$AU$7)</f>
        <v>Site Ownership Status</v>
      </c>
      <c r="C61" s="166" t="s">
        <v>365</v>
      </c>
    </row>
    <row r="62" spans="1:3" ht="30" x14ac:dyDescent="0.25">
      <c r="A62" s="33" t="s">
        <v>327</v>
      </c>
      <c r="B62" s="161" t="str">
        <f>_xlfn.XLOOKUP(A62, 'Monthly Update'!$A$6:$AU$6, 'Monthly Update'!$A$7:$AU$7)</f>
        <v>Site Purchase Date</v>
      </c>
      <c r="C62" s="166" t="s">
        <v>377</v>
      </c>
    </row>
    <row r="63" spans="1:3" x14ac:dyDescent="0.25">
      <c r="A63" s="33" t="s">
        <v>328</v>
      </c>
      <c r="B63" s="161" t="str">
        <f>_xlfn.XLOOKUP(A63, 'Monthly Update'!$A$6:$AU$6, 'Monthly Update'!$A$7:$AU$7)</f>
        <v xml:space="preserve">Design Status </v>
      </c>
      <c r="C63" s="166" t="s">
        <v>366</v>
      </c>
    </row>
    <row r="64" spans="1:3" ht="30" x14ac:dyDescent="0.25">
      <c r="A64" s="33" t="s">
        <v>329</v>
      </c>
      <c r="B64" s="161" t="str">
        <f>_xlfn.XLOOKUP(A64, 'Monthly Update'!$A$6:$AU$6, 'Monthly Update'!$A$7:$AU$7)</f>
        <v>Space Template Approval Date</v>
      </c>
      <c r="C64" s="166" t="s">
        <v>378</v>
      </c>
    </row>
    <row r="65" spans="1:3" ht="30" x14ac:dyDescent="0.25">
      <c r="A65" s="33" t="s">
        <v>330</v>
      </c>
      <c r="B65" s="161" t="str">
        <f>_xlfn.XLOOKUP(A65, 'Monthly Update'!$A$6:$AU$6, 'Monthly Update'!$A$7:$AU$7)</f>
        <v xml:space="preserve">Child Care Floorplan Approval Date </v>
      </c>
      <c r="C65" s="166" t="s">
        <v>379</v>
      </c>
    </row>
    <row r="66" spans="1:3" ht="30" x14ac:dyDescent="0.25">
      <c r="A66" s="33" t="s">
        <v>331</v>
      </c>
      <c r="B66" s="161" t="str">
        <f>_xlfn.XLOOKUP(A66, 'Monthly Update'!$A$6:$AU$6, 'Monthly Update'!$A$7:$AU$7)</f>
        <v>Initial Site Plan Submission Date</v>
      </c>
      <c r="C66" s="166" t="s">
        <v>369</v>
      </c>
    </row>
    <row r="67" spans="1:3" x14ac:dyDescent="0.25">
      <c r="A67" s="33" t="s">
        <v>332</v>
      </c>
      <c r="B67" s="161" t="str">
        <f>_xlfn.XLOOKUP(A67, 'Monthly Update'!$A$6:$AU$6, 'Monthly Update'!$A$7:$AU$7)</f>
        <v>Site Plan Approval Date</v>
      </c>
      <c r="C67" s="166" t="s">
        <v>368</v>
      </c>
    </row>
    <row r="68" spans="1:3" ht="45" x14ac:dyDescent="0.25">
      <c r="A68" s="33" t="s">
        <v>333</v>
      </c>
      <c r="B68" s="161" t="str">
        <f>_xlfn.XLOOKUP(A68, 'Monthly Update'!$A$6:$AU$6, 'Monthly Update'!$A$7:$AU$7)</f>
        <v>Site Plan Approval Date Error Explanation</v>
      </c>
      <c r="C68" s="166" t="str">
        <f>"Use the field only if "&amp; A67&amp; " ("&amp;B67&amp;") indicates an error (cell is highlighted in purple) but you believe the information is correct, explain the descrpancy in this cell and it will remove the error formatting in "&amp;A67&amp;"."</f>
        <v>Use the field only if Col 22 (Site Plan Approval Date) indicates an error (cell is highlighted in purple) but you believe the information is correct, explain the descrpancy in this cell and it will remove the error formatting in Col 22.</v>
      </c>
    </row>
    <row r="69" spans="1:3" ht="30" x14ac:dyDescent="0.25">
      <c r="A69" s="33" t="s">
        <v>334</v>
      </c>
      <c r="B69" s="161" t="str">
        <f>_xlfn.XLOOKUP(A69, 'Monthly Update'!$A$6:$AU$6, 'Monthly Update'!$A$7:$AU$7)</f>
        <v>Build Permit Obtained Date</v>
      </c>
      <c r="C69" s="166" t="s">
        <v>370</v>
      </c>
    </row>
    <row r="70" spans="1:3" ht="45" x14ac:dyDescent="0.25">
      <c r="A70" s="33" t="s">
        <v>335</v>
      </c>
      <c r="B70" s="161" t="str">
        <f>_xlfn.XLOOKUP(A70, 'Monthly Update'!$A$6:$AU$6, 'Monthly Update'!$A$7:$AU$7)</f>
        <v>Build Permit Obtained Date Error Explanation</v>
      </c>
      <c r="C70" s="166" t="str">
        <f>"Use the field only if "&amp; A69&amp; " ("&amp;B69&amp;") indicates an error (cell is highlighted in purple) but you believe the information is correct, explain the descrpancy in this cell and it will remove the error formatting in "&amp;A69&amp;"."</f>
        <v>Use the field only if Col 24 (Build Permit Obtained Date) indicates an error (cell is highlighted in purple) but you believe the information is correct, explain the descrpancy in this cell and it will remove the error formatting in Col 24.</v>
      </c>
    </row>
    <row r="71" spans="1:3" ht="30" x14ac:dyDescent="0.25">
      <c r="A71" s="33" t="s">
        <v>336</v>
      </c>
      <c r="B71" s="161" t="str">
        <f>_xlfn.XLOOKUP(A71, 'Monthly Update'!$A$6:$AU$6, 'Monthly Update'!$A$7:$AU$7)</f>
        <v xml:space="preserve">Tender Issued Date </v>
      </c>
      <c r="C71" s="166" t="s">
        <v>371</v>
      </c>
    </row>
    <row r="72" spans="1:3" ht="30" x14ac:dyDescent="0.25">
      <c r="A72" s="33" t="s">
        <v>337</v>
      </c>
      <c r="B72" s="161" t="str">
        <f>_xlfn.XLOOKUP(A72, 'Monthly Update'!$A$6:$AU$6, 'Monthly Update'!$A$7:$AU$7)</f>
        <v>Tender Closed Date</v>
      </c>
      <c r="C72" s="166" t="s">
        <v>372</v>
      </c>
    </row>
    <row r="73" spans="1:3" x14ac:dyDescent="0.25">
      <c r="A73" s="214" t="str">
        <f>'Monthly Update'!AB5</f>
        <v>Section 4: Construction</v>
      </c>
      <c r="B73" s="215"/>
      <c r="C73" s="216"/>
    </row>
    <row r="74" spans="1:3" ht="30" x14ac:dyDescent="0.25">
      <c r="A74" s="33" t="s">
        <v>338</v>
      </c>
      <c r="B74" s="161" t="str">
        <f>_xlfn.XLOOKUP(A74, 'Monthly Update'!$A$6:$AU$6, 'Monthly Update'!$A$7:$AU$7)</f>
        <v>Contract Awarded Date</v>
      </c>
      <c r="C74" s="166" t="s">
        <v>406</v>
      </c>
    </row>
    <row r="75" spans="1:3" ht="45" x14ac:dyDescent="0.25">
      <c r="A75" s="33" t="s">
        <v>339</v>
      </c>
      <c r="B75" s="161" t="str">
        <f>_xlfn.XLOOKUP(A75, 'Monthly Update'!$A$6:$AU$6, 'Monthly Update'!$A$7:$AU$7)</f>
        <v>Construction Start Date</v>
      </c>
      <c r="C75" s="166" t="s">
        <v>428</v>
      </c>
    </row>
    <row r="76" spans="1:3" ht="45" x14ac:dyDescent="0.25">
      <c r="A76" s="33" t="s">
        <v>340</v>
      </c>
      <c r="B76" s="161" t="str">
        <f>_xlfn.XLOOKUP(A76, 'Monthly Update'!$A$6:$AU$6, 'Monthly Update'!$A$7:$AU$7)</f>
        <v>Construction Start Date Error Explanation</v>
      </c>
      <c r="C76" s="166" t="str">
        <f>"Use the field only if "&amp; A75&amp; " ("&amp;B75&amp;") indicates an error (cell is highlighted in purple) but you believe the information is correct, explain the descrpancy in this cell and it will remove the error formatting in "&amp;A75&amp;"."</f>
        <v>Use the field only if Col 29 (Construction Start Date) indicates an error (cell is highlighted in purple) but you believe the information is correct, explain the descrpancy in this cell and it will remove the error formatting in Col 29.</v>
      </c>
    </row>
    <row r="77" spans="1:3" ht="60" x14ac:dyDescent="0.25">
      <c r="A77" s="33" t="s">
        <v>341</v>
      </c>
      <c r="B77" s="161" t="str">
        <f>_xlfn.XLOOKUP(A77, 'Monthly Update'!$A$6:$AU$6, 'Monthly Update'!$A$7:$AU$7)</f>
        <v>Substantial Completion Date</v>
      </c>
      <c r="C77" s="166" t="s">
        <v>440</v>
      </c>
    </row>
    <row r="78" spans="1:3" ht="45" x14ac:dyDescent="0.25">
      <c r="A78" s="33" t="s">
        <v>342</v>
      </c>
      <c r="B78" s="161" t="str">
        <f>_xlfn.XLOOKUP(A78, 'Monthly Update'!$A$6:$AU$6, 'Monthly Update'!$A$7:$AU$7)</f>
        <v>Substantial Completion Date Error Explanation</v>
      </c>
      <c r="C78" s="166" t="str">
        <f>"Use the field only if "&amp; A77&amp; " ("&amp;B77&amp;") indicates an error (cell is highlighted in purple) but you believe the information is correct, explain the descrpancy in this cell and it will remove the error formatting in "&amp;A77&amp;"."</f>
        <v>Use the field only if Col 31 (Substantial Completion Date) indicates an error (cell is highlighted in purple) but you believe the information is correct, explain the descrpancy in this cell and it will remove the error formatting in Col 31.</v>
      </c>
    </row>
    <row r="79" spans="1:3" x14ac:dyDescent="0.25">
      <c r="A79" s="214" t="str">
        <f>'Monthly Update'!AG5</f>
        <v>Section 5: Project Completion</v>
      </c>
      <c r="B79" s="215"/>
      <c r="C79" s="216"/>
    </row>
    <row r="80" spans="1:3" ht="29.45" customHeight="1" x14ac:dyDescent="0.25">
      <c r="A80" s="33" t="s">
        <v>343</v>
      </c>
      <c r="B80" s="161" t="str">
        <f>_xlfn.XLOOKUP(A80, 'Monthly Update'!$A$6:$AU$6, 'Monthly Update'!$A$7:$AU$7)</f>
        <v xml:space="preserve">School Opening Date </v>
      </c>
      <c r="C80" s="166" t="s">
        <v>441</v>
      </c>
    </row>
    <row r="81" spans="1:3" ht="45" x14ac:dyDescent="0.25">
      <c r="A81" s="33" t="s">
        <v>344</v>
      </c>
      <c r="B81" s="161" t="str">
        <f>_xlfn.XLOOKUP(A81, 'Monthly Update'!$A$6:$AU$6, 'Monthly Update'!$A$7:$AU$7)</f>
        <v>School Opening Date  Error Explanation</v>
      </c>
      <c r="C81" s="166" t="str">
        <f>"Use the field only if "&amp; A80&amp; " ("&amp;B80&amp;") indicates an error (cell is highlighted in purple) but you believe the information is correct, explain the descrpancy in this cell and it will remove the error formatting in "&amp;A80&amp;"."</f>
        <v>Use the field only if Col 33 (School Opening Date ) indicates an error (cell is highlighted in purple) but you believe the information is correct, explain the descrpancy in this cell and it will remove the error formatting in Col 33.</v>
      </c>
    </row>
    <row r="82" spans="1:3" ht="45" x14ac:dyDescent="0.25">
      <c r="A82" s="33" t="s">
        <v>345</v>
      </c>
      <c r="B82" s="161" t="str">
        <f>_xlfn.XLOOKUP(A82, 'Monthly Update'!$A$6:$AU$6, 'Monthly Update'!$A$7:$AU$7)</f>
        <v>Child Care Opening Date</v>
      </c>
      <c r="C82" s="166" t="s">
        <v>442</v>
      </c>
    </row>
    <row r="83" spans="1:3" ht="45" x14ac:dyDescent="0.25">
      <c r="A83" s="33" t="s">
        <v>346</v>
      </c>
      <c r="B83" s="161" t="str">
        <f>_xlfn.XLOOKUP(A83, 'Monthly Update'!$A$6:$AU$6, 'Monthly Update'!$A$7:$AU$7)</f>
        <v>Child Care Opening Date Error Explanation</v>
      </c>
      <c r="C83" s="166" t="str">
        <f>"Use the field only if "&amp; A82&amp; " ("&amp;B82&amp;") indicates an error (cell is highlighted in purple) but you believe the information is correct, explain the descrpancy in this cell and it will remove the error formatting in "&amp;A82&amp;"."</f>
        <v>Use the field only if Col 35 (Child Care Opening Date) indicates an error (cell is highlighted in purple) but you believe the information is correct, explain the descrpancy in this cell and it will remove the error formatting in Col 35.</v>
      </c>
    </row>
    <row r="84" spans="1:3" ht="60" x14ac:dyDescent="0.25">
      <c r="A84" s="33" t="s">
        <v>347</v>
      </c>
      <c r="B84" s="161" t="str">
        <f>_xlfn.XLOOKUP(A84, 'Monthly Update'!$A$6:$AU$6, 'Monthly Update'!$A$7:$AU$7)</f>
        <v>Financial Close-Out Date</v>
      </c>
      <c r="C84" s="166" t="s">
        <v>443</v>
      </c>
    </row>
    <row r="85" spans="1:3" x14ac:dyDescent="0.25">
      <c r="A85" s="214" t="str">
        <f>'Monthly Update'!AL5</f>
        <v>Section 6: Approved Project Funding</v>
      </c>
      <c r="B85" s="215"/>
      <c r="C85" s="216"/>
    </row>
    <row r="86" spans="1:3" ht="28.5" x14ac:dyDescent="0.25">
      <c r="A86" s="33" t="s">
        <v>348</v>
      </c>
      <c r="B86" s="161" t="str">
        <f>_xlfn.XLOOKUP(A86, 'Monthly Update'!$A$6:$AU$6, 'Monthly Update'!$A$7:$AU$7)</f>
        <v>Funding - All Associated Projects</v>
      </c>
      <c r="C86" s="166" t="s">
        <v>358</v>
      </c>
    </row>
    <row r="87" spans="1:3" x14ac:dyDescent="0.25">
      <c r="A87" s="33" t="s">
        <v>349</v>
      </c>
      <c r="B87" s="161" t="str">
        <f>_xlfn.XLOOKUP(A87, 'Monthly Update'!$A$6:$AU$6, 'Monthly Update'!$A$7:$AU$7)</f>
        <v>Funding - Construction Project</v>
      </c>
      <c r="C87" s="166" t="s">
        <v>358</v>
      </c>
    </row>
    <row r="88" spans="1:3" x14ac:dyDescent="0.25">
      <c r="A88" s="33" t="s">
        <v>350</v>
      </c>
      <c r="B88" s="161" t="str">
        <f>_xlfn.XLOOKUP(A88, 'Monthly Update'!$A$6:$AU$6, 'Monthly Update'!$A$7:$AU$7)</f>
        <v>Funding - Site Acquisition</v>
      </c>
      <c r="C88" s="166" t="s">
        <v>358</v>
      </c>
    </row>
    <row r="89" spans="1:3" x14ac:dyDescent="0.25">
      <c r="A89" s="33" t="s">
        <v>351</v>
      </c>
      <c r="B89" s="161" t="str">
        <f>_xlfn.XLOOKUP(A89, 'Monthly Update'!$A$6:$AU$6, 'Monthly Update'!$A$7:$AU$7)</f>
        <v>Funding - Demolition</v>
      </c>
      <c r="C89" s="166" t="s">
        <v>358</v>
      </c>
    </row>
    <row r="90" spans="1:3" ht="28.5" x14ac:dyDescent="0.25">
      <c r="A90" s="33" t="s">
        <v>352</v>
      </c>
      <c r="B90" s="161" t="str">
        <f>_xlfn.XLOOKUP(A90, 'Monthly Update'!$A$6:$AU$6, 'Monthly Update'!$A$7:$AU$7)</f>
        <v>Funding - All Other Associated Projects</v>
      </c>
      <c r="C90" s="166" t="s">
        <v>358</v>
      </c>
    </row>
    <row r="91" spans="1:3" x14ac:dyDescent="0.25">
      <c r="A91" s="214" t="str">
        <f>'Monthly Update'!AQ5</f>
        <v xml:space="preserve">Section 7: Projected Cost </v>
      </c>
      <c r="B91" s="215"/>
      <c r="C91" s="216"/>
    </row>
    <row r="92" spans="1:3" x14ac:dyDescent="0.25">
      <c r="A92" s="33" t="s">
        <v>353</v>
      </c>
      <c r="B92" s="161" t="str">
        <f>_xlfn.XLOOKUP(A92, 'Monthly Update'!$A$6:$AU$6, 'Monthly Update'!$A$7:$AU$7)</f>
        <v xml:space="preserve">Basis of Cost Estimate </v>
      </c>
      <c r="C92" s="166" t="s">
        <v>429</v>
      </c>
    </row>
    <row r="93" spans="1:3" ht="45" x14ac:dyDescent="0.25">
      <c r="A93" s="33" t="s">
        <v>354</v>
      </c>
      <c r="B93" s="161" t="str">
        <f>_xlfn.XLOOKUP(A93, 'Monthly Update'!$A$6:$AU$6, 'Monthly Update'!$A$7:$AU$7)</f>
        <v>Estimated Cost - Construction Project</v>
      </c>
      <c r="C93" s="166" t="s">
        <v>430</v>
      </c>
    </row>
    <row r="94" spans="1:3" ht="30" x14ac:dyDescent="0.25">
      <c r="A94" s="33" t="s">
        <v>355</v>
      </c>
      <c r="B94" s="161" t="str">
        <f>_xlfn.XLOOKUP(A94, 'Monthly Update'!$A$6:$AU$6, 'Monthly Update'!$A$7:$AU$7)</f>
        <v>Estimated Cost - Land</v>
      </c>
      <c r="C94" s="166" t="s">
        <v>373</v>
      </c>
    </row>
    <row r="95" spans="1:3" ht="45" x14ac:dyDescent="0.25">
      <c r="A95" s="33" t="s">
        <v>356</v>
      </c>
      <c r="B95" s="161" t="str">
        <f>_xlfn.XLOOKUP(A95, 'Monthly Update'!$A$6:$AU$6, 'Monthly Update'!$A$7:$AU$7)</f>
        <v>Estimated Cost - Demolition</v>
      </c>
      <c r="C95" s="166" t="s">
        <v>374</v>
      </c>
    </row>
    <row r="96" spans="1:3" ht="30" x14ac:dyDescent="0.25">
      <c r="A96" s="33" t="s">
        <v>357</v>
      </c>
      <c r="B96" s="161" t="str">
        <f>_xlfn.XLOOKUP(A96, 'Monthly Update'!$A$6:$AU$6, 'Monthly Update'!$A$7:$AU$7)</f>
        <v>Estimated Cost - All Other Associated Projects</v>
      </c>
      <c r="C96" s="166" t="s">
        <v>431</v>
      </c>
    </row>
  </sheetData>
  <sheetProtection sheet="1" objects="1" scenarios="1"/>
  <mergeCells count="16">
    <mergeCell ref="A91:C91"/>
    <mergeCell ref="A85:C85"/>
    <mergeCell ref="A79:C79"/>
    <mergeCell ref="A73:C73"/>
    <mergeCell ref="A60:C60"/>
    <mergeCell ref="A1:D1"/>
    <mergeCell ref="A15:D15"/>
    <mergeCell ref="A24:D24"/>
    <mergeCell ref="A43:C43"/>
    <mergeCell ref="A51:C51"/>
    <mergeCell ref="A41:D41"/>
    <mergeCell ref="A26:C26"/>
    <mergeCell ref="A37:C37"/>
    <mergeCell ref="B6:C6"/>
    <mergeCell ref="B17:C17"/>
    <mergeCell ref="B11:C1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E29"/>
  <sheetViews>
    <sheetView topLeftCell="B3" zoomScale="130" zoomScaleNormal="130" workbookViewId="0">
      <selection activeCell="E9" sqref="E9"/>
    </sheetView>
  </sheetViews>
  <sheetFormatPr defaultRowHeight="15" x14ac:dyDescent="0.25"/>
  <cols>
    <col min="1" max="1" width="47.5703125" customWidth="1"/>
    <col min="2" max="2" width="35.28515625" customWidth="1"/>
    <col min="3" max="3" width="28.28515625" customWidth="1"/>
    <col min="4" max="4" width="27" customWidth="1"/>
    <col min="5" max="5" width="35.28515625" customWidth="1"/>
  </cols>
  <sheetData>
    <row r="1" spans="1:5" ht="25.5" x14ac:dyDescent="0.25">
      <c r="A1" s="220" t="s">
        <v>277</v>
      </c>
      <c r="B1" s="220"/>
    </row>
    <row r="4" spans="1:5" x14ac:dyDescent="0.25">
      <c r="A4" t="s">
        <v>96</v>
      </c>
      <c r="B4" t="s">
        <v>289</v>
      </c>
      <c r="C4" t="s">
        <v>97</v>
      </c>
      <c r="D4" t="s">
        <v>98</v>
      </c>
      <c r="E4" t="s">
        <v>99</v>
      </c>
    </row>
    <row r="5" spans="1:5" x14ac:dyDescent="0.25">
      <c r="A5" s="71" t="s">
        <v>604</v>
      </c>
      <c r="B5" s="71" t="s">
        <v>275</v>
      </c>
      <c r="C5" s="71" t="s">
        <v>605</v>
      </c>
      <c r="D5" s="71" t="s">
        <v>606</v>
      </c>
      <c r="E5" s="71" t="s">
        <v>450</v>
      </c>
    </row>
    <row r="6" spans="1:5" ht="18" x14ac:dyDescent="0.25">
      <c r="A6" s="71" t="s">
        <v>607</v>
      </c>
      <c r="B6" s="71" t="s">
        <v>450</v>
      </c>
      <c r="C6" s="71" t="s">
        <v>450</v>
      </c>
      <c r="D6" s="205"/>
      <c r="E6" s="71" t="s">
        <v>450</v>
      </c>
    </row>
    <row r="7" spans="1:5" x14ac:dyDescent="0.25">
      <c r="A7" s="71" t="s">
        <v>608</v>
      </c>
      <c r="B7" s="71" t="s">
        <v>275</v>
      </c>
      <c r="C7" s="71" t="s">
        <v>609</v>
      </c>
      <c r="D7" s="71" t="s">
        <v>610</v>
      </c>
      <c r="E7" s="71"/>
    </row>
    <row r="8" spans="1:5" x14ac:dyDescent="0.25">
      <c r="A8" s="71" t="s">
        <v>611</v>
      </c>
      <c r="B8" s="71" t="s">
        <v>276</v>
      </c>
      <c r="C8" s="71" t="s">
        <v>612</v>
      </c>
      <c r="D8" s="71" t="s">
        <v>613</v>
      </c>
      <c r="E8" s="71" t="s">
        <v>614</v>
      </c>
    </row>
    <row r="9" spans="1:5" x14ac:dyDescent="0.25">
      <c r="A9" s="71"/>
      <c r="B9" s="71"/>
      <c r="C9" s="71"/>
      <c r="D9" s="71"/>
      <c r="E9" s="71"/>
    </row>
    <row r="10" spans="1:5" ht="15.75" x14ac:dyDescent="0.25">
      <c r="A10" s="71"/>
      <c r="B10" s="71"/>
      <c r="C10" s="204"/>
      <c r="D10" s="71"/>
      <c r="E10" s="71"/>
    </row>
    <row r="11" spans="1:5" ht="16.5" x14ac:dyDescent="0.25">
      <c r="A11" s="203"/>
      <c r="B11" s="204"/>
      <c r="C11" s="71"/>
      <c r="D11" s="71"/>
      <c r="E11" s="71"/>
    </row>
    <row r="12" spans="1:5" x14ac:dyDescent="0.25">
      <c r="A12" s="71"/>
      <c r="B12" s="71"/>
      <c r="C12" s="71"/>
      <c r="D12" s="71"/>
      <c r="E12" s="71"/>
    </row>
    <row r="13" spans="1:5" x14ac:dyDescent="0.25">
      <c r="A13" s="71"/>
      <c r="B13" s="71"/>
      <c r="C13" s="71"/>
      <c r="D13" s="71"/>
      <c r="E13" s="71"/>
    </row>
    <row r="14" spans="1:5" x14ac:dyDescent="0.25">
      <c r="A14" s="71"/>
      <c r="B14" s="71"/>
      <c r="C14" s="71"/>
      <c r="D14" s="71"/>
      <c r="E14" s="71"/>
    </row>
    <row r="15" spans="1:5" x14ac:dyDescent="0.25">
      <c r="A15" s="71"/>
      <c r="B15" s="71"/>
      <c r="C15" s="71"/>
      <c r="D15" s="71"/>
      <c r="E15" s="71"/>
    </row>
    <row r="16" spans="1:5" x14ac:dyDescent="0.25">
      <c r="A16" s="71"/>
      <c r="B16" s="71"/>
      <c r="C16" s="71"/>
      <c r="D16" s="71"/>
      <c r="E16" s="71"/>
    </row>
    <row r="17" spans="1:5" x14ac:dyDescent="0.25">
      <c r="A17" s="71"/>
      <c r="B17" s="71"/>
      <c r="C17" s="71"/>
      <c r="D17" s="71"/>
      <c r="E17" s="71"/>
    </row>
    <row r="18" spans="1:5" x14ac:dyDescent="0.25">
      <c r="A18" s="71"/>
      <c r="B18" s="71"/>
      <c r="C18" s="71"/>
      <c r="D18" s="71"/>
      <c r="E18" s="71"/>
    </row>
    <row r="19" spans="1:5" x14ac:dyDescent="0.25">
      <c r="A19" s="71"/>
      <c r="B19" s="71"/>
      <c r="C19" s="71"/>
      <c r="D19" s="71"/>
      <c r="E19" s="71"/>
    </row>
    <row r="20" spans="1:5" x14ac:dyDescent="0.25">
      <c r="A20" s="71"/>
      <c r="B20" s="71"/>
      <c r="C20" s="71"/>
      <c r="D20" s="71"/>
      <c r="E20" s="71"/>
    </row>
    <row r="21" spans="1:5" x14ac:dyDescent="0.25">
      <c r="A21" s="71"/>
      <c r="B21" s="71"/>
      <c r="C21" s="71"/>
      <c r="D21" s="71"/>
      <c r="E21" s="71"/>
    </row>
    <row r="22" spans="1:5" x14ac:dyDescent="0.25">
      <c r="A22" s="71"/>
      <c r="B22" s="71"/>
      <c r="C22" s="71"/>
      <c r="D22" s="71"/>
      <c r="E22" s="71"/>
    </row>
    <row r="23" spans="1:5" x14ac:dyDescent="0.25">
      <c r="A23" s="71"/>
      <c r="B23" s="71"/>
      <c r="C23" s="71"/>
      <c r="D23" s="71"/>
      <c r="E23" s="71"/>
    </row>
    <row r="24" spans="1:5" x14ac:dyDescent="0.25">
      <c r="A24" s="71"/>
      <c r="B24" s="71"/>
      <c r="C24" s="71"/>
      <c r="D24" s="71"/>
      <c r="E24" s="71"/>
    </row>
    <row r="25" spans="1:5" x14ac:dyDescent="0.25">
      <c r="A25" s="71"/>
      <c r="B25" s="71"/>
      <c r="C25" s="71"/>
      <c r="D25" s="71"/>
      <c r="E25" s="71"/>
    </row>
    <row r="26" spans="1:5" x14ac:dyDescent="0.25">
      <c r="A26" s="71"/>
      <c r="B26" s="71"/>
      <c r="C26" s="71"/>
      <c r="D26" s="71"/>
      <c r="E26" s="71"/>
    </row>
    <row r="27" spans="1:5" x14ac:dyDescent="0.25">
      <c r="A27" s="71"/>
      <c r="B27" s="71"/>
      <c r="C27" s="71"/>
      <c r="D27" s="71"/>
      <c r="E27" s="71"/>
    </row>
    <row r="28" spans="1:5" x14ac:dyDescent="0.25">
      <c r="A28" s="71"/>
      <c r="B28" s="71"/>
      <c r="C28" s="71"/>
      <c r="D28" s="71"/>
      <c r="E28" s="71"/>
    </row>
    <row r="29" spans="1:5" x14ac:dyDescent="0.25">
      <c r="A29" s="71"/>
      <c r="B29" s="71"/>
      <c r="C29" s="71"/>
      <c r="D29" s="71"/>
      <c r="E29" s="71"/>
    </row>
  </sheetData>
  <sheetProtection sheet="1" formatColumns="0" formatRows="0"/>
  <mergeCells count="1">
    <mergeCell ref="A1:B1"/>
  </mergeCell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1B7FC53-60F4-4D32-9171-505B6887D568}">
          <x14:formula1>
            <xm:f>List!$B$32:$B$36</xm:f>
          </x14:formula1>
          <xm:sqref>B5:B10 B12:B29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QX116"/>
  <sheetViews>
    <sheetView topLeftCell="A3" zoomScale="110" zoomScaleNormal="110" workbookViewId="0">
      <selection activeCell="C11" sqref="C11"/>
    </sheetView>
  </sheetViews>
  <sheetFormatPr defaultColWidth="10.42578125" defaultRowHeight="14.25" customHeight="1" x14ac:dyDescent="0.25"/>
  <cols>
    <col min="1" max="1" width="13.42578125" style="2" customWidth="1"/>
    <col min="2" max="2" width="54.7109375" style="2" bestFit="1" customWidth="1"/>
    <col min="3" max="3" width="54.7109375" style="2" customWidth="1"/>
    <col min="4" max="4" width="25" style="2" customWidth="1"/>
    <col min="5" max="5" width="29.7109375" style="2" customWidth="1"/>
    <col min="6" max="8" width="14.42578125" style="2" customWidth="1"/>
    <col min="9" max="9" width="21.85546875" style="2" customWidth="1"/>
    <col min="10" max="10" width="14.42578125" style="2" customWidth="1"/>
    <col min="11" max="11" width="25" style="2" customWidth="1"/>
    <col min="12" max="12" width="20.5703125" style="2" customWidth="1"/>
    <col min="467" max="16384" width="10.42578125" style="2"/>
  </cols>
  <sheetData>
    <row r="1" spans="1:466" s="23" customFormat="1" ht="43.5" customHeight="1" thickTop="1" thickBot="1" x14ac:dyDescent="0.3">
      <c r="A1" s="223" t="s">
        <v>287</v>
      </c>
      <c r="B1" s="224"/>
      <c r="E1" s="22"/>
      <c r="F1" s="52"/>
      <c r="G1" s="55"/>
      <c r="H1" s="55"/>
      <c r="I1" s="55"/>
      <c r="J1" s="55"/>
      <c r="K1" s="50"/>
      <c r="L1" s="50"/>
    </row>
    <row r="2" spans="1:466" s="24" customFormat="1" ht="24.75" customHeight="1" thickTop="1" thickBot="1" x14ac:dyDescent="0.3">
      <c r="A2" s="56" t="str">
        <f>Translation!A5</f>
        <v>Section 1: Project Details</v>
      </c>
      <c r="B2" s="57"/>
      <c r="C2" s="57"/>
      <c r="D2" s="57"/>
      <c r="E2" s="57"/>
      <c r="F2" s="57"/>
      <c r="G2" s="57"/>
      <c r="H2" s="57"/>
      <c r="I2" s="57"/>
      <c r="J2" s="57"/>
      <c r="K2" s="221" t="s">
        <v>395</v>
      </c>
      <c r="L2" s="222"/>
    </row>
    <row r="3" spans="1:466" s="1" customFormat="1" x14ac:dyDescent="0.25">
      <c r="A3" s="33" t="str">
        <f>"Col "&amp;COLUMN()</f>
        <v>Col 1</v>
      </c>
      <c r="B3" s="33" t="str">
        <f t="shared" ref="B3:L3" si="0">"Col "&amp;COLUMN()</f>
        <v>Col 2</v>
      </c>
      <c r="C3" s="33" t="str">
        <f t="shared" si="0"/>
        <v>Col 3</v>
      </c>
      <c r="D3" s="33" t="str">
        <f t="shared" si="0"/>
        <v>Col 4</v>
      </c>
      <c r="E3" s="33" t="str">
        <f t="shared" si="0"/>
        <v>Col 5</v>
      </c>
      <c r="F3" s="33" t="str">
        <f t="shared" si="0"/>
        <v>Col 6</v>
      </c>
      <c r="G3" s="33" t="str">
        <f t="shared" si="0"/>
        <v>Col 7</v>
      </c>
      <c r="H3" s="33" t="str">
        <f t="shared" si="0"/>
        <v>Col 8</v>
      </c>
      <c r="I3" s="33" t="str">
        <f t="shared" si="0"/>
        <v>Col 9</v>
      </c>
      <c r="J3" s="33" t="str">
        <f t="shared" si="0"/>
        <v>Col 10</v>
      </c>
      <c r="K3" s="33" t="str">
        <f t="shared" si="0"/>
        <v>Col 11</v>
      </c>
      <c r="L3" s="33" t="str">
        <f t="shared" si="0"/>
        <v>Col 12</v>
      </c>
    </row>
    <row r="4" spans="1:466" s="38" customFormat="1" ht="60.75" customHeight="1" x14ac:dyDescent="0.25">
      <c r="A4" s="35" t="str">
        <f>Translation!A6</f>
        <v>Project ID</v>
      </c>
      <c r="B4" s="35" t="str">
        <f>Translation!A7</f>
        <v>Project Name</v>
      </c>
      <c r="C4" s="35" t="s">
        <v>260</v>
      </c>
      <c r="D4" s="35" t="str">
        <f>Translation!A11</f>
        <v>Project Type</v>
      </c>
      <c r="E4" s="35" t="str">
        <f>Translation!A13</f>
        <v xml:space="preserve">Project Category </v>
      </c>
      <c r="F4" s="35" t="str">
        <f>Translation!A8</f>
        <v>Address</v>
      </c>
      <c r="G4" s="35" t="str">
        <f>Translation!A9</f>
        <v xml:space="preserve">City </v>
      </c>
      <c r="H4" s="35" t="str">
        <f>Translation!A10</f>
        <v>Postal Code</v>
      </c>
      <c r="I4" s="35" t="s">
        <v>274</v>
      </c>
      <c r="J4" s="35" t="s">
        <v>252</v>
      </c>
      <c r="K4" s="35" t="s">
        <v>253</v>
      </c>
      <c r="L4" s="35" t="str">
        <f>Translation!A70</f>
        <v>Opening Ceremony - Date</v>
      </c>
    </row>
    <row r="5" spans="1:466" ht="62.25" hidden="1" customHeight="1" x14ac:dyDescent="0.25">
      <c r="A5" s="27" t="s">
        <v>3</v>
      </c>
      <c r="B5" s="28" t="s">
        <v>4</v>
      </c>
      <c r="C5" s="28"/>
      <c r="D5" s="28" t="s">
        <v>105</v>
      </c>
      <c r="E5" s="29" t="s">
        <v>106</v>
      </c>
      <c r="F5" s="28"/>
      <c r="G5" s="28"/>
      <c r="H5" s="28"/>
      <c r="I5" s="28"/>
      <c r="J5" s="28"/>
      <c r="K5" s="31"/>
      <c r="L5" s="31"/>
    </row>
    <row r="6" spans="1:466" ht="5.25" customHeight="1" x14ac:dyDescent="0.25">
      <c r="A6" s="11"/>
      <c r="B6" s="12"/>
      <c r="C6" s="12"/>
      <c r="D6" s="12"/>
      <c r="E6" s="13"/>
      <c r="F6" s="12"/>
      <c r="G6" s="12"/>
      <c r="H6" s="12"/>
      <c r="I6" s="12"/>
      <c r="J6" s="12"/>
      <c r="K6" s="11"/>
      <c r="L6" s="12"/>
    </row>
    <row r="7" spans="1:466" ht="15.6" customHeight="1" x14ac:dyDescent="0.25">
      <c r="A7" s="15" t="s">
        <v>451</v>
      </c>
      <c r="B7" s="51" t="s">
        <v>452</v>
      </c>
      <c r="C7" s="59"/>
      <c r="D7" s="193" t="s">
        <v>453</v>
      </c>
      <c r="E7" s="193" t="s">
        <v>194</v>
      </c>
      <c r="F7" s="59" t="s">
        <v>454</v>
      </c>
      <c r="G7" s="59" t="s">
        <v>455</v>
      </c>
      <c r="H7" s="59" t="s">
        <v>456</v>
      </c>
      <c r="I7" s="59">
        <v>43.712910030000003</v>
      </c>
      <c r="J7" s="59">
        <v>-79.242689900000002</v>
      </c>
      <c r="K7" s="59" t="s">
        <v>450</v>
      </c>
      <c r="L7" s="196" t="s">
        <v>450</v>
      </c>
    </row>
    <row r="8" spans="1:466" s="92" customFormat="1" ht="15.6" customHeight="1" x14ac:dyDescent="0.25">
      <c r="A8" s="15" t="s">
        <v>457</v>
      </c>
      <c r="B8" s="51" t="s">
        <v>458</v>
      </c>
      <c r="C8" s="59"/>
      <c r="D8" s="193" t="s">
        <v>453</v>
      </c>
      <c r="E8" s="193" t="s">
        <v>194</v>
      </c>
      <c r="F8" s="59" t="s">
        <v>459</v>
      </c>
      <c r="G8" s="59" t="s">
        <v>460</v>
      </c>
      <c r="H8" s="59" t="s">
        <v>461</v>
      </c>
      <c r="I8" s="59">
        <v>43.710169999999998</v>
      </c>
      <c r="J8" s="59">
        <v>-79.458020000000005</v>
      </c>
      <c r="K8" s="59" t="s">
        <v>450</v>
      </c>
      <c r="L8" s="196" t="s">
        <v>450</v>
      </c>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4"/>
      <c r="BF8" s="74"/>
      <c r="BG8" s="74"/>
      <c r="BH8" s="74"/>
      <c r="BI8" s="74"/>
      <c r="BJ8" s="74"/>
      <c r="BK8" s="74"/>
      <c r="BL8" s="74"/>
      <c r="BM8" s="74"/>
      <c r="BN8" s="74"/>
      <c r="BO8" s="74"/>
      <c r="BP8" s="74"/>
      <c r="BQ8" s="74"/>
      <c r="BR8" s="74"/>
      <c r="BS8" s="74"/>
      <c r="BT8" s="74"/>
      <c r="BU8" s="74"/>
      <c r="BV8" s="74"/>
      <c r="BW8" s="74"/>
      <c r="BX8" s="74"/>
      <c r="BY8" s="74"/>
      <c r="BZ8" s="74"/>
      <c r="CA8" s="74"/>
      <c r="CB8" s="74"/>
      <c r="CC8" s="74"/>
      <c r="CD8" s="74"/>
      <c r="CE8" s="74"/>
      <c r="CF8" s="74"/>
      <c r="CG8" s="74"/>
      <c r="CH8" s="74"/>
      <c r="CI8" s="74"/>
      <c r="CJ8" s="74"/>
      <c r="CK8" s="74"/>
      <c r="CL8" s="74"/>
      <c r="CM8" s="74"/>
      <c r="CN8" s="74"/>
      <c r="CO8" s="74"/>
      <c r="CP8" s="74"/>
      <c r="CQ8" s="74"/>
      <c r="CR8" s="74"/>
      <c r="CS8" s="74"/>
      <c r="CT8" s="74"/>
      <c r="CU8" s="74"/>
      <c r="CV8" s="74"/>
      <c r="CW8" s="74"/>
      <c r="CX8" s="74"/>
      <c r="CY8" s="74"/>
      <c r="CZ8" s="74"/>
      <c r="DA8" s="74"/>
      <c r="DB8" s="74"/>
      <c r="DC8" s="74"/>
      <c r="DD8" s="74"/>
      <c r="DE8" s="74"/>
      <c r="DF8" s="74"/>
      <c r="DG8" s="74"/>
      <c r="DH8" s="74"/>
      <c r="DI8" s="74"/>
      <c r="DJ8" s="74"/>
      <c r="DK8" s="74"/>
      <c r="DL8" s="74"/>
      <c r="DM8" s="74"/>
      <c r="DN8" s="74"/>
      <c r="DO8" s="74"/>
      <c r="DP8" s="74"/>
      <c r="DQ8" s="74"/>
      <c r="DR8" s="74"/>
      <c r="DS8" s="74"/>
      <c r="DT8" s="74"/>
      <c r="DU8" s="74"/>
      <c r="DV8" s="74"/>
      <c r="DW8" s="74"/>
      <c r="DX8" s="74"/>
      <c r="DY8" s="74"/>
      <c r="DZ8" s="74"/>
      <c r="EA8" s="74"/>
      <c r="EB8" s="74"/>
      <c r="EC8" s="74"/>
      <c r="ED8" s="74"/>
      <c r="EE8" s="74"/>
      <c r="EF8" s="74"/>
      <c r="EG8" s="74"/>
      <c r="EH8" s="74"/>
      <c r="EI8" s="74"/>
      <c r="EJ8" s="74"/>
      <c r="EK8" s="74"/>
      <c r="EL8" s="74"/>
      <c r="EM8" s="74"/>
      <c r="EN8" s="74"/>
      <c r="EO8" s="74"/>
      <c r="EP8" s="74"/>
      <c r="EQ8" s="74"/>
      <c r="ER8" s="74"/>
      <c r="ES8" s="74"/>
      <c r="ET8" s="74"/>
      <c r="EU8" s="74"/>
      <c r="EV8" s="74"/>
      <c r="EW8" s="74"/>
      <c r="EX8" s="74"/>
      <c r="EY8" s="74"/>
      <c r="EZ8" s="74"/>
      <c r="FA8" s="74"/>
      <c r="FB8" s="74"/>
      <c r="FC8" s="74"/>
      <c r="FD8" s="74"/>
      <c r="FE8" s="74"/>
      <c r="FF8" s="74"/>
      <c r="FG8" s="74"/>
      <c r="FH8" s="74"/>
      <c r="FI8" s="74"/>
      <c r="FJ8" s="74"/>
      <c r="FK8" s="74"/>
      <c r="FL8" s="74"/>
      <c r="FM8" s="74"/>
      <c r="FN8" s="74"/>
      <c r="FO8" s="74"/>
      <c r="FP8" s="74"/>
      <c r="FQ8" s="74"/>
      <c r="FR8" s="74"/>
      <c r="FS8" s="74"/>
      <c r="FT8" s="74"/>
      <c r="FU8" s="74"/>
      <c r="FV8" s="74"/>
      <c r="FW8" s="74"/>
      <c r="FX8" s="74"/>
      <c r="FY8" s="74"/>
      <c r="FZ8" s="74"/>
      <c r="GA8" s="74"/>
      <c r="GB8" s="74"/>
      <c r="GC8" s="74"/>
      <c r="GD8" s="74"/>
      <c r="GE8" s="74"/>
      <c r="GF8" s="74"/>
      <c r="GG8" s="74"/>
      <c r="GH8" s="74"/>
      <c r="GI8" s="74"/>
      <c r="GJ8" s="74"/>
      <c r="GK8" s="74"/>
      <c r="GL8" s="74"/>
      <c r="GM8" s="74"/>
      <c r="GN8" s="74"/>
      <c r="GO8" s="74"/>
      <c r="GP8" s="74"/>
      <c r="GQ8" s="74"/>
      <c r="GR8" s="74"/>
      <c r="GS8" s="74"/>
      <c r="GT8" s="74"/>
      <c r="GU8" s="74"/>
      <c r="GV8" s="74"/>
      <c r="GW8" s="74"/>
      <c r="GX8" s="74"/>
      <c r="GY8" s="74"/>
      <c r="GZ8" s="74"/>
      <c r="HA8" s="74"/>
      <c r="HB8" s="74"/>
      <c r="HC8" s="74"/>
      <c r="HD8" s="74"/>
      <c r="HE8" s="74"/>
      <c r="HF8" s="74"/>
      <c r="HG8" s="74"/>
      <c r="HH8" s="74"/>
      <c r="HI8" s="74"/>
      <c r="HJ8" s="74"/>
      <c r="HK8" s="74"/>
      <c r="HL8" s="74"/>
      <c r="HM8" s="74"/>
      <c r="HN8" s="74"/>
      <c r="HO8" s="74"/>
      <c r="HP8" s="74"/>
      <c r="HQ8" s="74"/>
      <c r="HR8" s="74"/>
      <c r="HS8" s="74"/>
      <c r="HT8" s="74"/>
      <c r="HU8" s="74"/>
      <c r="HV8" s="74"/>
      <c r="HW8" s="74"/>
      <c r="HX8" s="74"/>
      <c r="HY8" s="74"/>
      <c r="HZ8" s="74"/>
      <c r="IA8" s="74"/>
      <c r="IB8" s="74"/>
      <c r="IC8" s="74"/>
      <c r="ID8" s="74"/>
      <c r="IE8" s="74"/>
      <c r="IF8" s="74"/>
      <c r="IG8" s="74"/>
      <c r="IH8" s="74"/>
      <c r="II8" s="74"/>
      <c r="IJ8" s="74"/>
      <c r="IK8" s="74"/>
      <c r="IL8" s="74"/>
      <c r="IM8" s="74"/>
      <c r="IN8" s="74"/>
      <c r="IO8" s="74"/>
      <c r="IP8" s="74"/>
      <c r="IQ8" s="74"/>
      <c r="IR8" s="74"/>
      <c r="IS8" s="74"/>
      <c r="IT8" s="74"/>
      <c r="IU8" s="74"/>
      <c r="IV8" s="74"/>
      <c r="IW8" s="74"/>
      <c r="IX8" s="74"/>
      <c r="IY8" s="74"/>
      <c r="IZ8" s="74"/>
      <c r="JA8" s="74"/>
      <c r="JB8" s="74"/>
      <c r="JC8" s="74"/>
      <c r="JD8" s="74"/>
      <c r="JE8" s="74"/>
      <c r="JF8" s="74"/>
      <c r="JG8" s="74"/>
      <c r="JH8" s="74"/>
      <c r="JI8" s="74"/>
      <c r="JJ8" s="74"/>
      <c r="JK8" s="74"/>
      <c r="JL8" s="74"/>
      <c r="JM8" s="74"/>
      <c r="JN8" s="74"/>
      <c r="JO8" s="74"/>
      <c r="JP8" s="74"/>
      <c r="JQ8" s="74"/>
      <c r="JR8" s="74"/>
      <c r="JS8" s="74"/>
      <c r="JT8" s="74"/>
      <c r="JU8" s="74"/>
      <c r="JV8" s="74"/>
      <c r="JW8" s="74"/>
      <c r="JX8" s="74"/>
      <c r="JY8" s="74"/>
      <c r="JZ8" s="74"/>
      <c r="KA8" s="74"/>
      <c r="KB8" s="74"/>
      <c r="KC8" s="74"/>
      <c r="KD8" s="74"/>
      <c r="KE8" s="74"/>
      <c r="KF8" s="74"/>
      <c r="KG8" s="74"/>
      <c r="KH8" s="74"/>
      <c r="KI8" s="74"/>
      <c r="KJ8" s="74"/>
      <c r="KK8" s="74"/>
      <c r="KL8" s="74"/>
      <c r="KM8" s="74"/>
      <c r="KN8" s="74"/>
      <c r="KO8" s="74"/>
      <c r="KP8" s="74"/>
      <c r="KQ8" s="74"/>
      <c r="KR8" s="74"/>
      <c r="KS8" s="74"/>
      <c r="KT8" s="74"/>
      <c r="KU8" s="74"/>
      <c r="KV8" s="74"/>
      <c r="KW8" s="74"/>
      <c r="KX8" s="74"/>
      <c r="KY8" s="74"/>
      <c r="KZ8" s="74"/>
      <c r="LA8" s="74"/>
      <c r="LB8" s="74"/>
      <c r="LC8" s="74"/>
      <c r="LD8" s="74"/>
      <c r="LE8" s="74"/>
      <c r="LF8" s="74"/>
      <c r="LG8" s="74"/>
      <c r="LH8" s="74"/>
      <c r="LI8" s="74"/>
      <c r="LJ8" s="74"/>
      <c r="LK8" s="74"/>
      <c r="LL8" s="74"/>
      <c r="LM8" s="74"/>
      <c r="LN8" s="74"/>
      <c r="LO8" s="74"/>
      <c r="LP8" s="74"/>
      <c r="LQ8" s="74"/>
      <c r="LR8" s="74"/>
      <c r="LS8" s="74"/>
      <c r="LT8" s="74"/>
      <c r="LU8" s="74"/>
      <c r="LV8" s="74"/>
      <c r="LW8" s="74"/>
      <c r="LX8" s="74"/>
      <c r="LY8" s="74"/>
      <c r="LZ8" s="74"/>
      <c r="MA8" s="74"/>
      <c r="MB8" s="74"/>
      <c r="MC8" s="74"/>
      <c r="MD8" s="74"/>
      <c r="ME8" s="74"/>
      <c r="MF8" s="74"/>
      <c r="MG8" s="74"/>
      <c r="MH8" s="74"/>
      <c r="MI8" s="74"/>
      <c r="MJ8" s="74"/>
      <c r="MK8" s="74"/>
      <c r="ML8" s="74"/>
      <c r="MM8" s="74"/>
      <c r="MN8" s="74"/>
      <c r="MO8" s="74"/>
      <c r="MP8" s="74"/>
      <c r="MQ8" s="74"/>
      <c r="MR8" s="74"/>
      <c r="MS8" s="74"/>
      <c r="MT8" s="74"/>
      <c r="MU8" s="74"/>
      <c r="MV8" s="74"/>
      <c r="MW8" s="74"/>
      <c r="MX8" s="74"/>
      <c r="MY8" s="74"/>
      <c r="MZ8" s="74"/>
      <c r="NA8" s="74"/>
      <c r="NB8" s="74"/>
      <c r="NC8" s="74"/>
      <c r="ND8" s="74"/>
      <c r="NE8" s="74"/>
      <c r="NF8" s="74"/>
      <c r="NG8" s="74"/>
      <c r="NH8" s="74"/>
      <c r="NI8" s="74"/>
      <c r="NJ8" s="74"/>
      <c r="NK8" s="74"/>
      <c r="NL8" s="74"/>
      <c r="NM8" s="74"/>
      <c r="NN8" s="74"/>
      <c r="NO8" s="74"/>
      <c r="NP8" s="74"/>
      <c r="NQ8" s="74"/>
      <c r="NR8" s="74"/>
      <c r="NS8" s="74"/>
      <c r="NT8" s="74"/>
      <c r="NU8" s="74"/>
      <c r="NV8" s="74"/>
      <c r="NW8" s="74"/>
      <c r="NX8" s="74"/>
      <c r="NY8" s="74"/>
      <c r="NZ8" s="74"/>
      <c r="OA8" s="74"/>
      <c r="OB8" s="74"/>
      <c r="OC8" s="74"/>
      <c r="OD8" s="74"/>
      <c r="OE8" s="74"/>
      <c r="OF8" s="74"/>
      <c r="OG8" s="74"/>
      <c r="OH8" s="74"/>
      <c r="OI8" s="74"/>
      <c r="OJ8" s="74"/>
      <c r="OK8" s="74"/>
      <c r="OL8" s="74"/>
      <c r="OM8" s="74"/>
      <c r="ON8" s="74"/>
      <c r="OO8" s="74"/>
      <c r="OP8" s="74"/>
      <c r="OQ8" s="74"/>
      <c r="OR8" s="74"/>
      <c r="OS8" s="74"/>
      <c r="OT8" s="74"/>
      <c r="OU8" s="74"/>
      <c r="OV8" s="74"/>
      <c r="OW8" s="74"/>
      <c r="OX8" s="74"/>
      <c r="OY8" s="74"/>
      <c r="OZ8" s="74"/>
      <c r="PA8" s="74"/>
      <c r="PB8" s="74"/>
      <c r="PC8" s="74"/>
      <c r="PD8" s="74"/>
      <c r="PE8" s="74"/>
      <c r="PF8" s="74"/>
      <c r="PG8" s="74"/>
      <c r="PH8" s="74"/>
      <c r="PI8" s="74"/>
      <c r="PJ8" s="74"/>
      <c r="PK8" s="74"/>
      <c r="PL8" s="74"/>
      <c r="PM8" s="74"/>
      <c r="PN8" s="74"/>
      <c r="PO8" s="74"/>
      <c r="PP8" s="74"/>
      <c r="PQ8" s="74"/>
      <c r="PR8" s="74"/>
      <c r="PS8" s="74"/>
      <c r="PT8" s="74"/>
      <c r="PU8" s="74"/>
      <c r="PV8" s="74"/>
      <c r="PW8" s="74"/>
      <c r="PX8" s="74"/>
      <c r="PY8" s="74"/>
      <c r="PZ8" s="74"/>
      <c r="QA8" s="74"/>
      <c r="QB8" s="74"/>
      <c r="QC8" s="74"/>
      <c r="QD8" s="74"/>
      <c r="QE8" s="74"/>
      <c r="QF8" s="74"/>
      <c r="QG8" s="74"/>
      <c r="QH8" s="74"/>
      <c r="QI8" s="74"/>
      <c r="QJ8" s="74"/>
      <c r="QK8" s="74"/>
      <c r="QL8" s="74"/>
      <c r="QM8" s="74"/>
      <c r="QN8" s="74"/>
      <c r="QO8" s="74"/>
      <c r="QP8" s="74"/>
      <c r="QQ8" s="74"/>
      <c r="QR8" s="74"/>
      <c r="QS8" s="74"/>
      <c r="QT8" s="74"/>
      <c r="QU8" s="74"/>
      <c r="QV8" s="74"/>
      <c r="QW8" s="74"/>
      <c r="QX8" s="74"/>
    </row>
    <row r="9" spans="1:466" s="92" customFormat="1" ht="15.6" customHeight="1" x14ac:dyDescent="0.25">
      <c r="A9" s="15" t="s">
        <v>462</v>
      </c>
      <c r="B9" s="51" t="s">
        <v>463</v>
      </c>
      <c r="C9" s="59"/>
      <c r="D9" s="193" t="s">
        <v>453</v>
      </c>
      <c r="E9" s="193" t="s">
        <v>194</v>
      </c>
      <c r="F9" s="59" t="s">
        <v>464</v>
      </c>
      <c r="G9" s="59" t="s">
        <v>460</v>
      </c>
      <c r="H9" s="59" t="s">
        <v>465</v>
      </c>
      <c r="I9" s="59">
        <v>43.717680000000001</v>
      </c>
      <c r="J9" s="59">
        <v>-79.495825999999994</v>
      </c>
      <c r="K9" s="59" t="s">
        <v>450</v>
      </c>
      <c r="L9" s="196" t="s">
        <v>450</v>
      </c>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4"/>
      <c r="BF9" s="74"/>
      <c r="BG9" s="74"/>
      <c r="BH9" s="74"/>
      <c r="BI9" s="74"/>
      <c r="BJ9" s="74"/>
      <c r="BK9" s="74"/>
      <c r="BL9" s="74"/>
      <c r="BM9" s="74"/>
      <c r="BN9" s="74"/>
      <c r="BO9" s="74"/>
      <c r="BP9" s="74"/>
      <c r="BQ9" s="74"/>
      <c r="BR9" s="74"/>
      <c r="BS9" s="74"/>
      <c r="BT9" s="74"/>
      <c r="BU9" s="74"/>
      <c r="BV9" s="74"/>
      <c r="BW9" s="74"/>
      <c r="BX9" s="74"/>
      <c r="BY9" s="74"/>
      <c r="BZ9" s="74"/>
      <c r="CA9" s="74"/>
      <c r="CB9" s="74"/>
      <c r="CC9" s="74"/>
      <c r="CD9" s="74"/>
      <c r="CE9" s="74"/>
      <c r="CF9" s="74"/>
      <c r="CG9" s="74"/>
      <c r="CH9" s="74"/>
      <c r="CI9" s="74"/>
      <c r="CJ9" s="74"/>
      <c r="CK9" s="74"/>
      <c r="CL9" s="74"/>
      <c r="CM9" s="74"/>
      <c r="CN9" s="74"/>
      <c r="CO9" s="74"/>
      <c r="CP9" s="74"/>
      <c r="CQ9" s="74"/>
      <c r="CR9" s="74"/>
      <c r="CS9" s="74"/>
      <c r="CT9" s="74"/>
      <c r="CU9" s="74"/>
      <c r="CV9" s="74"/>
      <c r="CW9" s="74"/>
      <c r="CX9" s="74"/>
      <c r="CY9" s="74"/>
      <c r="CZ9" s="74"/>
      <c r="DA9" s="74"/>
      <c r="DB9" s="74"/>
      <c r="DC9" s="74"/>
      <c r="DD9" s="74"/>
      <c r="DE9" s="74"/>
      <c r="DF9" s="74"/>
      <c r="DG9" s="74"/>
      <c r="DH9" s="74"/>
      <c r="DI9" s="74"/>
      <c r="DJ9" s="74"/>
      <c r="DK9" s="74"/>
      <c r="DL9" s="74"/>
      <c r="DM9" s="74"/>
      <c r="DN9" s="74"/>
      <c r="DO9" s="74"/>
      <c r="DP9" s="74"/>
      <c r="DQ9" s="74"/>
      <c r="DR9" s="74"/>
      <c r="DS9" s="74"/>
      <c r="DT9" s="74"/>
      <c r="DU9" s="74"/>
      <c r="DV9" s="74"/>
      <c r="DW9" s="74"/>
      <c r="DX9" s="74"/>
      <c r="DY9" s="74"/>
      <c r="DZ9" s="74"/>
      <c r="EA9" s="74"/>
      <c r="EB9" s="74"/>
      <c r="EC9" s="74"/>
      <c r="ED9" s="74"/>
      <c r="EE9" s="74"/>
      <c r="EF9" s="74"/>
      <c r="EG9" s="74"/>
      <c r="EH9" s="74"/>
      <c r="EI9" s="74"/>
      <c r="EJ9" s="74"/>
      <c r="EK9" s="74"/>
      <c r="EL9" s="74"/>
      <c r="EM9" s="74"/>
      <c r="EN9" s="74"/>
      <c r="EO9" s="74"/>
      <c r="EP9" s="74"/>
      <c r="EQ9" s="74"/>
      <c r="ER9" s="74"/>
      <c r="ES9" s="74"/>
      <c r="ET9" s="74"/>
      <c r="EU9" s="74"/>
      <c r="EV9" s="74"/>
      <c r="EW9" s="74"/>
      <c r="EX9" s="74"/>
      <c r="EY9" s="74"/>
      <c r="EZ9" s="74"/>
      <c r="FA9" s="74"/>
      <c r="FB9" s="74"/>
      <c r="FC9" s="74"/>
      <c r="FD9" s="74"/>
      <c r="FE9" s="74"/>
      <c r="FF9" s="74"/>
      <c r="FG9" s="74"/>
      <c r="FH9" s="74"/>
      <c r="FI9" s="74"/>
      <c r="FJ9" s="74"/>
      <c r="FK9" s="74"/>
      <c r="FL9" s="74"/>
      <c r="FM9" s="74"/>
      <c r="FN9" s="74"/>
      <c r="FO9" s="74"/>
      <c r="FP9" s="74"/>
      <c r="FQ9" s="74"/>
      <c r="FR9" s="74"/>
      <c r="FS9" s="74"/>
      <c r="FT9" s="74"/>
      <c r="FU9" s="74"/>
      <c r="FV9" s="74"/>
      <c r="FW9" s="74"/>
      <c r="FX9" s="74"/>
      <c r="FY9" s="74"/>
      <c r="FZ9" s="74"/>
      <c r="GA9" s="74"/>
      <c r="GB9" s="74"/>
      <c r="GC9" s="74"/>
      <c r="GD9" s="74"/>
      <c r="GE9" s="74"/>
      <c r="GF9" s="74"/>
      <c r="GG9" s="74"/>
      <c r="GH9" s="74"/>
      <c r="GI9" s="74"/>
      <c r="GJ9" s="74"/>
      <c r="GK9" s="74"/>
      <c r="GL9" s="74"/>
      <c r="GM9" s="74"/>
      <c r="GN9" s="74"/>
      <c r="GO9" s="74"/>
      <c r="GP9" s="74"/>
      <c r="GQ9" s="74"/>
      <c r="GR9" s="74"/>
      <c r="GS9" s="74"/>
      <c r="GT9" s="74"/>
      <c r="GU9" s="74"/>
      <c r="GV9" s="74"/>
      <c r="GW9" s="74"/>
      <c r="GX9" s="74"/>
      <c r="GY9" s="74"/>
      <c r="GZ9" s="74"/>
      <c r="HA9" s="74"/>
      <c r="HB9" s="74"/>
      <c r="HC9" s="74"/>
      <c r="HD9" s="74"/>
      <c r="HE9" s="74"/>
      <c r="HF9" s="74"/>
      <c r="HG9" s="74"/>
      <c r="HH9" s="74"/>
      <c r="HI9" s="74"/>
      <c r="HJ9" s="74"/>
      <c r="HK9" s="74"/>
      <c r="HL9" s="74"/>
      <c r="HM9" s="74"/>
      <c r="HN9" s="74"/>
      <c r="HO9" s="74"/>
      <c r="HP9" s="74"/>
      <c r="HQ9" s="74"/>
      <c r="HR9" s="74"/>
      <c r="HS9" s="74"/>
      <c r="HT9" s="74"/>
      <c r="HU9" s="74"/>
      <c r="HV9" s="74"/>
      <c r="HW9" s="74"/>
      <c r="HX9" s="74"/>
      <c r="HY9" s="74"/>
      <c r="HZ9" s="74"/>
      <c r="IA9" s="74"/>
      <c r="IB9" s="74"/>
      <c r="IC9" s="74"/>
      <c r="ID9" s="74"/>
      <c r="IE9" s="74"/>
      <c r="IF9" s="74"/>
      <c r="IG9" s="74"/>
      <c r="IH9" s="74"/>
      <c r="II9" s="74"/>
      <c r="IJ9" s="74"/>
      <c r="IK9" s="74"/>
      <c r="IL9" s="74"/>
      <c r="IM9" s="74"/>
      <c r="IN9" s="74"/>
      <c r="IO9" s="74"/>
      <c r="IP9" s="74"/>
      <c r="IQ9" s="74"/>
      <c r="IR9" s="74"/>
      <c r="IS9" s="74"/>
      <c r="IT9" s="74"/>
      <c r="IU9" s="74"/>
      <c r="IV9" s="74"/>
      <c r="IW9" s="74"/>
      <c r="IX9" s="74"/>
      <c r="IY9" s="74"/>
      <c r="IZ9" s="74"/>
      <c r="JA9" s="74"/>
      <c r="JB9" s="74"/>
      <c r="JC9" s="74"/>
      <c r="JD9" s="74"/>
      <c r="JE9" s="74"/>
      <c r="JF9" s="74"/>
      <c r="JG9" s="74"/>
      <c r="JH9" s="74"/>
      <c r="JI9" s="74"/>
      <c r="JJ9" s="74"/>
      <c r="JK9" s="74"/>
      <c r="JL9" s="74"/>
      <c r="JM9" s="74"/>
      <c r="JN9" s="74"/>
      <c r="JO9" s="74"/>
      <c r="JP9" s="74"/>
      <c r="JQ9" s="74"/>
      <c r="JR9" s="74"/>
      <c r="JS9" s="74"/>
      <c r="JT9" s="74"/>
      <c r="JU9" s="74"/>
      <c r="JV9" s="74"/>
      <c r="JW9" s="74"/>
      <c r="JX9" s="74"/>
      <c r="JY9" s="74"/>
      <c r="JZ9" s="74"/>
      <c r="KA9" s="74"/>
      <c r="KB9" s="74"/>
      <c r="KC9" s="74"/>
      <c r="KD9" s="74"/>
      <c r="KE9" s="74"/>
      <c r="KF9" s="74"/>
      <c r="KG9" s="74"/>
      <c r="KH9" s="74"/>
      <c r="KI9" s="74"/>
      <c r="KJ9" s="74"/>
      <c r="KK9" s="74"/>
      <c r="KL9" s="74"/>
      <c r="KM9" s="74"/>
      <c r="KN9" s="74"/>
      <c r="KO9" s="74"/>
      <c r="KP9" s="74"/>
      <c r="KQ9" s="74"/>
      <c r="KR9" s="74"/>
      <c r="KS9" s="74"/>
      <c r="KT9" s="74"/>
      <c r="KU9" s="74"/>
      <c r="KV9" s="74"/>
      <c r="KW9" s="74"/>
      <c r="KX9" s="74"/>
      <c r="KY9" s="74"/>
      <c r="KZ9" s="74"/>
      <c r="LA9" s="74"/>
      <c r="LB9" s="74"/>
      <c r="LC9" s="74"/>
      <c r="LD9" s="74"/>
      <c r="LE9" s="74"/>
      <c r="LF9" s="74"/>
      <c r="LG9" s="74"/>
      <c r="LH9" s="74"/>
      <c r="LI9" s="74"/>
      <c r="LJ9" s="74"/>
      <c r="LK9" s="74"/>
      <c r="LL9" s="74"/>
      <c r="LM9" s="74"/>
      <c r="LN9" s="74"/>
      <c r="LO9" s="74"/>
      <c r="LP9" s="74"/>
      <c r="LQ9" s="74"/>
      <c r="LR9" s="74"/>
      <c r="LS9" s="74"/>
      <c r="LT9" s="74"/>
      <c r="LU9" s="74"/>
      <c r="LV9" s="74"/>
      <c r="LW9" s="74"/>
      <c r="LX9" s="74"/>
      <c r="LY9" s="74"/>
      <c r="LZ9" s="74"/>
      <c r="MA9" s="74"/>
      <c r="MB9" s="74"/>
      <c r="MC9" s="74"/>
      <c r="MD9" s="74"/>
      <c r="ME9" s="74"/>
      <c r="MF9" s="74"/>
      <c r="MG9" s="74"/>
      <c r="MH9" s="74"/>
      <c r="MI9" s="74"/>
      <c r="MJ9" s="74"/>
      <c r="MK9" s="74"/>
      <c r="ML9" s="74"/>
      <c r="MM9" s="74"/>
      <c r="MN9" s="74"/>
      <c r="MO9" s="74"/>
      <c r="MP9" s="74"/>
      <c r="MQ9" s="74"/>
      <c r="MR9" s="74"/>
      <c r="MS9" s="74"/>
      <c r="MT9" s="74"/>
      <c r="MU9" s="74"/>
      <c r="MV9" s="74"/>
      <c r="MW9" s="74"/>
      <c r="MX9" s="74"/>
      <c r="MY9" s="74"/>
      <c r="MZ9" s="74"/>
      <c r="NA9" s="74"/>
      <c r="NB9" s="74"/>
      <c r="NC9" s="74"/>
      <c r="ND9" s="74"/>
      <c r="NE9" s="74"/>
      <c r="NF9" s="74"/>
      <c r="NG9" s="74"/>
      <c r="NH9" s="74"/>
      <c r="NI9" s="74"/>
      <c r="NJ9" s="74"/>
      <c r="NK9" s="74"/>
      <c r="NL9" s="74"/>
      <c r="NM9" s="74"/>
      <c r="NN9" s="74"/>
      <c r="NO9" s="74"/>
      <c r="NP9" s="74"/>
      <c r="NQ9" s="74"/>
      <c r="NR9" s="74"/>
      <c r="NS9" s="74"/>
      <c r="NT9" s="74"/>
      <c r="NU9" s="74"/>
      <c r="NV9" s="74"/>
      <c r="NW9" s="74"/>
      <c r="NX9" s="74"/>
      <c r="NY9" s="74"/>
      <c r="NZ9" s="74"/>
      <c r="OA9" s="74"/>
      <c r="OB9" s="74"/>
      <c r="OC9" s="74"/>
      <c r="OD9" s="74"/>
      <c r="OE9" s="74"/>
      <c r="OF9" s="74"/>
      <c r="OG9" s="74"/>
      <c r="OH9" s="74"/>
      <c r="OI9" s="74"/>
      <c r="OJ9" s="74"/>
      <c r="OK9" s="74"/>
      <c r="OL9" s="74"/>
      <c r="OM9" s="74"/>
      <c r="ON9" s="74"/>
      <c r="OO9" s="74"/>
      <c r="OP9" s="74"/>
      <c r="OQ9" s="74"/>
      <c r="OR9" s="74"/>
      <c r="OS9" s="74"/>
      <c r="OT9" s="74"/>
      <c r="OU9" s="74"/>
      <c r="OV9" s="74"/>
      <c r="OW9" s="74"/>
      <c r="OX9" s="74"/>
      <c r="OY9" s="74"/>
      <c r="OZ9" s="74"/>
      <c r="PA9" s="74"/>
      <c r="PB9" s="74"/>
      <c r="PC9" s="74"/>
      <c r="PD9" s="74"/>
      <c r="PE9" s="74"/>
      <c r="PF9" s="74"/>
      <c r="PG9" s="74"/>
      <c r="PH9" s="74"/>
      <c r="PI9" s="74"/>
      <c r="PJ9" s="74"/>
      <c r="PK9" s="74"/>
      <c r="PL9" s="74"/>
      <c r="PM9" s="74"/>
      <c r="PN9" s="74"/>
      <c r="PO9" s="74"/>
      <c r="PP9" s="74"/>
      <c r="PQ9" s="74"/>
      <c r="PR9" s="74"/>
      <c r="PS9" s="74"/>
      <c r="PT9" s="74"/>
      <c r="PU9" s="74"/>
      <c r="PV9" s="74"/>
      <c r="PW9" s="74"/>
      <c r="PX9" s="74"/>
      <c r="PY9" s="74"/>
      <c r="PZ9" s="74"/>
      <c r="QA9" s="74"/>
      <c r="QB9" s="74"/>
      <c r="QC9" s="74"/>
      <c r="QD9" s="74"/>
      <c r="QE9" s="74"/>
      <c r="QF9" s="74"/>
      <c r="QG9" s="74"/>
      <c r="QH9" s="74"/>
      <c r="QI9" s="74"/>
      <c r="QJ9" s="74"/>
      <c r="QK9" s="74"/>
      <c r="QL9" s="74"/>
      <c r="QM9" s="74"/>
      <c r="QN9" s="74"/>
      <c r="QO9" s="74"/>
      <c r="QP9" s="74"/>
      <c r="QQ9" s="74"/>
      <c r="QR9" s="74"/>
      <c r="QS9" s="74"/>
      <c r="QT9" s="74"/>
      <c r="QU9" s="74"/>
      <c r="QV9" s="74"/>
      <c r="QW9" s="74"/>
      <c r="QX9" s="74"/>
    </row>
    <row r="10" spans="1:466" s="92" customFormat="1" ht="15.6" customHeight="1" x14ac:dyDescent="0.25">
      <c r="A10" s="15" t="s">
        <v>466</v>
      </c>
      <c r="B10" s="51" t="s">
        <v>467</v>
      </c>
      <c r="C10" s="59" t="s">
        <v>619</v>
      </c>
      <c r="D10" s="193" t="s">
        <v>453</v>
      </c>
      <c r="E10" s="193" t="s">
        <v>468</v>
      </c>
      <c r="F10" s="59" t="s">
        <v>469</v>
      </c>
      <c r="G10" s="59" t="s">
        <v>470</v>
      </c>
      <c r="H10" s="59" t="s">
        <v>471</v>
      </c>
      <c r="I10" s="59">
        <v>43.66592</v>
      </c>
      <c r="J10" s="59">
        <v>-79.423169999999999</v>
      </c>
      <c r="K10" s="59" t="s">
        <v>450</v>
      </c>
      <c r="L10" s="196" t="s">
        <v>450</v>
      </c>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4"/>
      <c r="BF10" s="74"/>
      <c r="BG10" s="74"/>
      <c r="BH10" s="74"/>
      <c r="BI10" s="74"/>
      <c r="BJ10" s="74"/>
      <c r="BK10" s="74"/>
      <c r="BL10" s="74"/>
      <c r="BM10" s="74"/>
      <c r="BN10" s="74"/>
      <c r="BO10" s="74"/>
      <c r="BP10" s="74"/>
      <c r="BQ10" s="74"/>
      <c r="BR10" s="74"/>
      <c r="BS10" s="74"/>
      <c r="BT10" s="74"/>
      <c r="BU10" s="74"/>
      <c r="BV10" s="74"/>
      <c r="BW10" s="74"/>
      <c r="BX10" s="74"/>
      <c r="BY10" s="74"/>
      <c r="BZ10" s="74"/>
      <c r="CA10" s="74"/>
      <c r="CB10" s="74"/>
      <c r="CC10" s="74"/>
      <c r="CD10" s="74"/>
      <c r="CE10" s="74"/>
      <c r="CF10" s="74"/>
      <c r="CG10" s="74"/>
      <c r="CH10" s="74"/>
      <c r="CI10" s="74"/>
      <c r="CJ10" s="74"/>
      <c r="CK10" s="74"/>
      <c r="CL10" s="74"/>
      <c r="CM10" s="74"/>
      <c r="CN10" s="74"/>
      <c r="CO10" s="74"/>
      <c r="CP10" s="74"/>
      <c r="CQ10" s="74"/>
      <c r="CR10" s="74"/>
      <c r="CS10" s="74"/>
      <c r="CT10" s="74"/>
      <c r="CU10" s="74"/>
      <c r="CV10" s="74"/>
      <c r="CW10" s="74"/>
      <c r="CX10" s="74"/>
      <c r="CY10" s="74"/>
      <c r="CZ10" s="74"/>
      <c r="DA10" s="74"/>
      <c r="DB10" s="74"/>
      <c r="DC10" s="74"/>
      <c r="DD10" s="74"/>
      <c r="DE10" s="74"/>
      <c r="DF10" s="74"/>
      <c r="DG10" s="74"/>
      <c r="DH10" s="74"/>
      <c r="DI10" s="74"/>
      <c r="DJ10" s="74"/>
      <c r="DK10" s="74"/>
      <c r="DL10" s="74"/>
      <c r="DM10" s="74"/>
      <c r="DN10" s="74"/>
      <c r="DO10" s="74"/>
      <c r="DP10" s="74"/>
      <c r="DQ10" s="74"/>
      <c r="DR10" s="74"/>
      <c r="DS10" s="74"/>
      <c r="DT10" s="74"/>
      <c r="DU10" s="74"/>
      <c r="DV10" s="74"/>
      <c r="DW10" s="74"/>
      <c r="DX10" s="74"/>
      <c r="DY10" s="74"/>
      <c r="DZ10" s="74"/>
      <c r="EA10" s="74"/>
      <c r="EB10" s="74"/>
      <c r="EC10" s="74"/>
      <c r="ED10" s="74"/>
      <c r="EE10" s="74"/>
      <c r="EF10" s="74"/>
      <c r="EG10" s="74"/>
      <c r="EH10" s="74"/>
      <c r="EI10" s="74"/>
      <c r="EJ10" s="74"/>
      <c r="EK10" s="74"/>
      <c r="EL10" s="74"/>
      <c r="EM10" s="74"/>
      <c r="EN10" s="74"/>
      <c r="EO10" s="74"/>
      <c r="EP10" s="74"/>
      <c r="EQ10" s="74"/>
      <c r="ER10" s="74"/>
      <c r="ES10" s="74"/>
      <c r="ET10" s="74"/>
      <c r="EU10" s="74"/>
      <c r="EV10" s="74"/>
      <c r="EW10" s="74"/>
      <c r="EX10" s="74"/>
      <c r="EY10" s="74"/>
      <c r="EZ10" s="74"/>
      <c r="FA10" s="74"/>
      <c r="FB10" s="74"/>
      <c r="FC10" s="74"/>
      <c r="FD10" s="74"/>
      <c r="FE10" s="74"/>
      <c r="FF10" s="74"/>
      <c r="FG10" s="74"/>
      <c r="FH10" s="74"/>
      <c r="FI10" s="74"/>
      <c r="FJ10" s="74"/>
      <c r="FK10" s="74"/>
      <c r="FL10" s="74"/>
      <c r="FM10" s="74"/>
      <c r="FN10" s="74"/>
      <c r="FO10" s="74"/>
      <c r="FP10" s="74"/>
      <c r="FQ10" s="74"/>
      <c r="FR10" s="74"/>
      <c r="FS10" s="74"/>
      <c r="FT10" s="74"/>
      <c r="FU10" s="74"/>
      <c r="FV10" s="74"/>
      <c r="FW10" s="74"/>
      <c r="FX10" s="74"/>
      <c r="FY10" s="74"/>
      <c r="FZ10" s="74"/>
      <c r="GA10" s="74"/>
      <c r="GB10" s="74"/>
      <c r="GC10" s="74"/>
      <c r="GD10" s="74"/>
      <c r="GE10" s="74"/>
      <c r="GF10" s="74"/>
      <c r="GG10" s="74"/>
      <c r="GH10" s="74"/>
      <c r="GI10" s="74"/>
      <c r="GJ10" s="74"/>
      <c r="GK10" s="74"/>
      <c r="GL10" s="74"/>
      <c r="GM10" s="74"/>
      <c r="GN10" s="74"/>
      <c r="GO10" s="74"/>
      <c r="GP10" s="74"/>
      <c r="GQ10" s="74"/>
      <c r="GR10" s="74"/>
      <c r="GS10" s="74"/>
      <c r="GT10" s="74"/>
      <c r="GU10" s="74"/>
      <c r="GV10" s="74"/>
      <c r="GW10" s="74"/>
      <c r="GX10" s="74"/>
      <c r="GY10" s="74"/>
      <c r="GZ10" s="74"/>
      <c r="HA10" s="74"/>
      <c r="HB10" s="74"/>
      <c r="HC10" s="74"/>
      <c r="HD10" s="74"/>
      <c r="HE10" s="74"/>
      <c r="HF10" s="74"/>
      <c r="HG10" s="74"/>
      <c r="HH10" s="74"/>
      <c r="HI10" s="74"/>
      <c r="HJ10" s="74"/>
      <c r="HK10" s="74"/>
      <c r="HL10" s="74"/>
      <c r="HM10" s="74"/>
      <c r="HN10" s="74"/>
      <c r="HO10" s="74"/>
      <c r="HP10" s="74"/>
      <c r="HQ10" s="74"/>
      <c r="HR10" s="74"/>
      <c r="HS10" s="74"/>
      <c r="HT10" s="74"/>
      <c r="HU10" s="74"/>
      <c r="HV10" s="74"/>
      <c r="HW10" s="74"/>
      <c r="HX10" s="74"/>
      <c r="HY10" s="74"/>
      <c r="HZ10" s="74"/>
      <c r="IA10" s="74"/>
      <c r="IB10" s="74"/>
      <c r="IC10" s="74"/>
      <c r="ID10" s="74"/>
      <c r="IE10" s="74"/>
      <c r="IF10" s="74"/>
      <c r="IG10" s="74"/>
      <c r="IH10" s="74"/>
      <c r="II10" s="74"/>
      <c r="IJ10" s="74"/>
      <c r="IK10" s="74"/>
      <c r="IL10" s="74"/>
      <c r="IM10" s="74"/>
      <c r="IN10" s="74"/>
      <c r="IO10" s="74"/>
      <c r="IP10" s="74"/>
      <c r="IQ10" s="74"/>
      <c r="IR10" s="74"/>
      <c r="IS10" s="74"/>
      <c r="IT10" s="74"/>
      <c r="IU10" s="74"/>
      <c r="IV10" s="74"/>
      <c r="IW10" s="74"/>
      <c r="IX10" s="74"/>
      <c r="IY10" s="74"/>
      <c r="IZ10" s="74"/>
      <c r="JA10" s="74"/>
      <c r="JB10" s="74"/>
      <c r="JC10" s="74"/>
      <c r="JD10" s="74"/>
      <c r="JE10" s="74"/>
      <c r="JF10" s="74"/>
      <c r="JG10" s="74"/>
      <c r="JH10" s="74"/>
      <c r="JI10" s="74"/>
      <c r="JJ10" s="74"/>
      <c r="JK10" s="74"/>
      <c r="JL10" s="74"/>
      <c r="JM10" s="74"/>
      <c r="JN10" s="74"/>
      <c r="JO10" s="74"/>
      <c r="JP10" s="74"/>
      <c r="JQ10" s="74"/>
      <c r="JR10" s="74"/>
      <c r="JS10" s="74"/>
      <c r="JT10" s="74"/>
      <c r="JU10" s="74"/>
      <c r="JV10" s="74"/>
      <c r="JW10" s="74"/>
      <c r="JX10" s="74"/>
      <c r="JY10" s="74"/>
      <c r="JZ10" s="74"/>
      <c r="KA10" s="74"/>
      <c r="KB10" s="74"/>
      <c r="KC10" s="74"/>
      <c r="KD10" s="74"/>
      <c r="KE10" s="74"/>
      <c r="KF10" s="74"/>
      <c r="KG10" s="74"/>
      <c r="KH10" s="74"/>
      <c r="KI10" s="74"/>
      <c r="KJ10" s="74"/>
      <c r="KK10" s="74"/>
      <c r="KL10" s="74"/>
      <c r="KM10" s="74"/>
      <c r="KN10" s="74"/>
      <c r="KO10" s="74"/>
      <c r="KP10" s="74"/>
      <c r="KQ10" s="74"/>
      <c r="KR10" s="74"/>
      <c r="KS10" s="74"/>
      <c r="KT10" s="74"/>
      <c r="KU10" s="74"/>
      <c r="KV10" s="74"/>
      <c r="KW10" s="74"/>
      <c r="KX10" s="74"/>
      <c r="KY10" s="74"/>
      <c r="KZ10" s="74"/>
      <c r="LA10" s="74"/>
      <c r="LB10" s="74"/>
      <c r="LC10" s="74"/>
      <c r="LD10" s="74"/>
      <c r="LE10" s="74"/>
      <c r="LF10" s="74"/>
      <c r="LG10" s="74"/>
      <c r="LH10" s="74"/>
      <c r="LI10" s="74"/>
      <c r="LJ10" s="74"/>
      <c r="LK10" s="74"/>
      <c r="LL10" s="74"/>
      <c r="LM10" s="74"/>
      <c r="LN10" s="74"/>
      <c r="LO10" s="74"/>
      <c r="LP10" s="74"/>
      <c r="LQ10" s="74"/>
      <c r="LR10" s="74"/>
      <c r="LS10" s="74"/>
      <c r="LT10" s="74"/>
      <c r="LU10" s="74"/>
      <c r="LV10" s="74"/>
      <c r="LW10" s="74"/>
      <c r="LX10" s="74"/>
      <c r="LY10" s="74"/>
      <c r="LZ10" s="74"/>
      <c r="MA10" s="74"/>
      <c r="MB10" s="74"/>
      <c r="MC10" s="74"/>
      <c r="MD10" s="74"/>
      <c r="ME10" s="74"/>
      <c r="MF10" s="74"/>
      <c r="MG10" s="74"/>
      <c r="MH10" s="74"/>
      <c r="MI10" s="74"/>
      <c r="MJ10" s="74"/>
      <c r="MK10" s="74"/>
      <c r="ML10" s="74"/>
      <c r="MM10" s="74"/>
      <c r="MN10" s="74"/>
      <c r="MO10" s="74"/>
      <c r="MP10" s="74"/>
      <c r="MQ10" s="74"/>
      <c r="MR10" s="74"/>
      <c r="MS10" s="74"/>
      <c r="MT10" s="74"/>
      <c r="MU10" s="74"/>
      <c r="MV10" s="74"/>
      <c r="MW10" s="74"/>
      <c r="MX10" s="74"/>
      <c r="MY10" s="74"/>
      <c r="MZ10" s="74"/>
      <c r="NA10" s="74"/>
      <c r="NB10" s="74"/>
      <c r="NC10" s="74"/>
      <c r="ND10" s="74"/>
      <c r="NE10" s="74"/>
      <c r="NF10" s="74"/>
      <c r="NG10" s="74"/>
      <c r="NH10" s="74"/>
      <c r="NI10" s="74"/>
      <c r="NJ10" s="74"/>
      <c r="NK10" s="74"/>
      <c r="NL10" s="74"/>
      <c r="NM10" s="74"/>
      <c r="NN10" s="74"/>
      <c r="NO10" s="74"/>
      <c r="NP10" s="74"/>
      <c r="NQ10" s="74"/>
      <c r="NR10" s="74"/>
      <c r="NS10" s="74"/>
      <c r="NT10" s="74"/>
      <c r="NU10" s="74"/>
      <c r="NV10" s="74"/>
      <c r="NW10" s="74"/>
      <c r="NX10" s="74"/>
      <c r="NY10" s="74"/>
      <c r="NZ10" s="74"/>
      <c r="OA10" s="74"/>
      <c r="OB10" s="74"/>
      <c r="OC10" s="74"/>
      <c r="OD10" s="74"/>
      <c r="OE10" s="74"/>
      <c r="OF10" s="74"/>
      <c r="OG10" s="74"/>
      <c r="OH10" s="74"/>
      <c r="OI10" s="74"/>
      <c r="OJ10" s="74"/>
      <c r="OK10" s="74"/>
      <c r="OL10" s="74"/>
      <c r="OM10" s="74"/>
      <c r="ON10" s="74"/>
      <c r="OO10" s="74"/>
      <c r="OP10" s="74"/>
      <c r="OQ10" s="74"/>
      <c r="OR10" s="74"/>
      <c r="OS10" s="74"/>
      <c r="OT10" s="74"/>
      <c r="OU10" s="74"/>
      <c r="OV10" s="74"/>
      <c r="OW10" s="74"/>
      <c r="OX10" s="74"/>
      <c r="OY10" s="74"/>
      <c r="OZ10" s="74"/>
      <c r="PA10" s="74"/>
      <c r="PB10" s="74"/>
      <c r="PC10" s="74"/>
      <c r="PD10" s="74"/>
      <c r="PE10" s="74"/>
      <c r="PF10" s="74"/>
      <c r="PG10" s="74"/>
      <c r="PH10" s="74"/>
      <c r="PI10" s="74"/>
      <c r="PJ10" s="74"/>
      <c r="PK10" s="74"/>
      <c r="PL10" s="74"/>
      <c r="PM10" s="74"/>
      <c r="PN10" s="74"/>
      <c r="PO10" s="74"/>
      <c r="PP10" s="74"/>
      <c r="PQ10" s="74"/>
      <c r="PR10" s="74"/>
      <c r="PS10" s="74"/>
      <c r="PT10" s="74"/>
      <c r="PU10" s="74"/>
      <c r="PV10" s="74"/>
      <c r="PW10" s="74"/>
      <c r="PX10" s="74"/>
      <c r="PY10" s="74"/>
      <c r="PZ10" s="74"/>
      <c r="QA10" s="74"/>
      <c r="QB10" s="74"/>
      <c r="QC10" s="74"/>
      <c r="QD10" s="74"/>
      <c r="QE10" s="74"/>
      <c r="QF10" s="74"/>
      <c r="QG10" s="74"/>
      <c r="QH10" s="74"/>
      <c r="QI10" s="74"/>
      <c r="QJ10" s="74"/>
      <c r="QK10" s="74"/>
      <c r="QL10" s="74"/>
      <c r="QM10" s="74"/>
      <c r="QN10" s="74"/>
      <c r="QO10" s="74"/>
      <c r="QP10" s="74"/>
      <c r="QQ10" s="74"/>
      <c r="QR10" s="74"/>
      <c r="QS10" s="74"/>
      <c r="QT10" s="74"/>
      <c r="QU10" s="74"/>
      <c r="QV10" s="74"/>
      <c r="QW10" s="74"/>
      <c r="QX10" s="74"/>
    </row>
    <row r="11" spans="1:466" ht="15.6" customHeight="1" x14ac:dyDescent="0.25">
      <c r="A11" s="15" t="s">
        <v>472</v>
      </c>
      <c r="B11" s="51" t="s">
        <v>473</v>
      </c>
      <c r="C11" s="59" t="s">
        <v>450</v>
      </c>
      <c r="D11" s="193" t="s">
        <v>453</v>
      </c>
      <c r="E11" s="193" t="s">
        <v>194</v>
      </c>
      <c r="F11" s="59" t="s">
        <v>474</v>
      </c>
      <c r="G11" s="59" t="s">
        <v>460</v>
      </c>
      <c r="H11" s="59" t="s">
        <v>475</v>
      </c>
      <c r="I11" s="59">
        <v>43.777551989999999</v>
      </c>
      <c r="J11" s="59">
        <v>-79.429776500000003</v>
      </c>
      <c r="K11" s="59" t="s">
        <v>450</v>
      </c>
      <c r="L11" s="196" t="s">
        <v>450</v>
      </c>
    </row>
    <row r="12" spans="1:466" ht="15.6" customHeight="1" x14ac:dyDescent="0.25">
      <c r="A12" s="15" t="s">
        <v>476</v>
      </c>
      <c r="B12" s="51" t="s">
        <v>477</v>
      </c>
      <c r="C12" s="59" t="s">
        <v>450</v>
      </c>
      <c r="D12" s="193" t="s">
        <v>478</v>
      </c>
      <c r="E12" s="193" t="s">
        <v>479</v>
      </c>
      <c r="F12" s="59" t="s">
        <v>480</v>
      </c>
      <c r="G12" s="59" t="s">
        <v>460</v>
      </c>
      <c r="H12" s="59" t="s">
        <v>461</v>
      </c>
      <c r="I12" s="59">
        <v>43.710059999999999</v>
      </c>
      <c r="J12" s="59">
        <v>-79.459299999999999</v>
      </c>
      <c r="K12" s="59" t="s">
        <v>450</v>
      </c>
      <c r="L12" s="196" t="s">
        <v>450</v>
      </c>
    </row>
    <row r="13" spans="1:466" ht="15.6" customHeight="1" x14ac:dyDescent="0.25">
      <c r="A13" s="15" t="s">
        <v>481</v>
      </c>
      <c r="B13" s="51" t="s">
        <v>482</v>
      </c>
      <c r="C13" s="59" t="s">
        <v>450</v>
      </c>
      <c r="D13" s="193" t="s">
        <v>453</v>
      </c>
      <c r="E13" s="193" t="s">
        <v>479</v>
      </c>
      <c r="F13" s="59" t="s">
        <v>450</v>
      </c>
      <c r="G13" s="59" t="s">
        <v>470</v>
      </c>
      <c r="H13" s="59" t="s">
        <v>450</v>
      </c>
      <c r="I13" s="59" t="s">
        <v>450</v>
      </c>
      <c r="J13" s="59" t="s">
        <v>450</v>
      </c>
      <c r="K13" s="59" t="s">
        <v>450</v>
      </c>
      <c r="L13" s="196" t="s">
        <v>450</v>
      </c>
    </row>
    <row r="14" spans="1:466" ht="15.6" customHeight="1" x14ac:dyDescent="0.25">
      <c r="A14" s="15" t="s">
        <v>483</v>
      </c>
      <c r="B14" s="51" t="s">
        <v>484</v>
      </c>
      <c r="C14" s="59" t="s">
        <v>450</v>
      </c>
      <c r="D14" s="193" t="s">
        <v>453</v>
      </c>
      <c r="E14" s="193" t="s">
        <v>194</v>
      </c>
      <c r="F14" s="59" t="s">
        <v>485</v>
      </c>
      <c r="G14" s="59" t="s">
        <v>486</v>
      </c>
      <c r="H14" s="59" t="s">
        <v>487</v>
      </c>
      <c r="I14" s="59">
        <v>43.628248300000003</v>
      </c>
      <c r="J14" s="59">
        <v>-79.517713659999998</v>
      </c>
      <c r="K14" s="59" t="s">
        <v>450</v>
      </c>
      <c r="L14" s="196" t="s">
        <v>450</v>
      </c>
    </row>
    <row r="15" spans="1:466" ht="15.6" customHeight="1" x14ac:dyDescent="0.25">
      <c r="A15" s="15" t="s">
        <v>488</v>
      </c>
      <c r="B15" s="51" t="s">
        <v>489</v>
      </c>
      <c r="C15" s="59" t="s">
        <v>618</v>
      </c>
      <c r="D15" s="193" t="s">
        <v>453</v>
      </c>
      <c r="E15" s="193" t="s">
        <v>468</v>
      </c>
      <c r="F15" s="59" t="s">
        <v>490</v>
      </c>
      <c r="G15" s="59" t="s">
        <v>460</v>
      </c>
      <c r="H15" s="59" t="s">
        <v>491</v>
      </c>
      <c r="I15" s="59">
        <v>43.784480729999999</v>
      </c>
      <c r="J15" s="59">
        <v>-79.359480120000001</v>
      </c>
      <c r="K15" s="59" t="s">
        <v>450</v>
      </c>
      <c r="L15" s="196" t="s">
        <v>450</v>
      </c>
    </row>
    <row r="16" spans="1:466" ht="15.6" customHeight="1" x14ac:dyDescent="0.25">
      <c r="A16" s="15" t="s">
        <v>492</v>
      </c>
      <c r="B16" s="51" t="s">
        <v>493</v>
      </c>
      <c r="C16" s="59" t="s">
        <v>450</v>
      </c>
      <c r="D16" s="193" t="s">
        <v>65</v>
      </c>
      <c r="E16" s="193" t="s">
        <v>194</v>
      </c>
      <c r="F16" s="59" t="s">
        <v>494</v>
      </c>
      <c r="G16" s="59" t="s">
        <v>460</v>
      </c>
      <c r="H16" s="59" t="s">
        <v>495</v>
      </c>
      <c r="I16" s="59">
        <v>43.736109999999996</v>
      </c>
      <c r="J16" s="59">
        <v>-79.426670000000001</v>
      </c>
      <c r="K16" s="59" t="s">
        <v>450</v>
      </c>
      <c r="L16" s="196" t="s">
        <v>450</v>
      </c>
    </row>
    <row r="17" spans="1:12" ht="15.6" customHeight="1" x14ac:dyDescent="0.25">
      <c r="A17" s="15" t="s">
        <v>496</v>
      </c>
      <c r="B17" s="51" t="s">
        <v>497</v>
      </c>
      <c r="C17" s="59" t="s">
        <v>450</v>
      </c>
      <c r="D17" s="193" t="s">
        <v>453</v>
      </c>
      <c r="E17" s="193" t="s">
        <v>194</v>
      </c>
      <c r="F17" s="59" t="s">
        <v>498</v>
      </c>
      <c r="G17" s="59" t="s">
        <v>460</v>
      </c>
      <c r="H17" s="59" t="s">
        <v>499</v>
      </c>
      <c r="I17" s="59">
        <v>43.726739000000002</v>
      </c>
      <c r="J17" s="59">
        <v>-79.444280000000006</v>
      </c>
      <c r="K17" s="59" t="s">
        <v>450</v>
      </c>
      <c r="L17" s="196" t="s">
        <v>450</v>
      </c>
    </row>
    <row r="18" spans="1:12" ht="15.6" customHeight="1" x14ac:dyDescent="0.25">
      <c r="A18" s="15" t="s">
        <v>500</v>
      </c>
      <c r="B18" s="51" t="s">
        <v>501</v>
      </c>
      <c r="C18" s="59" t="s">
        <v>450</v>
      </c>
      <c r="D18" s="193" t="s">
        <v>453</v>
      </c>
      <c r="E18" s="193" t="s">
        <v>194</v>
      </c>
      <c r="F18" s="59" t="s">
        <v>502</v>
      </c>
      <c r="G18" s="59" t="s">
        <v>470</v>
      </c>
      <c r="H18" s="59" t="s">
        <v>503</v>
      </c>
      <c r="I18" s="59">
        <v>43.6802601398186</v>
      </c>
      <c r="J18" s="59">
        <v>-79.519276757721997</v>
      </c>
      <c r="K18" s="59" t="s">
        <v>450</v>
      </c>
      <c r="L18" s="196" t="s">
        <v>450</v>
      </c>
    </row>
    <row r="19" spans="1:12" ht="15.6" customHeight="1" x14ac:dyDescent="0.25">
      <c r="A19" s="15" t="s">
        <v>504</v>
      </c>
      <c r="B19" s="51" t="s">
        <v>505</v>
      </c>
      <c r="C19" s="59"/>
      <c r="D19" s="193" t="s">
        <v>453</v>
      </c>
      <c r="E19" s="193" t="s">
        <v>194</v>
      </c>
      <c r="F19" s="59" t="s">
        <v>506</v>
      </c>
      <c r="G19" s="59" t="s">
        <v>486</v>
      </c>
      <c r="H19" s="59" t="s">
        <v>507</v>
      </c>
      <c r="I19" s="59">
        <v>43.680688119999999</v>
      </c>
      <c r="J19" s="59">
        <v>-79.519123250000007</v>
      </c>
      <c r="K19" s="59" t="s">
        <v>450</v>
      </c>
      <c r="L19" s="196" t="s">
        <v>450</v>
      </c>
    </row>
    <row r="20" spans="1:12" ht="15.6" customHeight="1" x14ac:dyDescent="0.25">
      <c r="A20" s="15" t="s">
        <v>508</v>
      </c>
      <c r="B20" s="51" t="s">
        <v>509</v>
      </c>
      <c r="C20" s="59" t="s">
        <v>450</v>
      </c>
      <c r="D20" s="193" t="s">
        <v>453</v>
      </c>
      <c r="E20" s="193" t="s">
        <v>194</v>
      </c>
      <c r="F20" s="59" t="s">
        <v>510</v>
      </c>
      <c r="G20" s="59" t="s">
        <v>486</v>
      </c>
      <c r="H20" s="59" t="s">
        <v>511</v>
      </c>
      <c r="I20" s="59">
        <v>43.634</v>
      </c>
      <c r="J20" s="59">
        <v>-79.505430000000004</v>
      </c>
      <c r="K20" s="59" t="s">
        <v>450</v>
      </c>
      <c r="L20" s="196" t="s">
        <v>450</v>
      </c>
    </row>
    <row r="21" spans="1:12" ht="15.6" customHeight="1" x14ac:dyDescent="0.25">
      <c r="A21" s="15" t="s">
        <v>512</v>
      </c>
      <c r="B21" s="51" t="s">
        <v>513</v>
      </c>
      <c r="C21" s="59" t="s">
        <v>450</v>
      </c>
      <c r="D21" s="193" t="s">
        <v>65</v>
      </c>
      <c r="E21" s="193" t="s">
        <v>194</v>
      </c>
      <c r="F21" s="59" t="s">
        <v>514</v>
      </c>
      <c r="G21" s="59" t="s">
        <v>460</v>
      </c>
      <c r="H21" s="59" t="s">
        <v>515</v>
      </c>
      <c r="I21" s="59">
        <v>43.740879999999997</v>
      </c>
      <c r="J21" s="59">
        <v>-79.411100000000005</v>
      </c>
      <c r="K21" s="59" t="s">
        <v>450</v>
      </c>
      <c r="L21" s="196" t="s">
        <v>450</v>
      </c>
    </row>
    <row r="22" spans="1:12" ht="15.6" customHeight="1" x14ac:dyDescent="0.25">
      <c r="A22" s="15" t="s">
        <v>516</v>
      </c>
      <c r="B22" s="51" t="s">
        <v>517</v>
      </c>
      <c r="C22" s="59" t="s">
        <v>450</v>
      </c>
      <c r="D22" s="193" t="s">
        <v>453</v>
      </c>
      <c r="E22" s="193" t="s">
        <v>194</v>
      </c>
      <c r="F22" s="59" t="s">
        <v>450</v>
      </c>
      <c r="G22" s="59" t="s">
        <v>486</v>
      </c>
      <c r="H22" s="59" t="s">
        <v>518</v>
      </c>
      <c r="I22" s="59" t="s">
        <v>450</v>
      </c>
      <c r="J22" s="59" t="s">
        <v>450</v>
      </c>
      <c r="K22" s="59" t="s">
        <v>450</v>
      </c>
      <c r="L22" s="196" t="s">
        <v>450</v>
      </c>
    </row>
    <row r="23" spans="1:12" ht="15.6" customHeight="1" x14ac:dyDescent="0.25">
      <c r="A23" s="15" t="s">
        <v>519</v>
      </c>
      <c r="B23" s="51" t="s">
        <v>520</v>
      </c>
      <c r="C23" s="59" t="s">
        <v>450</v>
      </c>
      <c r="D23" s="193" t="s">
        <v>453</v>
      </c>
      <c r="E23" s="193" t="s">
        <v>194</v>
      </c>
      <c r="F23" s="59" t="s">
        <v>450</v>
      </c>
      <c r="G23" s="59" t="s">
        <v>470</v>
      </c>
      <c r="H23" s="59" t="s">
        <v>521</v>
      </c>
      <c r="I23" s="59" t="s">
        <v>450</v>
      </c>
      <c r="J23" s="59" t="s">
        <v>450</v>
      </c>
      <c r="K23" s="59" t="s">
        <v>450</v>
      </c>
      <c r="L23" s="196" t="s">
        <v>450</v>
      </c>
    </row>
    <row r="24" spans="1:12" ht="15.6" customHeight="1" x14ac:dyDescent="0.25">
      <c r="A24" s="15" t="s">
        <v>522</v>
      </c>
      <c r="B24" s="51" t="s">
        <v>523</v>
      </c>
      <c r="C24" s="59" t="s">
        <v>450</v>
      </c>
      <c r="D24" s="193" t="s">
        <v>453</v>
      </c>
      <c r="E24" s="193" t="s">
        <v>194</v>
      </c>
      <c r="F24" s="59" t="s">
        <v>524</v>
      </c>
      <c r="G24" s="59" t="s">
        <v>460</v>
      </c>
      <c r="H24" s="59" t="s">
        <v>450</v>
      </c>
      <c r="I24" s="59" t="s">
        <v>450</v>
      </c>
      <c r="J24" s="59" t="s">
        <v>450</v>
      </c>
      <c r="K24" s="59" t="s">
        <v>450</v>
      </c>
      <c r="L24" s="196" t="s">
        <v>450</v>
      </c>
    </row>
    <row r="25" spans="1:12" ht="15.6" customHeight="1" x14ac:dyDescent="0.25">
      <c r="A25" s="7"/>
      <c r="B25" s="8"/>
      <c r="C25" s="8"/>
      <c r="D25" s="8"/>
      <c r="E25" s="8"/>
      <c r="F25" s="8"/>
      <c r="G25" s="8"/>
      <c r="H25" s="8"/>
      <c r="I25" s="8"/>
      <c r="J25" s="8"/>
      <c r="K25" s="8"/>
      <c r="L25" s="8"/>
    </row>
    <row r="26" spans="1:12" ht="15.6" customHeight="1" x14ac:dyDescent="0.25">
      <c r="A26" s="7"/>
      <c r="B26" s="8"/>
      <c r="C26" s="8"/>
      <c r="D26" s="8"/>
      <c r="E26" s="8"/>
      <c r="F26" s="8"/>
      <c r="G26" s="8"/>
      <c r="H26" s="8"/>
      <c r="I26" s="8"/>
      <c r="J26" s="8"/>
      <c r="K26" s="8"/>
      <c r="L26" s="8"/>
    </row>
    <row r="27" spans="1:12" ht="15.6" customHeight="1" x14ac:dyDescent="0.25">
      <c r="A27" s="7"/>
      <c r="B27" s="8"/>
      <c r="C27" s="8"/>
      <c r="D27" s="8"/>
      <c r="E27" s="8"/>
      <c r="F27" s="8"/>
      <c r="G27" s="8"/>
      <c r="H27" s="8"/>
      <c r="I27" s="8"/>
      <c r="J27" s="8"/>
      <c r="K27" s="8"/>
      <c r="L27" s="8"/>
    </row>
    <row r="28" spans="1:12" ht="15.6" customHeight="1" x14ac:dyDescent="0.25">
      <c r="A28" s="7"/>
      <c r="B28" s="8"/>
      <c r="C28" s="8"/>
      <c r="D28" s="8"/>
      <c r="E28" s="8"/>
      <c r="F28" s="8"/>
      <c r="G28" s="8"/>
      <c r="H28" s="8"/>
      <c r="I28" s="8"/>
      <c r="J28" s="8"/>
      <c r="K28" s="8"/>
      <c r="L28" s="8"/>
    </row>
    <row r="29" spans="1:12" ht="15.6" customHeight="1" x14ac:dyDescent="0.25">
      <c r="A29" s="7"/>
      <c r="B29" s="8"/>
      <c r="C29" s="8"/>
      <c r="D29" s="8"/>
      <c r="E29" s="8"/>
      <c r="F29" s="8"/>
      <c r="G29" s="8"/>
      <c r="H29" s="8"/>
      <c r="I29" s="8"/>
      <c r="J29" s="8"/>
      <c r="K29" s="8"/>
      <c r="L29" s="8"/>
    </row>
    <row r="30" spans="1:12" ht="15.6" customHeight="1" x14ac:dyDescent="0.25">
      <c r="A30" s="7"/>
      <c r="B30" s="8"/>
      <c r="C30" s="8"/>
      <c r="D30" s="8"/>
      <c r="E30" s="8"/>
      <c r="F30" s="8"/>
      <c r="G30" s="8"/>
      <c r="H30" s="8"/>
      <c r="I30" s="8"/>
      <c r="J30" s="8"/>
      <c r="K30" s="8"/>
      <c r="L30" s="8"/>
    </row>
    <row r="31" spans="1:12" ht="15.6" customHeight="1" x14ac:dyDescent="0.25">
      <c r="A31" s="7"/>
      <c r="B31" s="8"/>
      <c r="C31" s="8"/>
      <c r="D31" s="8"/>
      <c r="E31" s="8"/>
      <c r="F31" s="8"/>
      <c r="G31" s="8"/>
      <c r="H31" s="8"/>
      <c r="I31" s="8"/>
      <c r="J31" s="8"/>
      <c r="K31" s="8"/>
      <c r="L31" s="8"/>
    </row>
    <row r="32" spans="1:12" ht="15.6" customHeight="1" x14ac:dyDescent="0.25">
      <c r="A32" s="7"/>
      <c r="B32" s="8"/>
      <c r="C32" s="8"/>
      <c r="D32" s="8"/>
      <c r="E32" s="8"/>
      <c r="F32" s="8"/>
      <c r="G32" s="8"/>
      <c r="H32" s="8"/>
      <c r="I32" s="8"/>
      <c r="J32" s="8"/>
      <c r="K32" s="8"/>
      <c r="L32" s="8"/>
    </row>
    <row r="33" spans="1:12" ht="15.6" customHeight="1" x14ac:dyDescent="0.25">
      <c r="A33" s="7"/>
      <c r="B33" s="8"/>
      <c r="C33" s="8"/>
      <c r="D33" s="8"/>
      <c r="E33" s="8"/>
      <c r="F33" s="8"/>
      <c r="G33" s="8"/>
      <c r="H33" s="8"/>
      <c r="I33" s="8"/>
      <c r="J33" s="8"/>
      <c r="K33" s="8"/>
      <c r="L33" s="8"/>
    </row>
    <row r="34" spans="1:12" ht="15.6" customHeight="1" x14ac:dyDescent="0.25">
      <c r="A34" s="7"/>
      <c r="B34" s="8"/>
      <c r="C34" s="8"/>
      <c r="D34" s="8"/>
      <c r="E34" s="8"/>
      <c r="F34" s="8"/>
      <c r="G34" s="8"/>
      <c r="H34" s="8"/>
      <c r="I34" s="8"/>
      <c r="J34" s="8"/>
      <c r="K34" s="8"/>
      <c r="L34" s="8"/>
    </row>
    <row r="35" spans="1:12" ht="15.6" customHeight="1" x14ac:dyDescent="0.25">
      <c r="A35" s="7"/>
      <c r="B35" s="8"/>
      <c r="C35" s="8"/>
      <c r="D35" s="8"/>
      <c r="E35" s="8"/>
      <c r="F35" s="8"/>
      <c r="G35" s="8"/>
      <c r="H35" s="8"/>
      <c r="I35" s="8"/>
      <c r="J35" s="8"/>
      <c r="K35" s="8"/>
      <c r="L35" s="8"/>
    </row>
    <row r="36" spans="1:12" ht="15.6" customHeight="1" x14ac:dyDescent="0.25">
      <c r="A36" s="7"/>
      <c r="B36" s="8"/>
      <c r="C36" s="8"/>
      <c r="D36" s="8"/>
      <c r="E36" s="8"/>
      <c r="F36" s="8"/>
      <c r="G36" s="8"/>
      <c r="H36" s="8"/>
      <c r="I36" s="8"/>
      <c r="J36" s="8"/>
      <c r="K36" s="8"/>
      <c r="L36" s="8"/>
    </row>
    <row r="37" spans="1:12" ht="15.6" customHeight="1" x14ac:dyDescent="0.25">
      <c r="A37" s="7"/>
      <c r="B37" s="8"/>
      <c r="C37" s="8"/>
      <c r="D37" s="8"/>
      <c r="E37" s="8"/>
      <c r="F37" s="8"/>
      <c r="G37" s="8"/>
      <c r="H37" s="8"/>
      <c r="I37" s="8"/>
      <c r="J37" s="8"/>
      <c r="K37" s="8"/>
      <c r="L37" s="8"/>
    </row>
    <row r="38" spans="1:12" ht="15.6" customHeight="1" x14ac:dyDescent="0.25">
      <c r="A38" s="7"/>
      <c r="B38" s="8"/>
      <c r="C38" s="8"/>
      <c r="D38" s="8"/>
      <c r="E38" s="8"/>
      <c r="F38" s="8"/>
      <c r="G38" s="8"/>
      <c r="H38" s="8"/>
      <c r="I38" s="8"/>
      <c r="J38" s="8"/>
      <c r="K38" s="8"/>
      <c r="L38" s="8"/>
    </row>
    <row r="39" spans="1:12" ht="15.6" customHeight="1" x14ac:dyDescent="0.25">
      <c r="A39" s="7"/>
      <c r="B39" s="8"/>
      <c r="C39" s="8"/>
      <c r="D39" s="8"/>
      <c r="E39" s="8"/>
      <c r="F39" s="8"/>
      <c r="G39" s="8"/>
      <c r="H39" s="8"/>
      <c r="I39" s="8"/>
      <c r="J39" s="8"/>
      <c r="K39" s="8"/>
      <c r="L39" s="8"/>
    </row>
    <row r="40" spans="1:12" ht="15.6" customHeight="1" x14ac:dyDescent="0.25">
      <c r="A40" s="7"/>
      <c r="B40" s="8"/>
      <c r="C40" s="8"/>
      <c r="D40" s="8"/>
      <c r="E40" s="8"/>
      <c r="F40" s="8"/>
      <c r="G40" s="8"/>
      <c r="H40" s="8"/>
      <c r="I40" s="8"/>
      <c r="J40" s="8"/>
      <c r="K40" s="8"/>
      <c r="L40" s="8"/>
    </row>
    <row r="41" spans="1:12" ht="15.6" customHeight="1" x14ac:dyDescent="0.25">
      <c r="A41" s="7"/>
      <c r="B41" s="8"/>
      <c r="C41" s="8"/>
      <c r="D41" s="8"/>
      <c r="E41" s="8"/>
      <c r="F41" s="8"/>
      <c r="G41" s="8"/>
      <c r="H41" s="8"/>
      <c r="I41" s="8"/>
      <c r="J41" s="8"/>
      <c r="K41" s="8"/>
      <c r="L41" s="8"/>
    </row>
    <row r="42" spans="1:12" ht="15.6" customHeight="1" x14ac:dyDescent="0.25">
      <c r="A42" s="7"/>
      <c r="B42" s="8"/>
      <c r="C42" s="8"/>
      <c r="D42" s="8"/>
      <c r="E42" s="8"/>
      <c r="F42" s="8"/>
      <c r="G42" s="8"/>
      <c r="H42" s="8"/>
      <c r="I42" s="8"/>
      <c r="J42" s="8"/>
      <c r="K42" s="8"/>
      <c r="L42" s="8"/>
    </row>
    <row r="43" spans="1:12" ht="15.6" customHeight="1" x14ac:dyDescent="0.25">
      <c r="A43" s="7"/>
      <c r="B43" s="8"/>
      <c r="C43" s="8"/>
      <c r="D43" s="8"/>
      <c r="E43" s="8"/>
      <c r="F43" s="8"/>
      <c r="G43" s="8"/>
      <c r="H43" s="8"/>
      <c r="I43" s="8"/>
      <c r="J43" s="8"/>
      <c r="K43" s="8"/>
      <c r="L43" s="8"/>
    </row>
    <row r="44" spans="1:12" ht="15.6" customHeight="1" x14ac:dyDescent="0.25">
      <c r="A44" s="7"/>
      <c r="B44" s="8"/>
      <c r="C44" s="8"/>
      <c r="D44" s="8"/>
      <c r="E44" s="8"/>
      <c r="F44" s="8"/>
      <c r="G44" s="8"/>
      <c r="H44" s="8"/>
      <c r="I44" s="8"/>
      <c r="J44" s="8"/>
      <c r="K44" s="8"/>
      <c r="L44" s="8"/>
    </row>
    <row r="45" spans="1:12" ht="15.6" customHeight="1" x14ac:dyDescent="0.25">
      <c r="A45" s="7"/>
      <c r="B45" s="8"/>
      <c r="C45" s="8"/>
      <c r="D45" s="8"/>
      <c r="E45" s="8"/>
      <c r="F45" s="8"/>
      <c r="G45" s="8"/>
      <c r="H45" s="8"/>
      <c r="I45" s="8"/>
      <c r="J45" s="8"/>
      <c r="K45" s="8"/>
      <c r="L45" s="8"/>
    </row>
    <row r="46" spans="1:12" ht="15.6" customHeight="1" x14ac:dyDescent="0.25">
      <c r="A46" s="7"/>
      <c r="B46" s="8"/>
      <c r="C46" s="8"/>
      <c r="D46" s="8"/>
      <c r="E46" s="8"/>
      <c r="F46" s="8"/>
      <c r="G46" s="8"/>
      <c r="H46" s="8"/>
      <c r="I46" s="8"/>
      <c r="J46" s="8"/>
      <c r="K46" s="8"/>
      <c r="L46" s="8"/>
    </row>
    <row r="47" spans="1:12" ht="15.6" customHeight="1" x14ac:dyDescent="0.25">
      <c r="A47" s="7"/>
      <c r="B47" s="8"/>
      <c r="C47" s="8"/>
      <c r="D47" s="8"/>
      <c r="E47" s="8"/>
      <c r="F47" s="8"/>
      <c r="G47" s="8"/>
      <c r="H47" s="8"/>
      <c r="I47" s="8"/>
      <c r="J47" s="8"/>
      <c r="K47" s="8"/>
      <c r="L47" s="8"/>
    </row>
    <row r="48" spans="1:12" ht="15.6" customHeight="1" x14ac:dyDescent="0.25">
      <c r="A48" s="7"/>
      <c r="B48" s="8"/>
      <c r="C48" s="8"/>
      <c r="D48" s="8"/>
      <c r="E48" s="8"/>
      <c r="F48" s="8"/>
      <c r="G48" s="8"/>
      <c r="H48" s="8"/>
      <c r="I48" s="8"/>
      <c r="J48" s="8"/>
      <c r="K48" s="8"/>
      <c r="L48" s="8"/>
    </row>
    <row r="49" spans="1:12" ht="15.6" customHeight="1" x14ac:dyDescent="0.25">
      <c r="A49" s="7"/>
      <c r="B49" s="8"/>
      <c r="C49" s="8"/>
      <c r="D49" s="8"/>
      <c r="E49" s="8"/>
      <c r="F49" s="8"/>
      <c r="G49" s="8"/>
      <c r="H49" s="8"/>
      <c r="I49" s="8"/>
      <c r="J49" s="8"/>
      <c r="K49" s="8"/>
      <c r="L49" s="8"/>
    </row>
    <row r="50" spans="1:12" ht="15.6" customHeight="1" x14ac:dyDescent="0.25">
      <c r="A50" s="7"/>
      <c r="B50" s="8"/>
      <c r="C50" s="8"/>
      <c r="D50" s="8"/>
      <c r="E50" s="8"/>
      <c r="F50" s="8"/>
      <c r="G50" s="8"/>
      <c r="H50" s="8"/>
      <c r="I50" s="8"/>
      <c r="J50" s="8"/>
      <c r="K50" s="8"/>
      <c r="L50" s="8"/>
    </row>
    <row r="51" spans="1:12" ht="15" x14ac:dyDescent="0.25">
      <c r="A51" s="7"/>
      <c r="B51" s="8"/>
      <c r="C51" s="8"/>
      <c r="D51" s="8"/>
      <c r="E51" s="8"/>
      <c r="F51" s="8"/>
      <c r="G51" s="8"/>
      <c r="H51" s="8"/>
      <c r="I51" s="8"/>
      <c r="J51" s="8"/>
      <c r="K51" s="8"/>
      <c r="L51" s="8"/>
    </row>
    <row r="52" spans="1:12" ht="15.6" customHeight="1" x14ac:dyDescent="0.25">
      <c r="A52" s="7"/>
      <c r="B52" s="8"/>
      <c r="C52" s="8"/>
      <c r="D52" s="8"/>
      <c r="E52" s="8"/>
      <c r="F52" s="8"/>
      <c r="G52" s="8"/>
      <c r="H52" s="8"/>
      <c r="I52" s="8"/>
      <c r="J52" s="8"/>
      <c r="K52" s="8"/>
      <c r="L52" s="8"/>
    </row>
    <row r="53" spans="1:12" ht="15.6" customHeight="1" x14ac:dyDescent="0.25">
      <c r="A53" s="7"/>
      <c r="B53" s="8"/>
      <c r="C53" s="8"/>
      <c r="D53" s="8"/>
      <c r="E53" s="8"/>
      <c r="F53" s="8"/>
      <c r="G53" s="8"/>
      <c r="H53" s="8"/>
      <c r="I53" s="8"/>
      <c r="J53" s="8"/>
      <c r="K53" s="8"/>
      <c r="L53" s="8"/>
    </row>
    <row r="54" spans="1:12" ht="15.6" customHeight="1" x14ac:dyDescent="0.25">
      <c r="A54" s="7"/>
      <c r="B54" s="8"/>
      <c r="C54" s="8"/>
      <c r="D54" s="8"/>
      <c r="E54" s="8"/>
      <c r="F54" s="8"/>
      <c r="G54" s="8"/>
      <c r="H54" s="8"/>
      <c r="I54" s="8"/>
      <c r="J54" s="8"/>
      <c r="K54" s="8"/>
      <c r="L54" s="8"/>
    </row>
    <row r="55" spans="1:12" ht="15.6" customHeight="1" x14ac:dyDescent="0.25">
      <c r="A55" s="7"/>
      <c r="B55" s="8"/>
      <c r="C55" s="8"/>
      <c r="D55" s="8"/>
      <c r="E55" s="8"/>
      <c r="F55" s="8"/>
      <c r="G55" s="8"/>
      <c r="H55" s="8"/>
      <c r="I55" s="8"/>
      <c r="J55" s="8"/>
      <c r="K55" s="8"/>
      <c r="L55" s="8"/>
    </row>
    <row r="56" spans="1:12" ht="15.6" customHeight="1" x14ac:dyDescent="0.25">
      <c r="A56" s="7"/>
      <c r="B56" s="8"/>
      <c r="C56" s="8"/>
      <c r="D56" s="8"/>
      <c r="E56" s="8"/>
      <c r="F56" s="8"/>
      <c r="G56" s="8"/>
      <c r="H56" s="8"/>
      <c r="I56" s="8"/>
      <c r="J56" s="8"/>
      <c r="K56" s="8"/>
      <c r="L56" s="8"/>
    </row>
    <row r="57" spans="1:12" ht="15.6" customHeight="1" x14ac:dyDescent="0.25">
      <c r="A57" s="7"/>
      <c r="B57" s="8"/>
      <c r="C57" s="8"/>
      <c r="D57" s="8"/>
      <c r="E57" s="8"/>
      <c r="F57" s="8"/>
      <c r="G57" s="8"/>
      <c r="H57" s="8"/>
      <c r="I57" s="8"/>
      <c r="J57" s="8"/>
      <c r="K57" s="8"/>
      <c r="L57" s="8"/>
    </row>
    <row r="58" spans="1:12" ht="15.6" customHeight="1" x14ac:dyDescent="0.25">
      <c r="A58" s="7"/>
      <c r="B58" s="8"/>
      <c r="C58" s="8"/>
      <c r="D58" s="8"/>
      <c r="E58" s="8"/>
      <c r="F58" s="8"/>
      <c r="G58" s="8"/>
      <c r="H58" s="8"/>
      <c r="I58" s="8"/>
      <c r="J58" s="8"/>
      <c r="K58" s="8"/>
      <c r="L58" s="8"/>
    </row>
    <row r="59" spans="1:12" ht="15.6" customHeight="1" x14ac:dyDescent="0.25">
      <c r="A59" s="7"/>
      <c r="B59" s="8"/>
      <c r="C59" s="8"/>
      <c r="D59" s="8"/>
      <c r="E59" s="8"/>
      <c r="F59" s="8"/>
      <c r="G59" s="8"/>
      <c r="H59" s="8"/>
      <c r="I59" s="8"/>
      <c r="J59" s="8"/>
      <c r="K59" s="8"/>
      <c r="L59" s="8"/>
    </row>
    <row r="60" spans="1:12" ht="15.6" customHeight="1" x14ac:dyDescent="0.25">
      <c r="A60" s="7"/>
      <c r="B60" s="8"/>
      <c r="C60" s="8"/>
      <c r="D60" s="8"/>
      <c r="E60" s="8"/>
      <c r="F60" s="8"/>
      <c r="G60" s="8"/>
      <c r="H60" s="8"/>
      <c r="I60" s="8"/>
      <c r="J60" s="8"/>
      <c r="K60" s="8"/>
      <c r="L60" s="8"/>
    </row>
    <row r="61" spans="1:12" ht="15.6" customHeight="1" x14ac:dyDescent="0.25">
      <c r="A61" s="7"/>
      <c r="B61" s="8"/>
      <c r="C61" s="8"/>
      <c r="D61" s="8"/>
      <c r="E61" s="8"/>
      <c r="F61" s="8"/>
      <c r="G61" s="8"/>
      <c r="H61" s="8"/>
      <c r="I61" s="8"/>
      <c r="J61" s="8"/>
      <c r="K61" s="8"/>
      <c r="L61" s="8"/>
    </row>
    <row r="62" spans="1:12" ht="15.6" customHeight="1" x14ac:dyDescent="0.25">
      <c r="A62" s="7"/>
      <c r="B62" s="8"/>
      <c r="C62" s="8"/>
      <c r="D62" s="8"/>
      <c r="E62" s="8"/>
      <c r="F62" s="8"/>
      <c r="G62" s="8"/>
      <c r="H62" s="8"/>
      <c r="I62" s="8"/>
      <c r="J62" s="8"/>
      <c r="K62" s="8"/>
      <c r="L62" s="8"/>
    </row>
    <row r="63" spans="1:12" ht="15.6" customHeight="1" x14ac:dyDescent="0.25">
      <c r="A63" s="7"/>
      <c r="B63" s="8"/>
      <c r="C63" s="8"/>
      <c r="D63" s="8"/>
      <c r="E63" s="8"/>
      <c r="F63" s="8"/>
      <c r="G63" s="8"/>
      <c r="H63" s="8"/>
      <c r="I63" s="8"/>
      <c r="J63" s="8"/>
      <c r="K63" s="8"/>
      <c r="L63" s="8"/>
    </row>
    <row r="64" spans="1:12" ht="15.6" customHeight="1" x14ac:dyDescent="0.25">
      <c r="A64" s="7"/>
      <c r="B64" s="8"/>
      <c r="C64" s="8"/>
      <c r="D64" s="8"/>
      <c r="E64" s="8"/>
      <c r="F64" s="8"/>
      <c r="G64" s="8"/>
      <c r="H64" s="8"/>
      <c r="I64" s="8"/>
      <c r="J64" s="8"/>
      <c r="K64" s="8"/>
      <c r="L64" s="8"/>
    </row>
    <row r="65" spans="1:12" ht="15.6" customHeight="1" x14ac:dyDescent="0.25">
      <c r="A65" s="7"/>
      <c r="B65" s="8"/>
      <c r="C65" s="8"/>
      <c r="D65" s="8"/>
      <c r="E65" s="8"/>
      <c r="F65" s="8"/>
      <c r="G65" s="8"/>
      <c r="H65" s="8"/>
      <c r="I65" s="8"/>
      <c r="J65" s="8"/>
      <c r="K65" s="8"/>
      <c r="L65" s="8"/>
    </row>
    <row r="66" spans="1:12" ht="15.6" customHeight="1" x14ac:dyDescent="0.25">
      <c r="A66" s="7"/>
      <c r="B66" s="8"/>
      <c r="C66" s="8"/>
      <c r="D66" s="8"/>
      <c r="E66" s="8"/>
      <c r="F66" s="8"/>
      <c r="G66" s="8"/>
      <c r="H66" s="8"/>
      <c r="I66" s="8"/>
      <c r="J66" s="8"/>
      <c r="K66" s="8"/>
      <c r="L66" s="8"/>
    </row>
    <row r="67" spans="1:12" ht="15.6" customHeight="1" x14ac:dyDescent="0.25">
      <c r="A67" s="7"/>
      <c r="B67" s="8"/>
      <c r="C67" s="8"/>
      <c r="D67" s="8"/>
      <c r="E67" s="8"/>
      <c r="F67" s="8"/>
      <c r="G67" s="8"/>
      <c r="H67" s="8"/>
      <c r="I67" s="8"/>
      <c r="J67" s="8"/>
      <c r="K67" s="8"/>
      <c r="L67" s="8"/>
    </row>
    <row r="68" spans="1:12" ht="15.6" customHeight="1" x14ac:dyDescent="0.25">
      <c r="A68" s="7"/>
      <c r="B68" s="8"/>
      <c r="C68" s="8"/>
      <c r="D68" s="8"/>
      <c r="E68" s="8"/>
      <c r="F68" s="8"/>
      <c r="G68" s="8"/>
      <c r="H68" s="8"/>
      <c r="I68" s="8"/>
      <c r="J68" s="8"/>
      <c r="K68" s="8"/>
      <c r="L68" s="8"/>
    </row>
    <row r="69" spans="1:12" ht="15.6" customHeight="1" x14ac:dyDescent="0.25">
      <c r="A69" s="7"/>
      <c r="B69" s="8"/>
      <c r="C69" s="8"/>
      <c r="D69" s="8"/>
      <c r="E69" s="8"/>
      <c r="F69" s="8"/>
      <c r="G69" s="8"/>
      <c r="H69" s="8"/>
      <c r="I69" s="8"/>
      <c r="J69" s="8"/>
      <c r="K69" s="8"/>
      <c r="L69" s="8"/>
    </row>
    <row r="70" spans="1:12" ht="15.6" customHeight="1" x14ac:dyDescent="0.25">
      <c r="A70" s="7"/>
      <c r="B70" s="8"/>
      <c r="C70" s="8"/>
      <c r="D70" s="8"/>
      <c r="E70" s="8"/>
      <c r="F70" s="8"/>
      <c r="G70" s="8"/>
      <c r="H70" s="8"/>
      <c r="I70" s="8"/>
      <c r="J70" s="8"/>
      <c r="K70" s="8"/>
      <c r="L70" s="8"/>
    </row>
    <row r="71" spans="1:12" ht="15.6" customHeight="1" x14ac:dyDescent="0.25">
      <c r="A71" s="7"/>
      <c r="B71" s="8"/>
      <c r="C71" s="8"/>
      <c r="D71" s="8"/>
      <c r="E71" s="8"/>
      <c r="F71" s="8"/>
      <c r="G71" s="8"/>
      <c r="H71" s="8"/>
      <c r="I71" s="8"/>
      <c r="J71" s="8"/>
      <c r="K71" s="8"/>
      <c r="L71" s="8"/>
    </row>
    <row r="72" spans="1:12" ht="15.6" customHeight="1" x14ac:dyDescent="0.25">
      <c r="A72" s="7"/>
      <c r="B72" s="8"/>
      <c r="C72" s="8"/>
      <c r="D72" s="8"/>
      <c r="E72" s="8"/>
      <c r="F72" s="8"/>
      <c r="G72" s="8"/>
      <c r="H72" s="8"/>
      <c r="I72" s="8"/>
      <c r="J72" s="8"/>
      <c r="K72" s="8"/>
      <c r="L72" s="8"/>
    </row>
    <row r="73" spans="1:12" ht="15.6" customHeight="1" x14ac:dyDescent="0.25">
      <c r="A73" s="7"/>
      <c r="B73" s="8"/>
      <c r="C73" s="8"/>
      <c r="D73" s="8"/>
      <c r="E73" s="8"/>
      <c r="F73" s="8"/>
      <c r="G73" s="8"/>
      <c r="H73" s="8"/>
      <c r="I73" s="8"/>
      <c r="J73" s="8"/>
      <c r="K73" s="8"/>
      <c r="L73" s="8"/>
    </row>
    <row r="74" spans="1:12" ht="15.6" customHeight="1" x14ac:dyDescent="0.25">
      <c r="A74" s="7"/>
      <c r="B74" s="8"/>
      <c r="C74" s="8"/>
      <c r="D74" s="8"/>
      <c r="E74" s="8"/>
      <c r="F74" s="8"/>
      <c r="G74" s="8"/>
      <c r="H74" s="8"/>
      <c r="I74" s="8"/>
      <c r="J74" s="8"/>
      <c r="K74" s="8"/>
      <c r="L74" s="8"/>
    </row>
    <row r="75" spans="1:12" ht="15.6" customHeight="1" x14ac:dyDescent="0.25">
      <c r="A75" s="7"/>
      <c r="B75" s="8"/>
      <c r="C75" s="8"/>
      <c r="D75" s="8"/>
      <c r="E75" s="8"/>
      <c r="F75" s="8"/>
      <c r="G75" s="8"/>
      <c r="H75" s="8"/>
      <c r="I75" s="8"/>
      <c r="J75" s="8"/>
      <c r="K75" s="8"/>
      <c r="L75" s="8"/>
    </row>
    <row r="76" spans="1:12" ht="15.6" customHeight="1" x14ac:dyDescent="0.25">
      <c r="A76" s="7"/>
      <c r="B76" s="8"/>
      <c r="C76" s="8"/>
      <c r="D76" s="8"/>
      <c r="E76" s="8"/>
      <c r="F76" s="8"/>
      <c r="G76" s="8"/>
      <c r="H76" s="8"/>
      <c r="I76" s="8"/>
      <c r="J76" s="8"/>
      <c r="K76" s="8"/>
      <c r="L76" s="8"/>
    </row>
    <row r="77" spans="1:12" ht="15.6" customHeight="1" x14ac:dyDescent="0.25">
      <c r="A77" s="7"/>
      <c r="B77" s="8"/>
      <c r="C77" s="8"/>
      <c r="D77" s="8"/>
      <c r="E77" s="8"/>
      <c r="F77" s="8"/>
      <c r="G77" s="8"/>
      <c r="H77" s="8"/>
      <c r="I77" s="8"/>
      <c r="J77" s="8"/>
      <c r="K77" s="8"/>
      <c r="L77" s="8"/>
    </row>
    <row r="78" spans="1:12" ht="15.6" customHeight="1" x14ac:dyDescent="0.25">
      <c r="A78" s="7"/>
      <c r="B78" s="8"/>
      <c r="C78" s="8"/>
      <c r="D78" s="8"/>
      <c r="E78" s="8"/>
      <c r="F78" s="8"/>
      <c r="G78" s="8"/>
      <c r="H78" s="8"/>
      <c r="I78" s="8"/>
      <c r="J78" s="8"/>
      <c r="K78" s="8"/>
      <c r="L78" s="8"/>
    </row>
    <row r="79" spans="1:12" ht="15.6" customHeight="1" x14ac:dyDescent="0.25">
      <c r="A79" s="7"/>
      <c r="B79" s="8"/>
      <c r="C79" s="8"/>
      <c r="D79" s="8"/>
      <c r="E79" s="8"/>
      <c r="F79" s="8"/>
      <c r="G79" s="8"/>
      <c r="H79" s="8"/>
      <c r="I79" s="8"/>
      <c r="J79" s="8"/>
      <c r="K79" s="8"/>
      <c r="L79" s="8"/>
    </row>
    <row r="80" spans="1:12" ht="15.6" customHeight="1" x14ac:dyDescent="0.25">
      <c r="A80" s="7"/>
      <c r="B80" s="8"/>
      <c r="C80" s="8"/>
      <c r="D80" s="8"/>
      <c r="E80" s="8"/>
      <c r="F80" s="8"/>
      <c r="G80" s="8"/>
      <c r="H80" s="8"/>
      <c r="I80" s="8"/>
      <c r="J80" s="8"/>
      <c r="K80" s="8"/>
      <c r="L80" s="8"/>
    </row>
    <row r="81" spans="1:12" ht="15.6" customHeight="1" x14ac:dyDescent="0.25">
      <c r="A81" s="7"/>
      <c r="B81" s="8"/>
      <c r="C81" s="8"/>
      <c r="D81" s="8"/>
      <c r="E81" s="8"/>
      <c r="F81" s="8"/>
      <c r="G81" s="8"/>
      <c r="H81" s="8"/>
      <c r="I81" s="8"/>
      <c r="J81" s="8"/>
      <c r="K81" s="8"/>
      <c r="L81" s="8"/>
    </row>
    <row r="82" spans="1:12" ht="15.6" customHeight="1" x14ac:dyDescent="0.25">
      <c r="A82" s="7"/>
      <c r="B82" s="8"/>
      <c r="C82" s="8"/>
      <c r="D82" s="8"/>
      <c r="E82" s="8"/>
      <c r="F82" s="8"/>
      <c r="G82" s="8"/>
      <c r="H82" s="8"/>
      <c r="I82" s="8"/>
      <c r="J82" s="8"/>
      <c r="K82" s="8"/>
      <c r="L82" s="8"/>
    </row>
    <row r="83" spans="1:12" ht="15.6" customHeight="1" x14ac:dyDescent="0.25">
      <c r="A83" s="7"/>
      <c r="B83" s="8"/>
      <c r="C83" s="8"/>
      <c r="D83" s="8"/>
      <c r="E83" s="8"/>
      <c r="F83" s="8"/>
      <c r="G83" s="8"/>
      <c r="H83" s="8"/>
      <c r="I83" s="8"/>
      <c r="J83" s="8"/>
      <c r="K83" s="8"/>
      <c r="L83" s="8"/>
    </row>
    <row r="84" spans="1:12" ht="15.6" customHeight="1" x14ac:dyDescent="0.25">
      <c r="A84" s="7"/>
      <c r="B84" s="8"/>
      <c r="C84" s="8"/>
      <c r="D84" s="8"/>
      <c r="E84" s="8"/>
      <c r="F84" s="8"/>
      <c r="G84" s="8"/>
      <c r="H84" s="8"/>
      <c r="I84" s="8"/>
      <c r="J84" s="8"/>
      <c r="K84" s="8"/>
      <c r="L84" s="8"/>
    </row>
    <row r="85" spans="1:12" ht="15.6" customHeight="1" x14ac:dyDescent="0.25">
      <c r="A85" s="7"/>
      <c r="B85" s="8"/>
      <c r="C85" s="8"/>
      <c r="D85" s="8"/>
      <c r="E85" s="8"/>
      <c r="F85" s="8"/>
      <c r="G85" s="8"/>
      <c r="H85" s="8"/>
      <c r="I85" s="8"/>
      <c r="J85" s="8"/>
      <c r="K85" s="8"/>
      <c r="L85" s="8"/>
    </row>
    <row r="86" spans="1:12" ht="15.6" customHeight="1" x14ac:dyDescent="0.25">
      <c r="A86" s="7"/>
      <c r="B86" s="8"/>
      <c r="C86" s="8"/>
      <c r="D86" s="8"/>
      <c r="E86" s="8"/>
      <c r="F86" s="8"/>
      <c r="G86" s="8"/>
      <c r="H86" s="8"/>
      <c r="I86" s="8"/>
      <c r="J86" s="8"/>
      <c r="K86" s="8"/>
      <c r="L86" s="8"/>
    </row>
    <row r="87" spans="1:12" ht="15.6" customHeight="1" x14ac:dyDescent="0.25">
      <c r="A87" s="7"/>
      <c r="B87" s="8"/>
      <c r="C87" s="8"/>
      <c r="D87" s="8"/>
      <c r="E87" s="8"/>
      <c r="F87" s="8"/>
      <c r="G87" s="8"/>
      <c r="H87" s="8"/>
      <c r="I87" s="8"/>
      <c r="J87" s="8"/>
      <c r="K87" s="8"/>
      <c r="L87" s="8"/>
    </row>
    <row r="88" spans="1:12" ht="15.6" customHeight="1" x14ac:dyDescent="0.25">
      <c r="A88" s="7"/>
      <c r="B88" s="8"/>
      <c r="C88" s="8"/>
      <c r="D88" s="8"/>
      <c r="E88" s="8"/>
      <c r="F88" s="8"/>
      <c r="G88" s="8"/>
      <c r="H88" s="8"/>
      <c r="I88" s="8"/>
      <c r="J88" s="8"/>
      <c r="K88" s="8"/>
      <c r="L88" s="8"/>
    </row>
    <row r="89" spans="1:12" ht="15.6" customHeight="1" x14ac:dyDescent="0.25">
      <c r="A89" s="7"/>
      <c r="B89" s="8"/>
      <c r="C89" s="8"/>
      <c r="D89" s="8"/>
      <c r="E89" s="8"/>
      <c r="F89" s="8"/>
      <c r="G89" s="8"/>
      <c r="H89" s="8"/>
      <c r="I89" s="8"/>
      <c r="J89" s="8"/>
      <c r="K89" s="8"/>
      <c r="L89" s="8"/>
    </row>
    <row r="90" spans="1:12" ht="15.6" customHeight="1" x14ac:dyDescent="0.25">
      <c r="A90" s="7"/>
      <c r="B90" s="8"/>
      <c r="C90" s="8"/>
      <c r="D90" s="8"/>
      <c r="E90" s="8"/>
      <c r="F90" s="8"/>
      <c r="G90" s="8"/>
      <c r="H90" s="8"/>
      <c r="I90" s="8"/>
      <c r="J90" s="8"/>
      <c r="K90" s="8"/>
      <c r="L90" s="8"/>
    </row>
    <row r="91" spans="1:12" ht="15.6" customHeight="1" x14ac:dyDescent="0.25">
      <c r="A91" s="7"/>
      <c r="B91" s="8"/>
      <c r="C91" s="8"/>
      <c r="D91" s="8"/>
      <c r="E91" s="8"/>
      <c r="F91" s="8"/>
      <c r="G91" s="8"/>
      <c r="H91" s="8"/>
      <c r="I91" s="8"/>
      <c r="J91" s="8"/>
      <c r="K91" s="8"/>
      <c r="L91" s="8"/>
    </row>
    <row r="92" spans="1:12" ht="15.6" customHeight="1" x14ac:dyDescent="0.25">
      <c r="A92" s="7"/>
      <c r="B92" s="8"/>
      <c r="C92" s="8"/>
      <c r="D92" s="8"/>
      <c r="E92" s="8"/>
      <c r="F92" s="8"/>
      <c r="G92" s="8"/>
      <c r="H92" s="8"/>
      <c r="I92" s="8"/>
      <c r="J92" s="8"/>
      <c r="K92" s="8"/>
      <c r="L92" s="8"/>
    </row>
    <row r="93" spans="1:12" ht="15.6" customHeight="1" x14ac:dyDescent="0.25">
      <c r="A93" s="7"/>
      <c r="B93" s="8"/>
      <c r="C93" s="8"/>
      <c r="D93" s="8"/>
      <c r="E93" s="8"/>
      <c r="F93" s="8"/>
      <c r="G93" s="8"/>
      <c r="H93" s="8"/>
      <c r="I93" s="8"/>
      <c r="J93" s="8"/>
      <c r="K93" s="8"/>
      <c r="L93" s="8"/>
    </row>
    <row r="94" spans="1:12" ht="15.6" customHeight="1" x14ac:dyDescent="0.25">
      <c r="A94" s="7"/>
      <c r="B94" s="8"/>
      <c r="C94" s="8"/>
      <c r="D94" s="8"/>
      <c r="E94" s="8"/>
      <c r="F94" s="8"/>
      <c r="G94" s="8"/>
      <c r="H94" s="8"/>
      <c r="I94" s="8"/>
      <c r="J94" s="8"/>
      <c r="K94" s="8"/>
      <c r="L94" s="8"/>
    </row>
    <row r="95" spans="1:12" ht="15.6" customHeight="1" x14ac:dyDescent="0.25">
      <c r="A95" s="7"/>
      <c r="B95" s="8"/>
      <c r="C95" s="8"/>
      <c r="D95" s="8"/>
      <c r="E95" s="8"/>
      <c r="F95" s="8"/>
      <c r="G95" s="8"/>
      <c r="H95" s="8"/>
      <c r="I95" s="8"/>
      <c r="J95" s="8"/>
      <c r="K95" s="8"/>
      <c r="L95" s="8"/>
    </row>
    <row r="96" spans="1:12" ht="15.6" customHeight="1" x14ac:dyDescent="0.25">
      <c r="A96" s="7"/>
      <c r="B96" s="8"/>
      <c r="C96" s="8"/>
      <c r="D96" s="8"/>
      <c r="E96" s="8"/>
      <c r="F96" s="8"/>
      <c r="G96" s="8"/>
      <c r="H96" s="8"/>
      <c r="I96" s="8"/>
      <c r="J96" s="8"/>
      <c r="K96" s="8"/>
      <c r="L96" s="8"/>
    </row>
    <row r="97" spans="1:12" ht="15.6" customHeight="1" x14ac:dyDescent="0.25">
      <c r="A97" s="7"/>
      <c r="B97" s="8"/>
      <c r="C97" s="8"/>
      <c r="D97" s="8"/>
      <c r="E97" s="8"/>
      <c r="F97" s="8"/>
      <c r="G97" s="8"/>
      <c r="H97" s="8"/>
      <c r="I97" s="8"/>
      <c r="J97" s="8"/>
      <c r="K97" s="8"/>
      <c r="L97" s="8"/>
    </row>
    <row r="98" spans="1:12" ht="15.6" customHeight="1" x14ac:dyDescent="0.25">
      <c r="A98" s="7"/>
      <c r="B98" s="8"/>
      <c r="C98" s="8"/>
      <c r="D98" s="8"/>
      <c r="E98" s="8"/>
      <c r="F98" s="8"/>
      <c r="G98" s="8"/>
      <c r="H98" s="8"/>
      <c r="I98" s="8"/>
      <c r="J98" s="8"/>
      <c r="K98" s="8"/>
      <c r="L98" s="8"/>
    </row>
    <row r="99" spans="1:12" ht="15.6" customHeight="1" x14ac:dyDescent="0.25">
      <c r="A99" s="7"/>
      <c r="B99" s="8"/>
      <c r="C99" s="8"/>
      <c r="D99" s="8"/>
      <c r="E99" s="8"/>
      <c r="F99" s="8"/>
      <c r="G99" s="8"/>
      <c r="H99" s="8"/>
      <c r="I99" s="8"/>
      <c r="J99" s="8"/>
      <c r="K99" s="8"/>
      <c r="L99" s="8"/>
    </row>
    <row r="100" spans="1:12" ht="15.6" customHeight="1" x14ac:dyDescent="0.25">
      <c r="A100" s="108">
        <v>1</v>
      </c>
      <c r="B100" s="108">
        <v>1</v>
      </c>
      <c r="C100" s="108">
        <v>1</v>
      </c>
      <c r="D100" s="108">
        <v>1</v>
      </c>
      <c r="E100" s="108">
        <v>1</v>
      </c>
      <c r="F100" s="108">
        <v>1</v>
      </c>
      <c r="G100" s="108">
        <v>1</v>
      </c>
      <c r="H100" s="108">
        <v>1</v>
      </c>
      <c r="I100" s="108">
        <v>1</v>
      </c>
      <c r="J100" s="108">
        <v>1</v>
      </c>
      <c r="K100" s="108">
        <v>1</v>
      </c>
      <c r="L100" s="108">
        <v>1</v>
      </c>
    </row>
    <row r="101" spans="1:12" ht="15.6" customHeight="1" x14ac:dyDescent="0.25">
      <c r="A101" s="7"/>
      <c r="B101" s="8"/>
      <c r="C101" s="8"/>
      <c r="D101" s="8"/>
      <c r="E101" s="8"/>
      <c r="F101" s="8"/>
      <c r="G101" s="8"/>
      <c r="H101" s="8"/>
      <c r="I101" s="8"/>
      <c r="J101" s="8"/>
      <c r="K101" s="8"/>
      <c r="L101" s="8"/>
    </row>
    <row r="102" spans="1:12" ht="15.6" customHeight="1" x14ac:dyDescent="0.25">
      <c r="A102" s="7"/>
      <c r="B102" s="8"/>
      <c r="C102" s="8"/>
      <c r="D102" s="8"/>
      <c r="E102" s="8"/>
      <c r="F102" s="8"/>
      <c r="G102" s="8"/>
      <c r="H102" s="8"/>
      <c r="I102" s="8"/>
      <c r="J102" s="8"/>
      <c r="K102" s="8"/>
      <c r="L102" s="8"/>
    </row>
    <row r="103" spans="1:12" ht="15.6" customHeight="1" x14ac:dyDescent="0.25">
      <c r="A103" s="7"/>
      <c r="B103" s="8"/>
      <c r="C103" s="8"/>
      <c r="D103" s="8"/>
      <c r="E103" s="8"/>
      <c r="F103" s="8"/>
      <c r="G103" s="8"/>
      <c r="H103" s="8"/>
      <c r="I103" s="8"/>
      <c r="J103" s="8"/>
      <c r="K103" s="8"/>
      <c r="L103" s="8"/>
    </row>
    <row r="104" spans="1:12" ht="15.6" customHeight="1" x14ac:dyDescent="0.25">
      <c r="A104" s="7"/>
      <c r="B104" s="8"/>
      <c r="C104" s="8"/>
      <c r="D104" s="8"/>
      <c r="E104" s="8"/>
      <c r="F104" s="8"/>
      <c r="G104" s="8"/>
      <c r="H104" s="8"/>
      <c r="I104" s="8"/>
      <c r="J104" s="8"/>
      <c r="K104" s="8"/>
      <c r="L104" s="8"/>
    </row>
    <row r="105" spans="1:12" ht="15.6" customHeight="1" x14ac:dyDescent="0.25">
      <c r="A105" s="7"/>
      <c r="B105" s="8"/>
      <c r="C105" s="8"/>
      <c r="D105" s="8"/>
      <c r="E105" s="8"/>
      <c r="F105" s="8"/>
      <c r="G105" s="8"/>
      <c r="H105" s="8"/>
      <c r="I105" s="8"/>
      <c r="J105" s="8"/>
      <c r="K105" s="8"/>
      <c r="L105" s="8"/>
    </row>
    <row r="106" spans="1:12" ht="15.6" customHeight="1" x14ac:dyDescent="0.25">
      <c r="A106" s="7"/>
      <c r="B106" s="8"/>
      <c r="C106" s="8"/>
      <c r="D106" s="8"/>
      <c r="E106" s="8"/>
      <c r="F106" s="8"/>
      <c r="G106" s="8"/>
      <c r="H106" s="8"/>
      <c r="I106" s="8"/>
      <c r="J106" s="8"/>
      <c r="K106" s="8"/>
      <c r="L106" s="8"/>
    </row>
    <row r="107" spans="1:12" ht="15.6" customHeight="1" x14ac:dyDescent="0.25">
      <c r="A107" s="7"/>
      <c r="B107" s="8"/>
      <c r="C107" s="8"/>
      <c r="D107" s="8"/>
      <c r="E107" s="8"/>
      <c r="F107" s="8"/>
      <c r="G107" s="8"/>
      <c r="H107" s="8"/>
      <c r="I107" s="8"/>
      <c r="J107" s="8"/>
      <c r="K107" s="8"/>
      <c r="L107" s="8"/>
    </row>
    <row r="108" spans="1:12" ht="15.6" customHeight="1" x14ac:dyDescent="0.25">
      <c r="A108" s="7"/>
      <c r="B108" s="8"/>
      <c r="C108" s="8"/>
      <c r="D108" s="8"/>
      <c r="E108" s="8"/>
      <c r="F108" s="8"/>
      <c r="G108" s="8"/>
      <c r="H108" s="8"/>
      <c r="I108" s="8"/>
      <c r="J108" s="8"/>
      <c r="K108" s="8"/>
      <c r="L108" s="8"/>
    </row>
    <row r="109" spans="1:12" ht="15.6" customHeight="1" x14ac:dyDescent="0.25">
      <c r="A109" s="7"/>
      <c r="B109" s="8"/>
      <c r="C109" s="8"/>
      <c r="D109" s="8"/>
      <c r="E109" s="8"/>
      <c r="F109" s="8"/>
      <c r="G109" s="8"/>
      <c r="H109" s="8"/>
      <c r="I109" s="8"/>
      <c r="J109" s="8"/>
      <c r="K109" s="8"/>
      <c r="L109" s="8"/>
    </row>
    <row r="110" spans="1:12" ht="15.6" customHeight="1" x14ac:dyDescent="0.25">
      <c r="A110" s="7"/>
      <c r="B110" s="8"/>
      <c r="C110" s="8"/>
      <c r="D110" s="8"/>
      <c r="E110" s="8"/>
      <c r="F110" s="8"/>
      <c r="G110" s="8"/>
      <c r="H110" s="8"/>
      <c r="I110" s="8"/>
      <c r="J110" s="8"/>
      <c r="K110" s="8"/>
      <c r="L110" s="8"/>
    </row>
    <row r="111" spans="1:12" ht="15.6" customHeight="1" x14ac:dyDescent="0.25">
      <c r="A111" s="7"/>
      <c r="B111" s="8"/>
      <c r="C111" s="8"/>
      <c r="D111" s="8"/>
      <c r="E111" s="8"/>
      <c r="F111" s="8"/>
      <c r="G111" s="8"/>
      <c r="H111" s="8"/>
      <c r="I111" s="8"/>
      <c r="J111" s="8"/>
      <c r="K111" s="8"/>
      <c r="L111" s="8"/>
    </row>
    <row r="112" spans="1:12" ht="15.6" customHeight="1" x14ac:dyDescent="0.25">
      <c r="A112" s="7"/>
      <c r="B112" s="8"/>
      <c r="C112" s="8"/>
      <c r="D112" s="8"/>
      <c r="E112" s="8"/>
      <c r="F112" s="8"/>
      <c r="G112" s="8"/>
      <c r="H112" s="8"/>
      <c r="I112" s="8"/>
      <c r="J112" s="8"/>
      <c r="K112" s="8"/>
      <c r="L112" s="8"/>
    </row>
    <row r="113" spans="1:12" ht="15.6" customHeight="1" x14ac:dyDescent="0.25">
      <c r="A113" s="7"/>
      <c r="B113" s="8"/>
      <c r="C113" s="8"/>
      <c r="D113" s="8"/>
      <c r="E113" s="8"/>
      <c r="F113" s="8"/>
      <c r="G113" s="8"/>
      <c r="H113" s="8"/>
      <c r="I113" s="8"/>
      <c r="J113" s="8"/>
      <c r="K113" s="8"/>
      <c r="L113" s="8"/>
    </row>
    <row r="114" spans="1:12" ht="15.6" customHeight="1" x14ac:dyDescent="0.25">
      <c r="A114" s="7"/>
      <c r="B114" s="8"/>
      <c r="C114" s="8"/>
      <c r="D114" s="8"/>
      <c r="E114" s="8"/>
      <c r="F114" s="8"/>
      <c r="G114" s="8"/>
      <c r="H114" s="8"/>
      <c r="I114" s="8"/>
      <c r="J114" s="8"/>
      <c r="K114" s="8"/>
      <c r="L114" s="8"/>
    </row>
    <row r="115" spans="1:12" ht="15.6" customHeight="1" x14ac:dyDescent="0.25">
      <c r="A115" s="7"/>
      <c r="B115" s="8"/>
      <c r="C115" s="8"/>
      <c r="D115" s="8"/>
      <c r="E115" s="8"/>
      <c r="F115" s="8"/>
      <c r="G115" s="8"/>
      <c r="H115" s="8"/>
      <c r="I115" s="8"/>
      <c r="J115" s="8"/>
      <c r="K115" s="8"/>
      <c r="L115" s="8"/>
    </row>
    <row r="116" spans="1:12" ht="15.6" customHeight="1" x14ac:dyDescent="0.25">
      <c r="A116" s="7"/>
      <c r="B116" s="8"/>
      <c r="C116" s="8"/>
      <c r="D116" s="8"/>
      <c r="E116" s="8"/>
      <c r="F116" s="8"/>
      <c r="G116" s="8"/>
      <c r="H116" s="8"/>
      <c r="I116" s="8"/>
      <c r="J116" s="8"/>
      <c r="K116" s="8"/>
      <c r="L116" s="8"/>
    </row>
  </sheetData>
  <sheetProtection sheet="1" formatCells="0" formatColumns="0" formatRows="0"/>
  <mergeCells count="2">
    <mergeCell ref="K2:L2"/>
    <mergeCell ref="A1:B1"/>
  </mergeCells>
  <conditionalFormatting sqref="A2:XFD1048576 A1:B1 E1:XFD1">
    <cfRule type="expression" dxfId="41" priority="88">
      <formula>#REF!&lt;TODAY()</formula>
    </cfRule>
  </conditionalFormatting>
  <conditionalFormatting sqref="K7">
    <cfRule type="expression" dxfId="40" priority="7">
      <formula>AND($K$7 ="No/Non", TODAY()-#REF!&gt;60)</formula>
    </cfRule>
  </conditionalFormatting>
  <dataValidations count="2">
    <dataValidation type="date" operator="greaterThan" allowBlank="1" showInputMessage="1" showErrorMessage="1" sqref="L7:L100" xr:uid="{01376DE6-0BCA-4456-913D-959B5E9B1F0C}">
      <formula1>36161</formula1>
    </dataValidation>
    <dataValidation type="decimal" operator="notEqual" allowBlank="1" showInputMessage="1" showErrorMessage="1" sqref="I7:J100" xr:uid="{E0A97787-1C1C-4FD1-9570-3171A3EE959D}">
      <formula1>10^66</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5C47BFC4-E937-44FA-9883-49C751301937}">
          <x14:formula1>
            <xm:f>List!$J$14:$J$16</xm:f>
          </x14:formula1>
          <xm:sqref>K7:K100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outlinePr summaryRight="0"/>
  </sheetPr>
  <dimension ref="A1:SR105"/>
  <sheetViews>
    <sheetView tabSelected="1" zoomScale="90" zoomScaleNormal="90" workbookViewId="0">
      <pane xSplit="3" ySplit="9" topLeftCell="K10" activePane="bottomRight" state="frozen"/>
      <selection pane="topRight" activeCell="D1" sqref="D1"/>
      <selection pane="bottomLeft" activeCell="A10" sqref="A10"/>
      <selection pane="bottomRight" activeCell="N24" sqref="N24"/>
    </sheetView>
  </sheetViews>
  <sheetFormatPr defaultColWidth="10.42578125" defaultRowHeight="14.25" customHeight="1" outlineLevelCol="1" x14ac:dyDescent="0.25"/>
  <cols>
    <col min="1" max="1" width="9.28515625" style="2" customWidth="1"/>
    <col min="2" max="2" width="42" style="2" customWidth="1"/>
    <col min="3" max="3" width="51" style="25" customWidth="1" collapsed="1"/>
    <col min="4" max="4" width="25" style="2" customWidth="1"/>
    <col min="5" max="5" width="29.7109375" style="2" customWidth="1"/>
    <col min="6" max="6" width="33.85546875" style="2" bestFit="1" customWidth="1"/>
    <col min="7" max="7" width="29.7109375" style="2" customWidth="1"/>
    <col min="8" max="8" width="14.85546875" style="122" customWidth="1" collapsed="1"/>
    <col min="9" max="9" width="14.85546875" style="150" customWidth="1"/>
    <col min="10" max="10" width="29.7109375" style="150" customWidth="1"/>
    <col min="11" max="11" width="29.7109375" style="2" customWidth="1"/>
    <col min="12" max="13" width="14.85546875" style="2" customWidth="1"/>
    <col min="14" max="15" width="29.7109375" style="2" customWidth="1"/>
    <col min="16" max="16" width="15" style="122" customWidth="1"/>
    <col min="17" max="17" width="17.7109375" style="2" customWidth="1"/>
    <col min="18" max="19" width="15" style="2" customWidth="1"/>
    <col min="20" max="20" width="17.5703125" style="2" customWidth="1"/>
    <col min="21" max="21" width="15" style="150" customWidth="1"/>
    <col min="22" max="22" width="14.85546875" style="2" customWidth="1" collapsed="1"/>
    <col min="23" max="23" width="19" style="2" hidden="1" customWidth="1" outlineLevel="1"/>
    <col min="24" max="24" width="14.85546875" style="2" customWidth="1" collapsed="1"/>
    <col min="25" max="25" width="14.85546875" style="2" hidden="1" customWidth="1" outlineLevel="1"/>
    <col min="26" max="26" width="14.85546875" style="2" customWidth="1" collapsed="1"/>
    <col min="27" max="27" width="14.85546875" style="2" customWidth="1"/>
    <col min="28" max="28" width="14.85546875" style="122" customWidth="1"/>
    <col min="29" max="29" width="14.85546875" style="2" customWidth="1" collapsed="1"/>
    <col min="30" max="30" width="14.85546875" style="2" hidden="1" customWidth="1" outlineLevel="1"/>
    <col min="31" max="31" width="14.85546875" style="2" customWidth="1"/>
    <col min="32" max="32" width="14.85546875" style="2" customWidth="1" outlineLevel="1"/>
    <col min="33" max="33" width="18.140625" style="122" customWidth="1" collapsed="1"/>
    <col min="34" max="34" width="18.140625" style="2" hidden="1" customWidth="1" outlineLevel="1"/>
    <col min="35" max="35" width="14.85546875" style="2" customWidth="1" collapsed="1"/>
    <col min="36" max="36" width="14.85546875" style="2" hidden="1" customWidth="1" outlineLevel="1"/>
    <col min="37" max="37" width="14.85546875" style="2" customWidth="1"/>
    <col min="38" max="38" width="23.42578125" style="122" customWidth="1"/>
    <col min="39" max="39" width="23.42578125" style="2" customWidth="1"/>
    <col min="40" max="40" width="17.7109375" style="19" customWidth="1"/>
    <col min="41" max="41" width="39.140625" style="19" customWidth="1"/>
    <col min="42" max="42" width="28.5703125" style="19" customWidth="1"/>
    <col min="43" max="43" width="23.85546875" style="138" customWidth="1"/>
    <col min="44" max="44" width="16.85546875" style="18" customWidth="1"/>
    <col min="45" max="45" width="16.28515625" style="18" customWidth="1"/>
    <col min="46" max="46" width="15.5703125" style="18" customWidth="1"/>
    <col min="47" max="47" width="16.28515625" style="18" customWidth="1" collapsed="1"/>
    <col min="48" max="54" width="20.42578125" style="25" hidden="1" customWidth="1"/>
    <col min="55" max="55" width="17.7109375" style="140" hidden="1" customWidth="1"/>
    <col min="56" max="56" width="50.5703125" style="145" customWidth="1" collapsed="1"/>
    <col min="57" max="79" width="42.7109375" hidden="1" customWidth="1" outlineLevel="1"/>
    <col min="80" max="80" width="10.42578125" style="85" customWidth="1" collapsed="1"/>
    <col min="81" max="100" width="10.42578125" style="85" hidden="1" customWidth="1"/>
    <col min="101" max="103" width="10.42578125" style="85"/>
    <col min="104" max="104" width="12.140625" style="85" bestFit="1" customWidth="1"/>
    <col min="105" max="105" width="20.140625" style="85" customWidth="1"/>
    <col min="106" max="106" width="11.5703125" style="85" bestFit="1" customWidth="1"/>
    <col min="107" max="107" width="15.85546875" style="85" bestFit="1" customWidth="1"/>
    <col min="108" max="108" width="13.140625" style="85" bestFit="1" customWidth="1"/>
    <col min="109" max="109" width="18.140625" style="85" bestFit="1" customWidth="1"/>
    <col min="110" max="110" width="30.85546875" style="85" customWidth="1"/>
    <col min="111" max="111" width="23.140625" style="85" bestFit="1" customWidth="1"/>
    <col min="112" max="112" width="27.140625" style="85" bestFit="1" customWidth="1"/>
    <col min="113" max="113" width="36.5703125" style="85" customWidth="1"/>
    <col min="114" max="114" width="41.140625" style="85" bestFit="1" customWidth="1"/>
    <col min="115" max="115" width="24.140625" style="85" bestFit="1" customWidth="1"/>
    <col min="116" max="116" width="28.140625" style="85" bestFit="1" customWidth="1"/>
    <col min="117" max="117" width="38.42578125" style="85" customWidth="1"/>
    <col min="118" max="118" width="22.42578125" style="85" customWidth="1"/>
    <col min="119" max="119" width="20.28515625" style="85" customWidth="1"/>
    <col min="120" max="120" width="17.28515625" style="85" customWidth="1"/>
    <col min="121" max="121" width="28.42578125" style="85" customWidth="1"/>
    <col min="122" max="122" width="33" style="85" customWidth="1"/>
    <col min="123" max="123" width="26.85546875" style="85" customWidth="1"/>
    <col min="124" max="124" width="22" style="85" customWidth="1"/>
    <col min="125" max="125" width="37.7109375" style="85" bestFit="1" customWidth="1"/>
    <col min="126" max="126" width="41.140625" style="85" bestFit="1" customWidth="1"/>
    <col min="127" max="127" width="40.42578125" style="85" bestFit="1" customWidth="1"/>
    <col min="128" max="128" width="23.42578125" style="85" customWidth="1"/>
    <col min="129" max="129" width="20.7109375" style="85" customWidth="1"/>
    <col min="130" max="131" width="41.140625" style="85" bestFit="1" customWidth="1"/>
    <col min="132" max="132" width="38.85546875" style="85" bestFit="1" customWidth="1"/>
    <col min="133" max="133" width="41.140625" style="85" bestFit="1" customWidth="1"/>
    <col min="134" max="134" width="37.42578125" style="85" bestFit="1" customWidth="1"/>
    <col min="135" max="135" width="41.140625" style="85" bestFit="1" customWidth="1"/>
    <col min="136" max="136" width="36.28515625" style="85" bestFit="1" customWidth="1"/>
    <col min="137" max="137" width="41.140625" style="85" bestFit="1" customWidth="1"/>
    <col min="138" max="138" width="38.5703125" style="85" bestFit="1" customWidth="1"/>
    <col min="139" max="139" width="41.140625" style="85" bestFit="1" customWidth="1"/>
    <col min="140" max="140" width="30.5703125" style="85" bestFit="1" customWidth="1"/>
    <col min="141" max="141" width="28.42578125" style="85" bestFit="1" customWidth="1"/>
    <col min="142" max="142" width="24.42578125" style="85" bestFit="1" customWidth="1"/>
    <col min="143" max="143" width="19.5703125" style="85" bestFit="1" customWidth="1"/>
    <col min="144" max="144" width="36" style="85" bestFit="1" customWidth="1"/>
    <col min="145" max="148" width="41.140625" style="85" bestFit="1" customWidth="1"/>
    <col min="149" max="149" width="41.85546875" style="85" customWidth="1"/>
    <col min="150" max="160" width="10.42578125" style="85"/>
    <col min="161" max="161" width="88.7109375" style="85" bestFit="1" customWidth="1"/>
    <col min="162" max="162" width="10.42578125" style="85"/>
    <col min="163" max="163" width="6.28515625" style="85" bestFit="1" customWidth="1"/>
    <col min="164" max="512" width="10.42578125" style="85"/>
    <col min="513" max="16384" width="10.42578125" style="87"/>
  </cols>
  <sheetData>
    <row r="1" spans="1:512" s="84" customFormat="1" ht="30" x14ac:dyDescent="0.25">
      <c r="A1" s="70" t="s">
        <v>100</v>
      </c>
      <c r="B1" s="65"/>
      <c r="C1" s="69" t="s">
        <v>525</v>
      </c>
      <c r="D1" s="23"/>
      <c r="E1" s="23"/>
      <c r="F1" s="23"/>
      <c r="G1" s="23"/>
      <c r="H1" s="115"/>
      <c r="I1" s="146"/>
      <c r="J1" s="146"/>
      <c r="K1" s="23"/>
      <c r="L1" s="23"/>
      <c r="M1" s="23"/>
      <c r="N1" s="23"/>
      <c r="O1" s="23"/>
      <c r="P1" s="115"/>
      <c r="Q1" s="23"/>
      <c r="R1" s="23"/>
      <c r="S1" s="23"/>
      <c r="T1" s="23"/>
      <c r="U1" s="146"/>
      <c r="V1" s="23"/>
      <c r="W1" s="23"/>
      <c r="X1" s="23"/>
      <c r="Y1" s="23"/>
      <c r="Z1" s="23"/>
      <c r="AA1" s="23"/>
      <c r="AB1" s="115"/>
      <c r="AC1" s="23"/>
      <c r="AD1" s="23"/>
      <c r="AE1" s="23"/>
      <c r="AF1" s="23"/>
      <c r="AG1" s="115"/>
      <c r="AH1" s="23"/>
      <c r="AI1" s="23"/>
      <c r="AJ1" s="23"/>
      <c r="AK1" s="23"/>
      <c r="AL1" s="115"/>
      <c r="AM1" s="23"/>
      <c r="AN1" s="23"/>
      <c r="AO1" s="23"/>
      <c r="AP1" s="23"/>
      <c r="AQ1" s="115"/>
      <c r="AR1" s="23"/>
      <c r="AS1" s="23"/>
      <c r="AT1" s="23"/>
      <c r="AU1" s="23"/>
      <c r="AV1" s="23"/>
      <c r="AW1" s="23"/>
      <c r="AX1" s="23"/>
      <c r="AY1" s="23"/>
      <c r="AZ1" s="23"/>
      <c r="BA1" s="23"/>
      <c r="BB1" s="23"/>
      <c r="BC1" s="23"/>
      <c r="BD1" s="115"/>
      <c r="BE1" s="23"/>
      <c r="BF1" s="23"/>
      <c r="BG1" s="23"/>
      <c r="BH1" s="23"/>
      <c r="BI1" s="23"/>
      <c r="BJ1" s="23"/>
      <c r="BK1" s="23"/>
      <c r="BL1" s="23"/>
      <c r="BM1" s="23"/>
      <c r="BN1" s="23"/>
      <c r="BO1" s="23"/>
      <c r="BP1" s="23"/>
      <c r="BQ1" s="23"/>
      <c r="BR1" s="23"/>
      <c r="BS1" s="23"/>
      <c r="BT1" s="23"/>
      <c r="BU1" s="23"/>
      <c r="BV1" s="23"/>
      <c r="BW1" s="23"/>
      <c r="BX1" s="23"/>
      <c r="BY1" s="23"/>
      <c r="BZ1" s="23"/>
      <c r="CA1" s="23"/>
      <c r="CX1" s="159"/>
    </row>
    <row r="2" spans="1:512" s="84" customFormat="1" ht="22.5" hidden="1" x14ac:dyDescent="0.25">
      <c r="A2" s="68"/>
      <c r="B2" s="69"/>
      <c r="C2" s="69"/>
      <c r="D2" s="23"/>
      <c r="E2" s="73">
        <f>COLUMNS($D$3:$AU$3) - COUNTIF($D$3:$AU$3, "")</f>
        <v>0</v>
      </c>
      <c r="F2" s="73">
        <v>0</v>
      </c>
      <c r="G2" s="23"/>
      <c r="H2" s="115"/>
      <c r="I2" s="146"/>
      <c r="J2" s="146"/>
      <c r="K2" s="23"/>
      <c r="L2" s="23"/>
      <c r="M2" s="23"/>
      <c r="N2" s="23"/>
      <c r="O2" s="23"/>
      <c r="P2" s="115"/>
      <c r="Q2" s="75"/>
      <c r="R2" s="23"/>
      <c r="S2" s="23"/>
      <c r="T2" s="23"/>
      <c r="U2" s="146"/>
      <c r="V2" s="23"/>
      <c r="W2" s="23"/>
      <c r="X2" s="23"/>
      <c r="Y2" s="23"/>
      <c r="Z2" s="23"/>
      <c r="AA2" s="23"/>
      <c r="AB2" s="115"/>
      <c r="AC2" s="23"/>
      <c r="AD2" s="23"/>
      <c r="AE2" s="23"/>
      <c r="AF2" s="23"/>
      <c r="AG2" s="115"/>
      <c r="AH2" s="23"/>
      <c r="AI2" s="23"/>
      <c r="AJ2" s="23"/>
      <c r="AK2" s="23"/>
      <c r="AL2" s="115"/>
      <c r="AM2" s="23"/>
      <c r="AN2" s="23"/>
      <c r="AO2" s="23"/>
      <c r="AP2" s="23"/>
      <c r="AQ2" s="115"/>
      <c r="AR2" s="23"/>
      <c r="AS2" s="23"/>
      <c r="AT2" s="23"/>
      <c r="AU2" s="23"/>
      <c r="AV2" s="23"/>
      <c r="AW2" s="23"/>
      <c r="AX2" s="23"/>
      <c r="AY2" s="23"/>
      <c r="AZ2" s="23"/>
      <c r="BA2" s="23"/>
      <c r="BB2" s="23"/>
      <c r="BC2" s="23"/>
      <c r="BD2" s="115"/>
      <c r="BE2" s="23"/>
      <c r="BF2" s="23"/>
      <c r="BG2" s="23"/>
      <c r="BH2" s="23"/>
      <c r="BI2" s="23"/>
      <c r="BJ2" s="23"/>
      <c r="BK2" s="23"/>
      <c r="BL2" s="23"/>
      <c r="BM2" s="23"/>
      <c r="BN2" s="23"/>
      <c r="BO2" s="23"/>
      <c r="BP2" s="23"/>
      <c r="BQ2" s="23"/>
      <c r="BR2" s="23"/>
      <c r="BS2" s="23"/>
      <c r="BT2" s="23"/>
      <c r="BU2" s="23"/>
      <c r="BV2" s="23"/>
      <c r="BW2" s="23"/>
      <c r="BX2" s="23"/>
      <c r="BY2" s="23"/>
      <c r="BZ2" s="23"/>
      <c r="CA2" s="23"/>
    </row>
    <row r="3" spans="1:512" s="84" customFormat="1" ht="23.25" thickBot="1" x14ac:dyDescent="0.3">
      <c r="A3" s="231" t="s">
        <v>127</v>
      </c>
      <c r="B3" s="231"/>
      <c r="C3" s="202">
        <v>46072</v>
      </c>
      <c r="D3" s="23"/>
      <c r="E3" s="23"/>
      <c r="F3" s="23"/>
      <c r="G3" s="23"/>
      <c r="H3" s="116"/>
      <c r="I3" s="147"/>
      <c r="J3" s="146"/>
      <c r="K3" s="23"/>
      <c r="L3" s="72"/>
      <c r="M3" s="72"/>
      <c r="N3" s="23"/>
      <c r="O3" s="23"/>
      <c r="P3" s="116"/>
      <c r="Q3" s="77"/>
      <c r="R3" s="72"/>
      <c r="S3" s="72"/>
      <c r="T3" s="72"/>
      <c r="U3" s="147"/>
      <c r="V3" s="72"/>
      <c r="W3" s="72"/>
      <c r="X3" s="72"/>
      <c r="Y3" s="72"/>
      <c r="Z3" s="72"/>
      <c r="AA3" s="72"/>
      <c r="AB3" s="116"/>
      <c r="AC3" s="72"/>
      <c r="AD3" s="72"/>
      <c r="AE3" s="72"/>
      <c r="AF3" s="72"/>
      <c r="AG3" s="116"/>
      <c r="AH3" s="72"/>
      <c r="AI3" s="72"/>
      <c r="AJ3" s="72"/>
      <c r="AK3" s="72"/>
      <c r="AL3" s="115"/>
      <c r="AM3" s="23"/>
      <c r="AN3" s="23"/>
      <c r="AO3" s="23"/>
      <c r="AP3" s="23"/>
      <c r="AQ3" s="116"/>
      <c r="AR3" s="72"/>
      <c r="AS3" s="72"/>
      <c r="AT3" s="72"/>
      <c r="AU3" s="72"/>
      <c r="AV3" s="23"/>
      <c r="AW3" s="23"/>
      <c r="AX3" s="23"/>
      <c r="AY3" s="23"/>
      <c r="AZ3" s="23"/>
      <c r="BA3" s="23"/>
      <c r="BB3" s="23"/>
      <c r="BC3" s="23"/>
      <c r="BD3" s="115"/>
      <c r="BE3" s="23"/>
      <c r="BF3" s="23"/>
      <c r="BG3" s="23"/>
      <c r="BH3" s="23"/>
      <c r="BI3" s="23"/>
      <c r="BJ3" s="23"/>
      <c r="BK3" s="23"/>
      <c r="BL3" s="23"/>
      <c r="BM3" s="23"/>
      <c r="BN3" s="23"/>
      <c r="BO3" s="23"/>
      <c r="BP3" s="23"/>
      <c r="BQ3" s="23"/>
      <c r="BR3" s="23"/>
      <c r="BS3" s="23"/>
      <c r="BT3" s="23"/>
      <c r="BU3" s="23"/>
      <c r="BV3" s="23"/>
      <c r="BW3" s="23"/>
      <c r="BX3" s="23"/>
      <c r="BY3" s="23"/>
      <c r="BZ3" s="23"/>
      <c r="CA3" s="23"/>
      <c r="CX3" s="159">
        <f ca="1">COUNTA(CY9:ES104)</f>
        <v>545</v>
      </c>
      <c r="CY3" s="159" t="b">
        <v>1</v>
      </c>
      <c r="CZ3" s="159" t="b">
        <f>AND(CZ4, ISBLANK(CZ11))</f>
        <v>0</v>
      </c>
      <c r="DA3" s="159" t="b">
        <f t="shared" ref="DA3:ES3" si="0">AND(CAA4, ISBLANK(CAA11))</f>
        <v>1</v>
      </c>
      <c r="DB3" s="159" t="b">
        <f t="shared" si="0"/>
        <v>1</v>
      </c>
      <c r="DC3" s="159" t="b">
        <f t="shared" si="0"/>
        <v>1</v>
      </c>
      <c r="DD3" s="159" t="b">
        <f t="shared" si="0"/>
        <v>1</v>
      </c>
      <c r="DE3" s="159" t="b">
        <f t="shared" si="0"/>
        <v>1</v>
      </c>
      <c r="DF3" s="159" t="b">
        <f t="shared" si="0"/>
        <v>1</v>
      </c>
      <c r="DG3" s="159" t="b">
        <f t="shared" si="0"/>
        <v>1</v>
      </c>
      <c r="DH3" s="159" t="b">
        <f t="shared" si="0"/>
        <v>1</v>
      </c>
      <c r="DI3" s="159" t="b">
        <f t="shared" si="0"/>
        <v>1</v>
      </c>
      <c r="DJ3" s="159" t="b">
        <f t="shared" si="0"/>
        <v>1</v>
      </c>
      <c r="DK3" s="159" t="b">
        <f t="shared" si="0"/>
        <v>1</v>
      </c>
      <c r="DL3" s="159" t="b">
        <f t="shared" si="0"/>
        <v>1</v>
      </c>
      <c r="DM3" s="159" t="b">
        <f t="shared" si="0"/>
        <v>1</v>
      </c>
      <c r="DN3" s="159" t="b">
        <f t="shared" si="0"/>
        <v>1</v>
      </c>
      <c r="DO3" s="159" t="b">
        <f t="shared" si="0"/>
        <v>1</v>
      </c>
      <c r="DP3" s="159" t="b">
        <f t="shared" si="0"/>
        <v>1</v>
      </c>
      <c r="DQ3" s="159" t="b">
        <f t="shared" si="0"/>
        <v>1</v>
      </c>
      <c r="DR3" s="159" t="b">
        <f t="shared" si="0"/>
        <v>1</v>
      </c>
      <c r="DS3" s="159" t="b">
        <f t="shared" si="0"/>
        <v>1</v>
      </c>
      <c r="DT3" s="159" t="b">
        <f t="shared" si="0"/>
        <v>1</v>
      </c>
      <c r="DU3" s="159" t="b">
        <f t="shared" si="0"/>
        <v>1</v>
      </c>
      <c r="DV3" s="159" t="b">
        <f t="shared" si="0"/>
        <v>1</v>
      </c>
      <c r="DW3" s="159" t="b">
        <f t="shared" si="0"/>
        <v>1</v>
      </c>
      <c r="DX3" s="159" t="b">
        <f t="shared" si="0"/>
        <v>1</v>
      </c>
      <c r="DY3" s="159" t="b">
        <f t="shared" si="0"/>
        <v>1</v>
      </c>
      <c r="DZ3" s="159" t="b">
        <f t="shared" si="0"/>
        <v>1</v>
      </c>
      <c r="EA3" s="159" t="b">
        <f t="shared" si="0"/>
        <v>1</v>
      </c>
      <c r="EB3" s="159" t="b">
        <f t="shared" si="0"/>
        <v>1</v>
      </c>
      <c r="EC3" s="159" t="b">
        <f t="shared" si="0"/>
        <v>1</v>
      </c>
      <c r="ED3" s="159" t="b">
        <f t="shared" si="0"/>
        <v>1</v>
      </c>
      <c r="EE3" s="159" t="b">
        <f t="shared" si="0"/>
        <v>1</v>
      </c>
      <c r="EF3" s="159" t="b">
        <f t="shared" si="0"/>
        <v>1</v>
      </c>
      <c r="EG3" s="159" t="b">
        <f t="shared" si="0"/>
        <v>1</v>
      </c>
      <c r="EH3" s="159" t="b">
        <f t="shared" si="0"/>
        <v>1</v>
      </c>
      <c r="EI3" s="159" t="b">
        <f t="shared" si="0"/>
        <v>1</v>
      </c>
      <c r="EJ3" s="159" t="b">
        <f t="shared" si="0"/>
        <v>1</v>
      </c>
      <c r="EK3" s="159" t="b">
        <f t="shared" si="0"/>
        <v>1</v>
      </c>
      <c r="EL3" s="159" t="b">
        <f t="shared" si="0"/>
        <v>1</v>
      </c>
      <c r="EM3" s="159" t="b">
        <f t="shared" si="0"/>
        <v>1</v>
      </c>
      <c r="EN3" s="159" t="b">
        <f t="shared" si="0"/>
        <v>1</v>
      </c>
      <c r="EO3" s="159" t="b">
        <f t="shared" si="0"/>
        <v>1</v>
      </c>
      <c r="EP3" s="159" t="b">
        <f t="shared" si="0"/>
        <v>1</v>
      </c>
      <c r="EQ3" s="159" t="b">
        <f t="shared" si="0"/>
        <v>1</v>
      </c>
      <c r="ER3" s="159" t="b">
        <f t="shared" si="0"/>
        <v>1</v>
      </c>
      <c r="ES3" s="159" t="b">
        <f t="shared" si="0"/>
        <v>1</v>
      </c>
    </row>
    <row r="4" spans="1:512" s="84" customFormat="1" ht="28.5" thickBot="1" x14ac:dyDescent="0.3">
      <c r="A4" s="102"/>
      <c r="B4" s="103" t="s">
        <v>291</v>
      </c>
      <c r="C4" s="104"/>
      <c r="D4" s="23"/>
      <c r="E4" s="23"/>
      <c r="F4" s="23"/>
      <c r="G4" s="23"/>
      <c r="H4" s="116"/>
      <c r="I4" s="147"/>
      <c r="J4" s="146"/>
      <c r="K4" s="23"/>
      <c r="L4" s="72"/>
      <c r="M4" s="72"/>
      <c r="N4" s="23"/>
      <c r="O4" s="23"/>
      <c r="P4" s="116"/>
      <c r="Q4" s="77"/>
      <c r="R4" s="72"/>
      <c r="S4" s="72"/>
      <c r="T4" s="72"/>
      <c r="U4" s="151"/>
      <c r="V4" s="72"/>
      <c r="W4" s="72"/>
      <c r="X4" s="72"/>
      <c r="Y4" s="72"/>
      <c r="Z4" s="72"/>
      <c r="AA4" s="72"/>
      <c r="AB4" s="116"/>
      <c r="AC4" s="72"/>
      <c r="AD4" s="72"/>
      <c r="AE4" s="72"/>
      <c r="AF4" s="72"/>
      <c r="AG4" s="116"/>
      <c r="AH4" s="72"/>
      <c r="AI4" s="72"/>
      <c r="AJ4" s="72"/>
      <c r="AK4" s="72"/>
      <c r="AL4" s="115"/>
      <c r="AM4" s="23"/>
      <c r="AN4" s="23"/>
      <c r="AO4" s="23"/>
      <c r="AP4" s="23"/>
      <c r="AQ4" s="116"/>
      <c r="AR4" s="72"/>
      <c r="AS4" s="72"/>
      <c r="AT4" s="236" t="s">
        <v>292</v>
      </c>
      <c r="AU4" s="236"/>
      <c r="AV4" s="23"/>
      <c r="AW4" s="23"/>
      <c r="AX4" s="23"/>
      <c r="AY4" s="23"/>
      <c r="AZ4" s="23"/>
      <c r="BA4" s="23"/>
      <c r="BB4" s="23"/>
      <c r="BC4" s="23"/>
      <c r="BD4" s="141" t="s">
        <v>450</v>
      </c>
      <c r="BE4" s="100" t="s">
        <v>450</v>
      </c>
      <c r="BF4" s="100" t="s">
        <v>450</v>
      </c>
      <c r="BG4" s="100" t="s">
        <v>450</v>
      </c>
      <c r="BH4" s="100" t="s">
        <v>450</v>
      </c>
      <c r="BI4" s="100" t="s">
        <v>450</v>
      </c>
      <c r="BJ4" s="100" t="s">
        <v>450</v>
      </c>
      <c r="BK4" s="100" t="s">
        <v>450</v>
      </c>
      <c r="BL4" s="100" t="s">
        <v>450</v>
      </c>
      <c r="BM4" s="100" t="s">
        <v>450</v>
      </c>
      <c r="BN4" s="100" t="s">
        <v>450</v>
      </c>
      <c r="BO4" s="100" t="s">
        <v>450</v>
      </c>
      <c r="BP4" s="100" t="s">
        <v>450</v>
      </c>
      <c r="BQ4" s="100" t="s">
        <v>450</v>
      </c>
      <c r="BR4" s="100" t="s">
        <v>450</v>
      </c>
      <c r="BS4" s="100" t="s">
        <v>450</v>
      </c>
      <c r="BT4" s="100" t="s">
        <v>450</v>
      </c>
      <c r="BU4" s="100" t="s">
        <v>450</v>
      </c>
      <c r="BV4" s="100" t="s">
        <v>450</v>
      </c>
      <c r="BW4" s="100" t="s">
        <v>450</v>
      </c>
      <c r="BX4" s="100" t="s">
        <v>450</v>
      </c>
      <c r="BY4" s="100" t="s">
        <v>450</v>
      </c>
      <c r="BZ4" s="100" t="s">
        <v>450</v>
      </c>
      <c r="CA4" s="100" t="s">
        <v>450</v>
      </c>
      <c r="CX4" s="159">
        <v>97</v>
      </c>
      <c r="CY4" s="159" t="b">
        <f>ISNUMBER(SEARCH("formula", CY10))</f>
        <v>0</v>
      </c>
      <c r="CZ4" s="159" t="b">
        <f>ISNUMBER(SEARCH("formula", CZ10))</f>
        <v>0</v>
      </c>
      <c r="DA4" s="159" t="b">
        <f t="shared" ref="DA4:ES4" si="1">ISNUMBER(SEARCH("formula", CAA10))</f>
        <v>0</v>
      </c>
      <c r="DB4" s="159" t="b">
        <f t="shared" si="1"/>
        <v>0</v>
      </c>
      <c r="DC4" s="159" t="b">
        <f t="shared" si="1"/>
        <v>0</v>
      </c>
      <c r="DD4" s="159" t="b">
        <f t="shared" si="1"/>
        <v>0</v>
      </c>
      <c r="DE4" s="159" t="b">
        <f t="shared" si="1"/>
        <v>0</v>
      </c>
      <c r="DF4" s="159" t="b">
        <f t="shared" si="1"/>
        <v>0</v>
      </c>
      <c r="DG4" s="159" t="b">
        <f t="shared" si="1"/>
        <v>0</v>
      </c>
      <c r="DH4" s="159" t="b">
        <f t="shared" si="1"/>
        <v>0</v>
      </c>
      <c r="DI4" s="159" t="b">
        <f t="shared" si="1"/>
        <v>0</v>
      </c>
      <c r="DJ4" s="159" t="b">
        <f t="shared" si="1"/>
        <v>0</v>
      </c>
      <c r="DK4" s="159" t="b">
        <f t="shared" si="1"/>
        <v>0</v>
      </c>
      <c r="DL4" s="159" t="b">
        <f t="shared" si="1"/>
        <v>0</v>
      </c>
      <c r="DM4" s="159" t="b">
        <f t="shared" si="1"/>
        <v>0</v>
      </c>
      <c r="DN4" s="159" t="b">
        <f t="shared" si="1"/>
        <v>0</v>
      </c>
      <c r="DO4" s="159" t="b">
        <f t="shared" si="1"/>
        <v>0</v>
      </c>
      <c r="DP4" s="159" t="b">
        <f t="shared" si="1"/>
        <v>0</v>
      </c>
      <c r="DQ4" s="159" t="b">
        <f t="shared" si="1"/>
        <v>0</v>
      </c>
      <c r="DR4" s="159" t="b">
        <f t="shared" si="1"/>
        <v>0</v>
      </c>
      <c r="DS4" s="159" t="b">
        <f t="shared" si="1"/>
        <v>0</v>
      </c>
      <c r="DT4" s="159" t="b">
        <f t="shared" si="1"/>
        <v>0</v>
      </c>
      <c r="DU4" s="159" t="b">
        <f t="shared" si="1"/>
        <v>0</v>
      </c>
      <c r="DV4" s="159" t="b">
        <f t="shared" si="1"/>
        <v>0</v>
      </c>
      <c r="DW4" s="159" t="b">
        <f t="shared" si="1"/>
        <v>0</v>
      </c>
      <c r="DX4" s="159" t="b">
        <f t="shared" si="1"/>
        <v>0</v>
      </c>
      <c r="DY4" s="159" t="b">
        <f t="shared" si="1"/>
        <v>0</v>
      </c>
      <c r="DZ4" s="159" t="b">
        <f t="shared" si="1"/>
        <v>0</v>
      </c>
      <c r="EA4" s="159" t="b">
        <f t="shared" si="1"/>
        <v>0</v>
      </c>
      <c r="EB4" s="159" t="b">
        <f t="shared" si="1"/>
        <v>0</v>
      </c>
      <c r="EC4" s="159" t="b">
        <f t="shared" si="1"/>
        <v>0</v>
      </c>
      <c r="ED4" s="159" t="b">
        <f t="shared" si="1"/>
        <v>0</v>
      </c>
      <c r="EE4" s="159" t="b">
        <f t="shared" si="1"/>
        <v>0</v>
      </c>
      <c r="EF4" s="159" t="b">
        <f t="shared" si="1"/>
        <v>0</v>
      </c>
      <c r="EG4" s="159" t="b">
        <f t="shared" si="1"/>
        <v>0</v>
      </c>
      <c r="EH4" s="159" t="b">
        <f t="shared" si="1"/>
        <v>0</v>
      </c>
      <c r="EI4" s="159" t="b">
        <f t="shared" si="1"/>
        <v>0</v>
      </c>
      <c r="EJ4" s="159" t="b">
        <f t="shared" si="1"/>
        <v>0</v>
      </c>
      <c r="EK4" s="159" t="b">
        <f t="shared" si="1"/>
        <v>0</v>
      </c>
      <c r="EL4" s="159" t="b">
        <f t="shared" si="1"/>
        <v>0</v>
      </c>
      <c r="EM4" s="159" t="b">
        <f t="shared" si="1"/>
        <v>0</v>
      </c>
      <c r="EN4" s="159" t="b">
        <f t="shared" si="1"/>
        <v>0</v>
      </c>
      <c r="EO4" s="159" t="b">
        <f t="shared" si="1"/>
        <v>0</v>
      </c>
      <c r="EP4" s="159" t="b">
        <f t="shared" si="1"/>
        <v>0</v>
      </c>
      <c r="EQ4" s="159" t="b">
        <f t="shared" si="1"/>
        <v>0</v>
      </c>
      <c r="ER4" s="159" t="b">
        <f t="shared" si="1"/>
        <v>0</v>
      </c>
      <c r="ES4" s="159" t="b">
        <f t="shared" si="1"/>
        <v>0</v>
      </c>
    </row>
    <row r="5" spans="1:512" s="86" customFormat="1" ht="18.75" thickBot="1" x14ac:dyDescent="0.3">
      <c r="A5" s="228" t="s">
        <v>128</v>
      </c>
      <c r="B5" s="229"/>
      <c r="C5" s="229"/>
      <c r="D5" s="229"/>
      <c r="E5" s="229"/>
      <c r="F5" s="229"/>
      <c r="G5" s="230"/>
      <c r="H5" s="111" t="s">
        <v>293</v>
      </c>
      <c r="I5" s="158"/>
      <c r="J5" s="111"/>
      <c r="K5" s="111"/>
      <c r="L5" s="111"/>
      <c r="M5" s="111"/>
      <c r="N5" s="111"/>
      <c r="O5" s="111"/>
      <c r="P5" s="133" t="s">
        <v>383</v>
      </c>
      <c r="Q5" s="66"/>
      <c r="R5" s="66"/>
      <c r="S5" s="66"/>
      <c r="T5" s="66"/>
      <c r="U5" s="66"/>
      <c r="V5" s="66"/>
      <c r="W5" s="66"/>
      <c r="X5" s="66"/>
      <c r="Y5" s="66"/>
      <c r="Z5" s="66"/>
      <c r="AA5" s="66"/>
      <c r="AB5" s="237" t="s">
        <v>390</v>
      </c>
      <c r="AC5" s="229"/>
      <c r="AD5" s="229"/>
      <c r="AE5" s="229"/>
      <c r="AF5" s="238"/>
      <c r="AG5" s="225" t="s">
        <v>391</v>
      </c>
      <c r="AH5" s="226"/>
      <c r="AI5" s="226"/>
      <c r="AJ5" s="226"/>
      <c r="AK5" s="227"/>
      <c r="AL5" s="234" t="s">
        <v>392</v>
      </c>
      <c r="AM5" s="235"/>
      <c r="AN5" s="235"/>
      <c r="AO5" s="235"/>
      <c r="AP5" s="235"/>
      <c r="AQ5" s="232" t="s">
        <v>393</v>
      </c>
      <c r="AR5" s="233"/>
      <c r="AS5" s="233"/>
      <c r="AT5" s="233"/>
      <c r="AU5" s="233"/>
      <c r="AV5" s="228" t="s">
        <v>176</v>
      </c>
      <c r="AW5" s="229"/>
      <c r="AX5" s="229"/>
      <c r="AY5" s="229"/>
      <c r="AZ5" s="229"/>
      <c r="BA5" s="229"/>
      <c r="BB5" s="229"/>
      <c r="BC5" s="230"/>
      <c r="BD5" s="232" t="s">
        <v>394</v>
      </c>
      <c r="BE5" s="233"/>
      <c r="BF5" s="233"/>
      <c r="BG5" s="233"/>
      <c r="BH5" s="233"/>
      <c r="BI5" s="53"/>
      <c r="BJ5" s="53"/>
      <c r="BK5" s="53"/>
      <c r="BL5" s="53"/>
      <c r="BM5" s="53"/>
      <c r="BN5" s="53"/>
      <c r="BO5" s="53"/>
      <c r="BP5" s="53"/>
      <c r="BQ5" s="53"/>
      <c r="BR5" s="53"/>
      <c r="BS5" s="53"/>
      <c r="BT5" s="53"/>
      <c r="BU5" s="53"/>
      <c r="BV5" s="53"/>
      <c r="BW5" s="53"/>
      <c r="BX5" s="53"/>
      <c r="BY5" s="53"/>
      <c r="BZ5" s="53"/>
      <c r="CA5" s="63"/>
      <c r="CB5" s="85"/>
      <c r="CC5" s="85"/>
      <c r="CD5" s="85"/>
      <c r="CE5" s="85"/>
      <c r="CF5" s="85"/>
      <c r="CG5" s="85"/>
      <c r="CH5" s="85"/>
      <c r="CI5" s="85"/>
      <c r="CJ5" s="85"/>
      <c r="CK5" s="85"/>
      <c r="CL5" s="85"/>
      <c r="CM5" s="85"/>
      <c r="CN5" s="85"/>
      <c r="CO5" s="85"/>
      <c r="CP5" s="85"/>
      <c r="CQ5" s="85"/>
      <c r="CR5" s="85"/>
      <c r="CS5" s="85"/>
      <c r="CT5" s="85"/>
      <c r="CU5" s="85"/>
      <c r="CV5" s="85"/>
      <c r="CW5" s="85"/>
      <c r="CX5" s="85"/>
      <c r="CY5" s="155" t="s">
        <v>311</v>
      </c>
      <c r="CZ5" s="111"/>
      <c r="DA5" s="111"/>
      <c r="DB5" s="111"/>
      <c r="DC5" s="111"/>
      <c r="DD5" s="155" t="s">
        <v>311</v>
      </c>
      <c r="DE5" s="111"/>
      <c r="DF5" s="111"/>
      <c r="DG5" s="111"/>
      <c r="DH5" s="111"/>
      <c r="DI5" s="111"/>
      <c r="DJ5" s="111"/>
      <c r="DK5" s="111"/>
      <c r="DL5" s="111"/>
      <c r="DM5" s="155" t="s">
        <v>311</v>
      </c>
      <c r="DN5" s="111"/>
      <c r="DO5" s="111"/>
      <c r="DP5" s="111"/>
      <c r="DQ5" s="111"/>
      <c r="DR5" s="155" t="s">
        <v>311</v>
      </c>
      <c r="DS5" s="111"/>
      <c r="DT5" s="111"/>
      <c r="DU5" s="111"/>
      <c r="DV5" s="155" t="s">
        <v>311</v>
      </c>
      <c r="DW5" s="111"/>
      <c r="DX5" s="111"/>
      <c r="DY5" s="155" t="s">
        <v>311</v>
      </c>
      <c r="DZ5" s="111"/>
      <c r="EA5" s="111"/>
      <c r="EB5" s="155" t="s">
        <v>311</v>
      </c>
      <c r="EC5" s="111"/>
      <c r="ED5" s="111"/>
      <c r="EE5" s="111"/>
      <c r="EF5" s="111"/>
      <c r="EG5" s="155" t="s">
        <v>311</v>
      </c>
      <c r="EH5" s="111"/>
      <c r="EI5" s="111"/>
      <c r="EJ5" s="111"/>
      <c r="EK5" s="111"/>
      <c r="EL5" s="155" t="s">
        <v>311</v>
      </c>
      <c r="EM5" s="111"/>
      <c r="EN5" s="111"/>
      <c r="EO5" s="111"/>
      <c r="EP5" s="111"/>
      <c r="EQ5" s="155" t="s">
        <v>311</v>
      </c>
      <c r="ER5" s="111"/>
      <c r="ES5" s="111"/>
      <c r="ET5" s="85"/>
      <c r="EU5" s="85"/>
      <c r="EV5" s="85"/>
      <c r="EW5" s="85"/>
      <c r="EX5" s="85"/>
      <c r="EY5" s="85"/>
      <c r="EZ5" s="85"/>
      <c r="FA5" s="85"/>
      <c r="FB5" s="85"/>
      <c r="FC5" s="85"/>
      <c r="FD5" s="85"/>
      <c r="FE5" s="85"/>
      <c r="FF5" s="85"/>
      <c r="FG5" s="85"/>
      <c r="FH5" s="85"/>
      <c r="FI5" s="85"/>
      <c r="FJ5" s="85"/>
      <c r="FK5" s="85"/>
      <c r="FL5" s="85"/>
      <c r="FM5" s="85"/>
      <c r="FN5" s="85"/>
      <c r="FO5" s="85"/>
      <c r="FP5" s="85"/>
      <c r="FQ5" s="85"/>
      <c r="FR5" s="85"/>
      <c r="FS5" s="85"/>
      <c r="FT5" s="85"/>
      <c r="FU5" s="85"/>
      <c r="FV5" s="85"/>
      <c r="FW5" s="85"/>
      <c r="FX5" s="85"/>
      <c r="FY5" s="85"/>
      <c r="FZ5" s="85"/>
      <c r="GA5" s="85"/>
      <c r="GB5" s="85"/>
      <c r="GC5" s="85"/>
      <c r="GD5" s="85"/>
      <c r="GE5" s="85"/>
      <c r="GF5" s="85"/>
      <c r="GG5" s="85"/>
      <c r="GH5" s="85"/>
      <c r="GI5" s="85"/>
      <c r="GJ5" s="85"/>
      <c r="GK5" s="85"/>
      <c r="GL5" s="85"/>
      <c r="GM5" s="85"/>
      <c r="GN5" s="85"/>
      <c r="GO5" s="85"/>
      <c r="GP5" s="85"/>
      <c r="GQ5" s="85"/>
      <c r="GR5" s="85"/>
      <c r="GS5" s="85"/>
      <c r="GT5" s="85"/>
      <c r="GU5" s="85"/>
      <c r="GV5" s="85"/>
      <c r="GW5" s="85"/>
      <c r="GX5" s="85"/>
      <c r="GY5" s="85"/>
      <c r="GZ5" s="85"/>
      <c r="HA5" s="85"/>
      <c r="HB5" s="85"/>
      <c r="HC5" s="85"/>
      <c r="HD5" s="85"/>
      <c r="HE5" s="85"/>
      <c r="HF5" s="85"/>
      <c r="HG5" s="85"/>
      <c r="HH5" s="85"/>
      <c r="HI5" s="85"/>
      <c r="HJ5" s="85"/>
      <c r="HK5" s="85"/>
      <c r="HL5" s="85"/>
      <c r="HM5" s="85"/>
      <c r="HN5" s="85"/>
      <c r="HO5" s="85"/>
      <c r="HP5" s="85"/>
      <c r="HQ5" s="85"/>
      <c r="HR5" s="85"/>
      <c r="HS5" s="85"/>
      <c r="HT5" s="85"/>
      <c r="HU5" s="85"/>
      <c r="HV5" s="85"/>
      <c r="HW5" s="85"/>
      <c r="HX5" s="85"/>
      <c r="HY5" s="85"/>
      <c r="HZ5" s="85"/>
      <c r="IA5" s="85"/>
      <c r="IB5" s="85"/>
      <c r="IC5" s="85"/>
      <c r="ID5" s="85"/>
      <c r="IE5" s="85"/>
      <c r="IF5" s="85"/>
      <c r="IG5" s="85"/>
      <c r="IH5" s="85"/>
      <c r="II5" s="85"/>
      <c r="IJ5" s="85"/>
      <c r="IK5" s="85"/>
      <c r="IL5" s="85"/>
      <c r="IM5" s="85"/>
      <c r="IN5" s="85"/>
      <c r="IO5" s="85"/>
      <c r="IP5" s="85"/>
      <c r="IQ5" s="85"/>
      <c r="IR5" s="85"/>
      <c r="IS5" s="85"/>
      <c r="IT5" s="85"/>
      <c r="IU5" s="85"/>
      <c r="IV5" s="85"/>
      <c r="IW5" s="85"/>
      <c r="IX5" s="85"/>
      <c r="IY5" s="85"/>
      <c r="IZ5" s="85"/>
      <c r="JA5" s="85"/>
      <c r="JB5" s="85"/>
      <c r="JC5" s="85"/>
      <c r="JD5" s="85"/>
      <c r="JE5" s="85"/>
      <c r="JF5" s="85"/>
      <c r="JG5" s="85"/>
      <c r="JH5" s="85"/>
      <c r="JI5" s="85"/>
      <c r="JJ5" s="85"/>
      <c r="JK5" s="85"/>
      <c r="JL5" s="85"/>
      <c r="JM5" s="85"/>
      <c r="JN5" s="85"/>
      <c r="JO5" s="85"/>
      <c r="JP5" s="85"/>
      <c r="JQ5" s="85"/>
      <c r="JR5" s="85"/>
      <c r="JS5" s="85"/>
      <c r="JT5" s="85"/>
      <c r="JU5" s="85"/>
      <c r="JV5" s="85"/>
      <c r="JW5" s="85"/>
      <c r="JX5" s="85"/>
      <c r="JY5" s="85"/>
      <c r="JZ5" s="85"/>
      <c r="KA5" s="85"/>
      <c r="KB5" s="85"/>
      <c r="KC5" s="85"/>
      <c r="KD5" s="85"/>
      <c r="KE5" s="85"/>
      <c r="KF5" s="85"/>
      <c r="KG5" s="85"/>
      <c r="KH5" s="85"/>
      <c r="KI5" s="85"/>
      <c r="KJ5" s="85"/>
      <c r="KK5" s="85"/>
      <c r="KL5" s="85"/>
      <c r="KM5" s="85"/>
      <c r="KN5" s="85"/>
      <c r="KO5" s="85"/>
      <c r="KP5" s="85"/>
      <c r="KQ5" s="85"/>
      <c r="KR5" s="85"/>
      <c r="KS5" s="85"/>
      <c r="KT5" s="85"/>
      <c r="KU5" s="85"/>
      <c r="KV5" s="85"/>
      <c r="KW5" s="85"/>
      <c r="KX5" s="85"/>
      <c r="KY5" s="85"/>
      <c r="KZ5" s="85"/>
      <c r="LA5" s="85"/>
      <c r="LB5" s="85"/>
      <c r="LC5" s="85"/>
      <c r="LD5" s="85"/>
      <c r="LE5" s="85"/>
      <c r="LF5" s="85"/>
      <c r="LG5" s="85"/>
      <c r="LH5" s="85"/>
      <c r="LI5" s="85"/>
      <c r="LJ5" s="85"/>
      <c r="LK5" s="85"/>
      <c r="LL5" s="85"/>
      <c r="LM5" s="85"/>
      <c r="LN5" s="85"/>
      <c r="LO5" s="85"/>
      <c r="LP5" s="85"/>
      <c r="LQ5" s="85"/>
      <c r="LR5" s="85"/>
      <c r="LS5" s="85"/>
      <c r="LT5" s="85"/>
      <c r="LU5" s="85"/>
      <c r="LV5" s="85"/>
      <c r="LW5" s="85"/>
      <c r="LX5" s="85"/>
      <c r="LY5" s="85"/>
      <c r="LZ5" s="85"/>
      <c r="MA5" s="85"/>
      <c r="MB5" s="85"/>
      <c r="MC5" s="85"/>
      <c r="MD5" s="85"/>
      <c r="ME5" s="85"/>
      <c r="MF5" s="85"/>
      <c r="MG5" s="85"/>
      <c r="MH5" s="85"/>
      <c r="MI5" s="85"/>
      <c r="MJ5" s="85"/>
      <c r="MK5" s="85"/>
      <c r="ML5" s="85"/>
      <c r="MM5" s="85"/>
      <c r="MN5" s="85"/>
      <c r="MO5" s="85"/>
      <c r="MP5" s="85"/>
      <c r="MQ5" s="85"/>
      <c r="MR5" s="85"/>
      <c r="MS5" s="85"/>
      <c r="MT5" s="85"/>
      <c r="MU5" s="85"/>
      <c r="MV5" s="85"/>
      <c r="MW5" s="85"/>
      <c r="MX5" s="85"/>
      <c r="MY5" s="85"/>
      <c r="MZ5" s="85"/>
      <c r="NA5" s="85"/>
      <c r="NB5" s="85"/>
      <c r="NC5" s="85"/>
      <c r="ND5" s="85"/>
      <c r="NE5" s="85"/>
      <c r="NF5" s="85"/>
      <c r="NG5" s="85"/>
      <c r="NH5" s="85"/>
      <c r="NI5" s="85"/>
      <c r="NJ5" s="85"/>
      <c r="NK5" s="85"/>
      <c r="NL5" s="85"/>
      <c r="NM5" s="85"/>
      <c r="NN5" s="85"/>
      <c r="NO5" s="85"/>
      <c r="NP5" s="85"/>
      <c r="NQ5" s="85"/>
      <c r="NR5" s="85"/>
      <c r="NS5" s="85"/>
      <c r="NT5" s="85"/>
      <c r="NU5" s="85"/>
      <c r="NV5" s="85"/>
      <c r="NW5" s="85"/>
      <c r="NX5" s="85"/>
      <c r="NY5" s="85"/>
      <c r="NZ5" s="85"/>
      <c r="OA5" s="85"/>
      <c r="OB5" s="85"/>
      <c r="OC5" s="85"/>
      <c r="OD5" s="85"/>
      <c r="OE5" s="85"/>
      <c r="OF5" s="85"/>
      <c r="OG5" s="85"/>
      <c r="OH5" s="85"/>
      <c r="OI5" s="85"/>
      <c r="OJ5" s="85"/>
      <c r="OK5" s="85"/>
      <c r="OL5" s="85"/>
      <c r="OM5" s="85"/>
      <c r="ON5" s="85"/>
      <c r="OO5" s="85"/>
      <c r="OP5" s="85"/>
      <c r="OQ5" s="85"/>
      <c r="OR5" s="85"/>
      <c r="OS5" s="85"/>
      <c r="OT5" s="85"/>
      <c r="OU5" s="85"/>
      <c r="OV5" s="85"/>
      <c r="OW5" s="85"/>
      <c r="OX5" s="85"/>
      <c r="OY5" s="85"/>
      <c r="OZ5" s="85"/>
      <c r="PA5" s="85"/>
      <c r="PB5" s="85"/>
      <c r="PC5" s="85"/>
      <c r="PD5" s="85"/>
      <c r="PE5" s="85"/>
      <c r="PF5" s="85"/>
      <c r="PG5" s="85"/>
      <c r="PH5" s="85"/>
      <c r="PI5" s="85"/>
      <c r="PJ5" s="85"/>
      <c r="PK5" s="85"/>
      <c r="PL5" s="85"/>
      <c r="PM5" s="85"/>
      <c r="PN5" s="85"/>
      <c r="PO5" s="85"/>
      <c r="PP5" s="85"/>
      <c r="PQ5" s="85"/>
      <c r="PR5" s="85"/>
      <c r="PS5" s="85"/>
      <c r="PT5" s="85"/>
      <c r="PU5" s="85"/>
      <c r="PV5" s="85"/>
      <c r="PW5" s="85"/>
      <c r="PX5" s="85"/>
      <c r="PY5" s="85"/>
      <c r="PZ5" s="85"/>
      <c r="QA5" s="85"/>
      <c r="QB5" s="85"/>
      <c r="QC5" s="85"/>
      <c r="QD5" s="85"/>
      <c r="QE5" s="85"/>
      <c r="QF5" s="85"/>
      <c r="QG5" s="85"/>
      <c r="QH5" s="85"/>
      <c r="QI5" s="85"/>
      <c r="QJ5" s="85"/>
      <c r="QK5" s="85"/>
      <c r="QL5" s="85"/>
      <c r="QM5" s="85"/>
      <c r="QN5" s="85"/>
      <c r="QO5" s="85"/>
      <c r="QP5" s="85"/>
      <c r="QQ5" s="85"/>
      <c r="QR5" s="85"/>
      <c r="QS5" s="85"/>
      <c r="QT5" s="85"/>
      <c r="QU5" s="85"/>
      <c r="QV5" s="85"/>
      <c r="QW5" s="85"/>
      <c r="QX5" s="85"/>
      <c r="QY5" s="85"/>
      <c r="QZ5" s="85"/>
      <c r="RA5" s="85"/>
      <c r="RB5" s="85"/>
      <c r="RC5" s="85"/>
      <c r="RD5" s="85"/>
      <c r="RE5" s="85"/>
      <c r="RF5" s="85"/>
      <c r="RG5" s="85"/>
      <c r="RH5" s="85"/>
      <c r="RI5" s="85"/>
      <c r="RJ5" s="85"/>
      <c r="RK5" s="85"/>
      <c r="RL5" s="85"/>
      <c r="RM5" s="85"/>
      <c r="RN5" s="85"/>
      <c r="RO5" s="85"/>
      <c r="RP5" s="85"/>
      <c r="RQ5" s="85"/>
      <c r="RR5" s="85"/>
      <c r="RS5" s="85"/>
      <c r="RT5" s="85"/>
      <c r="RU5" s="85"/>
      <c r="RV5" s="85"/>
      <c r="RW5" s="85"/>
      <c r="RX5" s="85"/>
      <c r="RY5" s="85"/>
      <c r="RZ5" s="85"/>
      <c r="SA5" s="85"/>
      <c r="SB5" s="85"/>
      <c r="SC5" s="85"/>
      <c r="SD5" s="85"/>
      <c r="SE5" s="85"/>
      <c r="SF5" s="85"/>
      <c r="SG5" s="85"/>
      <c r="SH5" s="85"/>
      <c r="SI5" s="85"/>
      <c r="SJ5" s="85"/>
      <c r="SK5" s="85"/>
      <c r="SL5" s="85"/>
      <c r="SM5" s="85"/>
      <c r="SN5" s="85"/>
      <c r="SO5" s="85"/>
      <c r="SP5" s="85"/>
      <c r="SQ5" s="85"/>
      <c r="SR5" s="85"/>
    </row>
    <row r="6" spans="1:512" ht="15" x14ac:dyDescent="0.25">
      <c r="A6" s="33" t="s">
        <v>314</v>
      </c>
      <c r="B6" s="33" t="str">
        <f t="shared" ref="B6:AV6" si="2">"Col "&amp;COLUMN()</f>
        <v>Col 2</v>
      </c>
      <c r="C6" s="33" t="str">
        <f t="shared" si="2"/>
        <v>Col 3</v>
      </c>
      <c r="D6" s="33" t="str">
        <f t="shared" si="2"/>
        <v>Col 4</v>
      </c>
      <c r="E6" s="33" t="str">
        <f t="shared" si="2"/>
        <v>Col 5</v>
      </c>
      <c r="F6" s="33" t="str">
        <f t="shared" si="2"/>
        <v>Col 6</v>
      </c>
      <c r="G6" s="79" t="str">
        <f t="shared" si="2"/>
        <v>Col 7</v>
      </c>
      <c r="H6" s="117" t="str">
        <f t="shared" si="2"/>
        <v>Col 8</v>
      </c>
      <c r="I6" s="33" t="str">
        <f t="shared" si="2"/>
        <v>Col 9</v>
      </c>
      <c r="J6" s="148" t="str">
        <f t="shared" si="2"/>
        <v>Col 10</v>
      </c>
      <c r="K6" s="33" t="str">
        <f t="shared" si="2"/>
        <v>Col 11</v>
      </c>
      <c r="L6" s="33" t="str">
        <f t="shared" si="2"/>
        <v>Col 12</v>
      </c>
      <c r="M6" s="33" t="str">
        <f t="shared" si="2"/>
        <v>Col 13</v>
      </c>
      <c r="N6" s="33" t="str">
        <f t="shared" si="2"/>
        <v>Col 14</v>
      </c>
      <c r="O6" s="79" t="str">
        <f t="shared" si="2"/>
        <v>Col 15</v>
      </c>
      <c r="P6" s="164" t="str">
        <f t="shared" si="2"/>
        <v>Col 16</v>
      </c>
      <c r="Q6" s="163" t="str">
        <f t="shared" si="2"/>
        <v>Col 17</v>
      </c>
      <c r="R6" s="163" t="str">
        <f t="shared" si="2"/>
        <v>Col 18</v>
      </c>
      <c r="S6" s="163" t="str">
        <f t="shared" si="2"/>
        <v>Col 19</v>
      </c>
      <c r="T6" s="163" t="str">
        <f t="shared" si="2"/>
        <v>Col 20</v>
      </c>
      <c r="U6" s="163" t="str">
        <f t="shared" si="2"/>
        <v>Col 21</v>
      </c>
      <c r="V6" s="163" t="str">
        <f t="shared" si="2"/>
        <v>Col 22</v>
      </c>
      <c r="W6" s="163" t="str">
        <f t="shared" si="2"/>
        <v>Col 23</v>
      </c>
      <c r="X6" s="163" t="str">
        <f t="shared" si="2"/>
        <v>Col 24</v>
      </c>
      <c r="Y6" s="163" t="str">
        <f t="shared" si="2"/>
        <v>Col 25</v>
      </c>
      <c r="Z6" s="163" t="str">
        <f t="shared" si="2"/>
        <v>Col 26</v>
      </c>
      <c r="AA6" s="165" t="str">
        <f t="shared" si="2"/>
        <v>Col 27</v>
      </c>
      <c r="AB6" s="117" t="str">
        <f t="shared" si="2"/>
        <v>Col 28</v>
      </c>
      <c r="AC6" s="33" t="str">
        <f t="shared" si="2"/>
        <v>Col 29</v>
      </c>
      <c r="AD6" s="33" t="str">
        <f t="shared" si="2"/>
        <v>Col 30</v>
      </c>
      <c r="AE6" s="33" t="str">
        <f t="shared" si="2"/>
        <v>Col 31</v>
      </c>
      <c r="AF6" s="79" t="str">
        <f t="shared" si="2"/>
        <v>Col 32</v>
      </c>
      <c r="AG6" s="117" t="str">
        <f t="shared" si="2"/>
        <v>Col 33</v>
      </c>
      <c r="AH6" s="33" t="str">
        <f t="shared" si="2"/>
        <v>Col 34</v>
      </c>
      <c r="AI6" s="33" t="str">
        <f t="shared" si="2"/>
        <v>Col 35</v>
      </c>
      <c r="AJ6" s="33" t="str">
        <f t="shared" si="2"/>
        <v>Col 36</v>
      </c>
      <c r="AK6" s="79" t="str">
        <f t="shared" si="2"/>
        <v>Col 37</v>
      </c>
      <c r="AL6" s="117" t="str">
        <f t="shared" si="2"/>
        <v>Col 38</v>
      </c>
      <c r="AM6" s="33" t="str">
        <f t="shared" si="2"/>
        <v>Col 39</v>
      </c>
      <c r="AN6" s="33" t="str">
        <f t="shared" si="2"/>
        <v>Col 40</v>
      </c>
      <c r="AO6" s="33" t="str">
        <f t="shared" si="2"/>
        <v>Col 41</v>
      </c>
      <c r="AP6" s="79" t="str">
        <f t="shared" si="2"/>
        <v>Col 42</v>
      </c>
      <c r="AQ6" s="117" t="str">
        <f t="shared" si="2"/>
        <v>Col 43</v>
      </c>
      <c r="AR6" s="33" t="str">
        <f t="shared" si="2"/>
        <v>Col 44</v>
      </c>
      <c r="AS6" s="33" t="str">
        <f t="shared" si="2"/>
        <v>Col 45</v>
      </c>
      <c r="AT6" s="33" t="str">
        <f t="shared" si="2"/>
        <v>Col 46</v>
      </c>
      <c r="AU6" s="33" t="str">
        <f t="shared" si="2"/>
        <v>Col 47</v>
      </c>
      <c r="AV6" s="33" t="str">
        <f t="shared" si="2"/>
        <v>Col 48</v>
      </c>
      <c r="AW6" s="33"/>
      <c r="AX6" s="33"/>
      <c r="AY6" s="33"/>
      <c r="AZ6" s="33"/>
      <c r="BA6" s="33"/>
      <c r="BB6" s="33"/>
      <c r="BC6" s="79" t="str">
        <f t="shared" ref="BC6:CA6" si="3">"Col "&amp;COLUMN()</f>
        <v>Col 55</v>
      </c>
      <c r="BD6" s="117" t="str">
        <f t="shared" si="3"/>
        <v>Col 56</v>
      </c>
      <c r="BE6" s="33" t="str">
        <f t="shared" si="3"/>
        <v>Col 57</v>
      </c>
      <c r="BF6" s="33" t="str">
        <f t="shared" si="3"/>
        <v>Col 58</v>
      </c>
      <c r="BG6" s="33" t="str">
        <f t="shared" si="3"/>
        <v>Col 59</v>
      </c>
      <c r="BH6" s="33" t="str">
        <f t="shared" si="3"/>
        <v>Col 60</v>
      </c>
      <c r="BI6" s="33" t="str">
        <f t="shared" si="3"/>
        <v>Col 61</v>
      </c>
      <c r="BJ6" s="33" t="str">
        <f t="shared" si="3"/>
        <v>Col 62</v>
      </c>
      <c r="BK6" s="33" t="str">
        <f t="shared" si="3"/>
        <v>Col 63</v>
      </c>
      <c r="BL6" s="33" t="str">
        <f t="shared" si="3"/>
        <v>Col 64</v>
      </c>
      <c r="BM6" s="33" t="str">
        <f t="shared" si="3"/>
        <v>Col 65</v>
      </c>
      <c r="BN6" s="33" t="str">
        <f t="shared" si="3"/>
        <v>Col 66</v>
      </c>
      <c r="BO6" s="33" t="str">
        <f t="shared" si="3"/>
        <v>Col 67</v>
      </c>
      <c r="BP6" s="33" t="str">
        <f t="shared" si="3"/>
        <v>Col 68</v>
      </c>
      <c r="BQ6" s="33" t="str">
        <f t="shared" si="3"/>
        <v>Col 69</v>
      </c>
      <c r="BR6" s="33" t="str">
        <f t="shared" si="3"/>
        <v>Col 70</v>
      </c>
      <c r="BS6" s="33" t="str">
        <f t="shared" si="3"/>
        <v>Col 71</v>
      </c>
      <c r="BT6" s="33" t="str">
        <f t="shared" si="3"/>
        <v>Col 72</v>
      </c>
      <c r="BU6" s="33" t="str">
        <f t="shared" si="3"/>
        <v>Col 73</v>
      </c>
      <c r="BV6" s="33" t="str">
        <f t="shared" si="3"/>
        <v>Col 74</v>
      </c>
      <c r="BW6" s="33" t="str">
        <f t="shared" si="3"/>
        <v>Col 75</v>
      </c>
      <c r="BX6" s="33" t="str">
        <f t="shared" si="3"/>
        <v>Col 76</v>
      </c>
      <c r="BY6" s="33" t="str">
        <f t="shared" si="3"/>
        <v>Col 77</v>
      </c>
      <c r="BZ6" s="33" t="str">
        <f t="shared" si="3"/>
        <v>Col 78</v>
      </c>
      <c r="CA6" s="79" t="str">
        <f t="shared" si="3"/>
        <v>Col 79</v>
      </c>
      <c r="CY6" s="33" t="str">
        <f t="shared" ref="CY6:DH7" si="4">A6</f>
        <v>Col 1</v>
      </c>
      <c r="CZ6" s="33" t="str">
        <f t="shared" si="4"/>
        <v>Col 2</v>
      </c>
      <c r="DA6" s="33" t="str">
        <f t="shared" si="4"/>
        <v>Col 3</v>
      </c>
      <c r="DB6" s="33" t="str">
        <f t="shared" si="4"/>
        <v>Col 4</v>
      </c>
      <c r="DC6" s="33" t="str">
        <f t="shared" si="4"/>
        <v>Col 5</v>
      </c>
      <c r="DD6" s="33" t="str">
        <f t="shared" si="4"/>
        <v>Col 6</v>
      </c>
      <c r="DE6" s="33" t="str">
        <f t="shared" si="4"/>
        <v>Col 7</v>
      </c>
      <c r="DF6" s="33" t="str">
        <f t="shared" si="4"/>
        <v>Col 8</v>
      </c>
      <c r="DG6" s="33" t="str">
        <f t="shared" si="4"/>
        <v>Col 9</v>
      </c>
      <c r="DH6" s="33" t="str">
        <f t="shared" si="4"/>
        <v>Col 10</v>
      </c>
      <c r="DI6" s="33" t="str">
        <f t="shared" ref="DI6:DR7" si="5">K6</f>
        <v>Col 11</v>
      </c>
      <c r="DJ6" s="33" t="str">
        <f t="shared" si="5"/>
        <v>Col 12</v>
      </c>
      <c r="DK6" s="33" t="str">
        <f t="shared" si="5"/>
        <v>Col 13</v>
      </c>
      <c r="DL6" s="33" t="str">
        <f t="shared" si="5"/>
        <v>Col 14</v>
      </c>
      <c r="DM6" s="33" t="str">
        <f t="shared" si="5"/>
        <v>Col 15</v>
      </c>
      <c r="DN6" s="33" t="str">
        <f t="shared" si="5"/>
        <v>Col 16</v>
      </c>
      <c r="DO6" s="33" t="str">
        <f t="shared" si="5"/>
        <v>Col 17</v>
      </c>
      <c r="DP6" s="33" t="str">
        <f t="shared" si="5"/>
        <v>Col 18</v>
      </c>
      <c r="DQ6" s="33" t="str">
        <f t="shared" si="5"/>
        <v>Col 19</v>
      </c>
      <c r="DR6" s="33" t="str">
        <f t="shared" si="5"/>
        <v>Col 20</v>
      </c>
      <c r="DS6" s="33" t="str">
        <f t="shared" ref="DS6:EB7" si="6">U6</f>
        <v>Col 21</v>
      </c>
      <c r="DT6" s="33" t="str">
        <f t="shared" si="6"/>
        <v>Col 22</v>
      </c>
      <c r="DU6" s="33" t="str">
        <f t="shared" si="6"/>
        <v>Col 23</v>
      </c>
      <c r="DV6" s="33" t="str">
        <f t="shared" si="6"/>
        <v>Col 24</v>
      </c>
      <c r="DW6" s="33" t="str">
        <f t="shared" si="6"/>
        <v>Col 25</v>
      </c>
      <c r="DX6" s="33" t="str">
        <f t="shared" si="6"/>
        <v>Col 26</v>
      </c>
      <c r="DY6" s="33" t="str">
        <f t="shared" si="6"/>
        <v>Col 27</v>
      </c>
      <c r="DZ6" s="33" t="str">
        <f t="shared" si="6"/>
        <v>Col 28</v>
      </c>
      <c r="EA6" s="33" t="str">
        <f t="shared" si="6"/>
        <v>Col 29</v>
      </c>
      <c r="EB6" s="33" t="str">
        <f t="shared" si="6"/>
        <v>Col 30</v>
      </c>
      <c r="EC6" s="33" t="str">
        <f t="shared" ref="EC6:EL7" si="7">AE6</f>
        <v>Col 31</v>
      </c>
      <c r="ED6" s="33" t="str">
        <f t="shared" si="7"/>
        <v>Col 32</v>
      </c>
      <c r="EE6" s="33" t="str">
        <f t="shared" si="7"/>
        <v>Col 33</v>
      </c>
      <c r="EF6" s="33" t="str">
        <f t="shared" si="7"/>
        <v>Col 34</v>
      </c>
      <c r="EG6" s="33" t="str">
        <f t="shared" si="7"/>
        <v>Col 35</v>
      </c>
      <c r="EH6" s="33" t="str">
        <f t="shared" si="7"/>
        <v>Col 36</v>
      </c>
      <c r="EI6" s="33" t="str">
        <f t="shared" si="7"/>
        <v>Col 37</v>
      </c>
      <c r="EJ6" s="33" t="str">
        <f t="shared" si="7"/>
        <v>Col 38</v>
      </c>
      <c r="EK6" s="33" t="str">
        <f t="shared" si="7"/>
        <v>Col 39</v>
      </c>
      <c r="EL6" s="33" t="str">
        <f t="shared" si="7"/>
        <v>Col 40</v>
      </c>
      <c r="EM6" s="33" t="str">
        <f t="shared" ref="EM6:ES7" si="8">AO6</f>
        <v>Col 41</v>
      </c>
      <c r="EN6" s="33" t="str">
        <f t="shared" si="8"/>
        <v>Col 42</v>
      </c>
      <c r="EO6" s="33" t="str">
        <f t="shared" si="8"/>
        <v>Col 43</v>
      </c>
      <c r="EP6" s="33" t="str">
        <f t="shared" si="8"/>
        <v>Col 44</v>
      </c>
      <c r="EQ6" s="33" t="str">
        <f t="shared" si="8"/>
        <v>Col 45</v>
      </c>
      <c r="ER6" s="33" t="str">
        <f t="shared" si="8"/>
        <v>Col 46</v>
      </c>
      <c r="ES6" s="33" t="str">
        <f t="shared" si="8"/>
        <v>Col 47</v>
      </c>
      <c r="EW6" s="85" t="s">
        <v>299</v>
      </c>
      <c r="EX6" s="85" t="s">
        <v>299</v>
      </c>
      <c r="EY6" s="85" t="str">
        <f>EX6</f>
        <v>Col 11</v>
      </c>
      <c r="EZ6" s="85" t="str">
        <f>EY6</f>
        <v>Col 11</v>
      </c>
      <c r="FA6" s="85" t="s">
        <v>325</v>
      </c>
      <c r="FB6" s="85" t="s">
        <v>325</v>
      </c>
      <c r="FC6" s="85" t="str">
        <f>FB6</f>
        <v>Col 15</v>
      </c>
      <c r="FD6" s="85" t="str">
        <f>FC6</f>
        <v>Col 15</v>
      </c>
      <c r="FE6" s="85" t="s">
        <v>326</v>
      </c>
      <c r="FF6" s="85" t="s">
        <v>326</v>
      </c>
      <c r="FG6" s="85" t="str">
        <f>FF6</f>
        <v>Col 16</v>
      </c>
      <c r="FH6" s="85" t="str">
        <f>FG6</f>
        <v>Col 16</v>
      </c>
      <c r="FI6" s="85" t="s">
        <v>327</v>
      </c>
      <c r="FJ6" s="85" t="s">
        <v>327</v>
      </c>
      <c r="FK6" s="85" t="str">
        <f>FJ6</f>
        <v>Col 17</v>
      </c>
      <c r="FL6" s="85" t="str">
        <f>FK6</f>
        <v>Col 17</v>
      </c>
    </row>
    <row r="7" spans="1:512" ht="60.75" customHeight="1" x14ac:dyDescent="0.25">
      <c r="A7" s="35" t="s">
        <v>1</v>
      </c>
      <c r="B7" s="64" t="s">
        <v>2</v>
      </c>
      <c r="C7" s="47" t="s">
        <v>264</v>
      </c>
      <c r="D7" s="35" t="s">
        <v>67</v>
      </c>
      <c r="E7" s="35" t="s">
        <v>72</v>
      </c>
      <c r="F7" s="36" t="s">
        <v>261</v>
      </c>
      <c r="G7" s="127" t="s">
        <v>133</v>
      </c>
      <c r="H7" s="123" t="s">
        <v>302</v>
      </c>
      <c r="I7" s="35" t="s">
        <v>304</v>
      </c>
      <c r="J7" s="156" t="s">
        <v>294</v>
      </c>
      <c r="K7" s="36" t="s">
        <v>295</v>
      </c>
      <c r="L7" s="35" t="s">
        <v>303</v>
      </c>
      <c r="M7" s="35" t="s">
        <v>309</v>
      </c>
      <c r="N7" s="36" t="s">
        <v>296</v>
      </c>
      <c r="O7" s="127" t="s">
        <v>297</v>
      </c>
      <c r="P7" s="134" t="s">
        <v>138</v>
      </c>
      <c r="Q7" s="37" t="s">
        <v>139</v>
      </c>
      <c r="R7" s="35" t="s">
        <v>82</v>
      </c>
      <c r="S7" s="37" t="s">
        <v>81</v>
      </c>
      <c r="T7" s="132" t="s">
        <v>310</v>
      </c>
      <c r="U7" s="35" t="s">
        <v>380</v>
      </c>
      <c r="V7" s="35" t="s">
        <v>146</v>
      </c>
      <c r="W7" s="35" t="s">
        <v>301</v>
      </c>
      <c r="X7" s="35" t="s">
        <v>85</v>
      </c>
      <c r="Y7" s="35" t="s">
        <v>526</v>
      </c>
      <c r="Z7" s="35" t="s">
        <v>86</v>
      </c>
      <c r="AA7" s="35" t="s">
        <v>87</v>
      </c>
      <c r="AB7" s="118" t="s">
        <v>312</v>
      </c>
      <c r="AC7" s="35" t="s">
        <v>313</v>
      </c>
      <c r="AD7" s="35" t="s">
        <v>527</v>
      </c>
      <c r="AE7" s="37" t="s">
        <v>89</v>
      </c>
      <c r="AF7" s="35" t="s">
        <v>528</v>
      </c>
      <c r="AG7" s="123" t="s">
        <v>91</v>
      </c>
      <c r="AH7" s="35" t="s">
        <v>529</v>
      </c>
      <c r="AI7" s="35" t="s">
        <v>150</v>
      </c>
      <c r="AJ7" s="35" t="s">
        <v>530</v>
      </c>
      <c r="AK7" s="132" t="s">
        <v>367</v>
      </c>
      <c r="AL7" s="123" t="s">
        <v>266</v>
      </c>
      <c r="AM7" s="35" t="s">
        <v>263</v>
      </c>
      <c r="AN7" s="35" t="s">
        <v>254</v>
      </c>
      <c r="AO7" s="35" t="s">
        <v>255</v>
      </c>
      <c r="AP7" s="132" t="s">
        <v>256</v>
      </c>
      <c r="AQ7" s="130" t="s">
        <v>94</v>
      </c>
      <c r="AR7" s="36" t="s">
        <v>262</v>
      </c>
      <c r="AS7" s="36" t="s">
        <v>257</v>
      </c>
      <c r="AT7" s="36" t="s">
        <v>258</v>
      </c>
      <c r="AU7" s="36" t="s">
        <v>259</v>
      </c>
      <c r="AV7" s="35" t="s">
        <v>177</v>
      </c>
      <c r="AW7" s="35" t="s">
        <v>178</v>
      </c>
      <c r="AX7" s="35" t="s">
        <v>179</v>
      </c>
      <c r="AY7" s="35" t="s">
        <v>101</v>
      </c>
      <c r="AZ7" s="35" t="s">
        <v>102</v>
      </c>
      <c r="BA7" s="35" t="s">
        <v>103</v>
      </c>
      <c r="BB7" s="35" t="s">
        <v>104</v>
      </c>
      <c r="BC7" s="132" t="s">
        <v>182</v>
      </c>
      <c r="BD7" s="142" t="s">
        <v>531</v>
      </c>
      <c r="BE7" s="47" t="s">
        <v>532</v>
      </c>
      <c r="BF7" s="47" t="s">
        <v>533</v>
      </c>
      <c r="BG7" s="47" t="s">
        <v>534</v>
      </c>
      <c r="BH7" s="47" t="s">
        <v>535</v>
      </c>
      <c r="BI7" s="47" t="s">
        <v>536</v>
      </c>
      <c r="BJ7" s="47" t="s">
        <v>537</v>
      </c>
      <c r="BK7" s="47" t="s">
        <v>538</v>
      </c>
      <c r="BL7" s="47" t="s">
        <v>539</v>
      </c>
      <c r="BM7" s="47" t="s">
        <v>540</v>
      </c>
      <c r="BN7" s="47" t="s">
        <v>541</v>
      </c>
      <c r="BO7" s="47" t="s">
        <v>450</v>
      </c>
      <c r="BP7" s="47" t="s">
        <v>450</v>
      </c>
      <c r="BQ7" s="47" t="s">
        <v>450</v>
      </c>
      <c r="BR7" s="47" t="s">
        <v>450</v>
      </c>
      <c r="BS7" s="47" t="s">
        <v>450</v>
      </c>
      <c r="BT7" s="47" t="s">
        <v>450</v>
      </c>
      <c r="BU7" s="47" t="s">
        <v>450</v>
      </c>
      <c r="BV7" s="47" t="s">
        <v>450</v>
      </c>
      <c r="BW7" s="47" t="s">
        <v>450</v>
      </c>
      <c r="BX7" s="47" t="s">
        <v>450</v>
      </c>
      <c r="BY7" s="47" t="s">
        <v>450</v>
      </c>
      <c r="BZ7" s="47" t="s">
        <v>450</v>
      </c>
      <c r="CA7" s="80" t="s">
        <v>450</v>
      </c>
      <c r="CC7" s="89" t="s">
        <v>283</v>
      </c>
      <c r="CE7" s="85" t="s">
        <v>288</v>
      </c>
      <c r="CF7" s="88" t="s">
        <v>139</v>
      </c>
      <c r="CG7" s="88" t="s">
        <v>81</v>
      </c>
      <c r="CH7" s="88" t="s">
        <v>542</v>
      </c>
      <c r="CI7" s="88" t="s">
        <v>380</v>
      </c>
      <c r="CJ7" s="88" t="s">
        <v>146</v>
      </c>
      <c r="CK7" s="88" t="s">
        <v>85</v>
      </c>
      <c r="CL7" s="88" t="s">
        <v>302</v>
      </c>
      <c r="CM7" s="88" t="s">
        <v>543</v>
      </c>
      <c r="CN7" s="88" t="s">
        <v>87</v>
      </c>
      <c r="CO7" s="88" t="s">
        <v>303</v>
      </c>
      <c r="CP7" s="88" t="s">
        <v>312</v>
      </c>
      <c r="CQ7" s="88" t="s">
        <v>313</v>
      </c>
      <c r="CR7" s="88" t="s">
        <v>89</v>
      </c>
      <c r="CS7" s="88" t="s">
        <v>544</v>
      </c>
      <c r="CT7" s="88" t="s">
        <v>150</v>
      </c>
      <c r="CU7" s="88" t="s">
        <v>367</v>
      </c>
      <c r="CV7" s="88"/>
      <c r="CW7" s="88"/>
      <c r="CX7" s="88"/>
      <c r="CY7" s="47" t="str">
        <f t="shared" si="4"/>
        <v>Project ID</v>
      </c>
      <c r="CZ7" s="47" t="str">
        <f t="shared" si="4"/>
        <v>Project Name</v>
      </c>
      <c r="DA7" s="47" t="str">
        <f t="shared" si="4"/>
        <v>Meeting Minutes</v>
      </c>
      <c r="DB7" s="47" t="str">
        <f t="shared" si="4"/>
        <v>Project Type</v>
      </c>
      <c r="DC7" s="47" t="str">
        <f t="shared" si="4"/>
        <v xml:space="preserve">Project Category </v>
      </c>
      <c r="DD7" s="47" t="str">
        <f t="shared" si="4"/>
        <v>Record Status</v>
      </c>
      <c r="DE7" s="47" t="str">
        <f t="shared" si="4"/>
        <v>Construction Status</v>
      </c>
      <c r="DF7" s="47" t="str">
        <f t="shared" si="4"/>
        <v>Pre-Tender Submission Date</v>
      </c>
      <c r="DG7" s="47" t="str">
        <f t="shared" si="4"/>
        <v>Pre-Tender Package Type</v>
      </c>
      <c r="DH7" s="47" t="str">
        <f t="shared" si="4"/>
        <v>Pre-Tender Package Complete</v>
      </c>
      <c r="DI7" s="47" t="str">
        <f t="shared" si="5"/>
        <v>CA Reviewed All Pre-Tender Documents</v>
      </c>
      <c r="DJ7" s="47" t="str">
        <f t="shared" si="5"/>
        <v>Post-Tender Submission Date</v>
      </c>
      <c r="DK7" s="47" t="str">
        <f t="shared" si="5"/>
        <v>Post-Tender Package Type</v>
      </c>
      <c r="DL7" s="47" t="str">
        <f t="shared" si="5"/>
        <v>Post-Tender Package Complete</v>
      </c>
      <c r="DM7" s="47" t="str">
        <f t="shared" si="5"/>
        <v>CA Reviewed All Post-Tender Documents</v>
      </c>
      <c r="DN7" s="47" t="str">
        <f t="shared" si="5"/>
        <v>Site Ownership Status</v>
      </c>
      <c r="DO7" s="47" t="str">
        <f t="shared" si="5"/>
        <v>Site Purchase Date</v>
      </c>
      <c r="DP7" s="47" t="str">
        <f t="shared" si="5"/>
        <v xml:space="preserve">Design Status </v>
      </c>
      <c r="DQ7" s="47" t="str">
        <f t="shared" si="5"/>
        <v>Space Template Approval Date</v>
      </c>
      <c r="DR7" s="47" t="str">
        <f t="shared" si="5"/>
        <v xml:space="preserve">Child Care Floorplan Approval Date </v>
      </c>
      <c r="DS7" s="47" t="str">
        <f t="shared" si="6"/>
        <v>Initial Site Plan Submission Date</v>
      </c>
      <c r="DT7" s="47" t="str">
        <f t="shared" si="6"/>
        <v>Site Plan Approval Date</v>
      </c>
      <c r="DU7" s="47" t="str">
        <f t="shared" si="6"/>
        <v>Site Plan Approval Date Error Explanation</v>
      </c>
      <c r="DV7" s="47" t="str">
        <f t="shared" si="6"/>
        <v>Build Permit Obtained Date</v>
      </c>
      <c r="DW7" s="47" t="str">
        <f t="shared" si="6"/>
        <v>Build Permit Obtained Date Error Explanation</v>
      </c>
      <c r="DX7" s="47" t="str">
        <f t="shared" si="6"/>
        <v xml:space="preserve">Tender Issued Date </v>
      </c>
      <c r="DY7" s="47" t="str">
        <f t="shared" si="6"/>
        <v>Tender Closed Date</v>
      </c>
      <c r="DZ7" s="47" t="str">
        <f t="shared" si="6"/>
        <v>Contract Awarded Date</v>
      </c>
      <c r="EA7" s="47" t="str">
        <f t="shared" si="6"/>
        <v>Construction Start Date</v>
      </c>
      <c r="EB7" s="47" t="str">
        <f t="shared" si="6"/>
        <v>Construction Start Date Error Explanation</v>
      </c>
      <c r="EC7" s="47" t="str">
        <f t="shared" si="7"/>
        <v>Substantial Completion Date</v>
      </c>
      <c r="ED7" s="47" t="str">
        <f t="shared" si="7"/>
        <v>Substantial Completion Date Error Explanation</v>
      </c>
      <c r="EE7" s="47" t="str">
        <f t="shared" si="7"/>
        <v xml:space="preserve">School Opening Date </v>
      </c>
      <c r="EF7" s="47" t="str">
        <f t="shared" si="7"/>
        <v>School Opening Date  Error Explanation</v>
      </c>
      <c r="EG7" s="47" t="str">
        <f t="shared" si="7"/>
        <v>Child Care Opening Date</v>
      </c>
      <c r="EH7" s="47" t="str">
        <f t="shared" si="7"/>
        <v>Child Care Opening Date Error Explanation</v>
      </c>
      <c r="EI7" s="47" t="str">
        <f t="shared" si="7"/>
        <v>Financial Close-Out Date</v>
      </c>
      <c r="EJ7" s="47" t="str">
        <f t="shared" si="7"/>
        <v>Funding - All Associated Projects</v>
      </c>
      <c r="EK7" s="47" t="str">
        <f t="shared" si="7"/>
        <v>Funding - Construction Project</v>
      </c>
      <c r="EL7" s="47" t="str">
        <f t="shared" si="7"/>
        <v>Funding - Site Acquisition</v>
      </c>
      <c r="EM7" s="47" t="str">
        <f t="shared" si="8"/>
        <v>Funding - Demolition</v>
      </c>
      <c r="EN7" s="47" t="str">
        <f t="shared" si="8"/>
        <v>Funding - All Other Associated Projects</v>
      </c>
      <c r="EO7" s="47" t="str">
        <f t="shared" si="8"/>
        <v xml:space="preserve">Basis of Cost Estimate </v>
      </c>
      <c r="EP7" s="47" t="str">
        <f t="shared" si="8"/>
        <v>Estimated Cost - Construction Project</v>
      </c>
      <c r="EQ7" s="47" t="str">
        <f t="shared" si="8"/>
        <v>Estimated Cost - Land</v>
      </c>
      <c r="ER7" s="47" t="str">
        <f t="shared" si="8"/>
        <v>Estimated Cost - Demolition</v>
      </c>
      <c r="ES7" s="47" t="str">
        <f t="shared" si="8"/>
        <v>Estimated Cost - All Other Associated Projects</v>
      </c>
      <c r="ET7" s="88"/>
      <c r="EU7" s="88"/>
      <c r="EV7" s="88"/>
      <c r="EW7" s="88"/>
      <c r="EX7" s="88"/>
      <c r="EY7" s="88"/>
      <c r="EZ7" s="88"/>
      <c r="FA7" s="88"/>
      <c r="FB7" s="88"/>
      <c r="FC7" s="88"/>
      <c r="FD7" s="88"/>
      <c r="FE7" s="88"/>
      <c r="FF7" s="88"/>
      <c r="FG7" s="88"/>
      <c r="FH7" s="88"/>
      <c r="FI7" s="88"/>
      <c r="FJ7" s="88"/>
      <c r="FK7" s="88"/>
      <c r="FL7" s="88"/>
      <c r="FM7" s="88"/>
      <c r="FN7" s="88"/>
      <c r="FO7" s="88"/>
      <c r="FP7" s="88"/>
      <c r="FQ7" s="88"/>
      <c r="FR7" s="88"/>
      <c r="FS7" s="88"/>
      <c r="FT7" s="88"/>
      <c r="FU7" s="88"/>
      <c r="FV7" s="88"/>
      <c r="FW7" s="88"/>
      <c r="FX7" s="88"/>
      <c r="FY7" s="88"/>
    </row>
    <row r="8" spans="1:512" ht="62.25" hidden="1" customHeight="1" x14ac:dyDescent="0.25">
      <c r="A8" s="27" t="s">
        <v>3</v>
      </c>
      <c r="B8" s="28" t="s">
        <v>4</v>
      </c>
      <c r="C8" s="3"/>
      <c r="D8" s="28" t="s">
        <v>105</v>
      </c>
      <c r="E8" s="29" t="s">
        <v>106</v>
      </c>
      <c r="F8" s="29"/>
      <c r="G8" s="29"/>
      <c r="H8" s="119"/>
      <c r="I8" s="26"/>
      <c r="J8" s="105"/>
      <c r="K8" s="105"/>
      <c r="L8" s="26"/>
      <c r="M8" s="112"/>
      <c r="N8" s="105"/>
      <c r="O8" s="105"/>
      <c r="P8" s="119"/>
      <c r="Q8" s="26"/>
      <c r="R8" s="26"/>
      <c r="S8" s="26"/>
      <c r="T8" s="112"/>
      <c r="U8" s="31"/>
      <c r="V8" s="26"/>
      <c r="W8" s="26"/>
      <c r="X8" s="26"/>
      <c r="Y8" s="26"/>
      <c r="Z8" s="26"/>
      <c r="AA8" s="34"/>
      <c r="AB8" s="119"/>
      <c r="AC8" s="26"/>
      <c r="AD8" s="26"/>
      <c r="AE8" s="26"/>
      <c r="AF8" s="112"/>
      <c r="AG8" s="119"/>
      <c r="AH8" s="26"/>
      <c r="AI8" s="26"/>
      <c r="AJ8" s="26"/>
      <c r="AK8" s="112"/>
      <c r="AL8" s="119"/>
      <c r="AM8" s="26"/>
      <c r="AN8" s="26" t="s">
        <v>107</v>
      </c>
      <c r="AO8" s="26" t="s">
        <v>108</v>
      </c>
      <c r="AP8" s="112" t="s">
        <v>109</v>
      </c>
      <c r="AQ8" s="136" t="s">
        <v>110</v>
      </c>
      <c r="AR8" s="30"/>
      <c r="AS8" s="30"/>
      <c r="AT8" s="30"/>
      <c r="AU8" s="30" t="s">
        <v>111</v>
      </c>
      <c r="AV8" s="3"/>
      <c r="AW8" s="3"/>
      <c r="AX8" s="3"/>
      <c r="AY8" s="3"/>
      <c r="AZ8" s="3"/>
      <c r="BA8" s="3"/>
      <c r="BB8" s="3"/>
      <c r="BC8" s="81"/>
      <c r="BD8" s="143"/>
      <c r="BE8" s="3"/>
      <c r="BF8" s="3"/>
      <c r="BG8" s="3"/>
      <c r="BH8" s="3"/>
      <c r="BI8" s="3"/>
      <c r="BJ8" s="3"/>
      <c r="BK8" s="3"/>
      <c r="BL8" s="3"/>
      <c r="BM8" s="3"/>
      <c r="BN8" s="3"/>
      <c r="BO8" s="3"/>
      <c r="BP8" s="3"/>
      <c r="BQ8" s="3"/>
      <c r="BR8" s="3"/>
      <c r="BS8" s="3"/>
      <c r="BT8" s="3"/>
      <c r="BU8" s="3"/>
      <c r="BV8" s="3"/>
      <c r="BW8" s="3"/>
      <c r="BX8" s="3"/>
      <c r="BY8" s="3"/>
      <c r="BZ8" s="3"/>
      <c r="CA8" s="81"/>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row>
    <row r="9" spans="1:512" ht="5.25" customHeight="1" x14ac:dyDescent="0.25">
      <c r="A9" s="11"/>
      <c r="B9" s="12"/>
      <c r="C9" s="10"/>
      <c r="D9" s="12"/>
      <c r="E9" s="13"/>
      <c r="F9" s="17"/>
      <c r="G9" s="128"/>
      <c r="H9" s="124"/>
      <c r="I9" s="14"/>
      <c r="J9" s="17"/>
      <c r="K9" s="17"/>
      <c r="L9" s="14"/>
      <c r="M9" s="113"/>
      <c r="N9" s="17"/>
      <c r="O9" s="128"/>
      <c r="P9" s="124"/>
      <c r="Q9" s="14"/>
      <c r="R9" s="14"/>
      <c r="S9" s="14"/>
      <c r="T9" s="113"/>
      <c r="U9" s="12"/>
      <c r="V9" s="14"/>
      <c r="W9" s="14"/>
      <c r="X9" s="14"/>
      <c r="Y9" s="14"/>
      <c r="Z9" s="14"/>
      <c r="AA9" s="14"/>
      <c r="AB9" s="120"/>
      <c r="AC9" s="14"/>
      <c r="AD9" s="14"/>
      <c r="AE9" s="14"/>
      <c r="AF9" s="113"/>
      <c r="AG9" s="124"/>
      <c r="AH9" s="14"/>
      <c r="AI9" s="14"/>
      <c r="AJ9" s="14"/>
      <c r="AK9" s="113"/>
      <c r="AL9" s="124"/>
      <c r="AM9" s="14"/>
      <c r="AN9" s="14"/>
      <c r="AO9" s="14"/>
      <c r="AP9" s="113"/>
      <c r="AQ9" s="131"/>
      <c r="AR9" s="16"/>
      <c r="AS9" s="16"/>
      <c r="AT9" s="16"/>
      <c r="AU9" s="16"/>
      <c r="AV9" s="10"/>
      <c r="AW9" s="10"/>
      <c r="AX9" s="10"/>
      <c r="AY9" s="10"/>
      <c r="AZ9" s="10"/>
      <c r="BA9" s="10"/>
      <c r="BB9" s="10"/>
      <c r="BC9" s="82"/>
      <c r="BD9" s="144"/>
      <c r="BE9" s="10"/>
      <c r="BF9" s="10"/>
      <c r="BG9" s="10"/>
      <c r="BH9" s="10"/>
      <c r="BI9" s="10"/>
      <c r="BJ9" s="10"/>
      <c r="BK9" s="10"/>
      <c r="BL9" s="10"/>
      <c r="BM9" s="10"/>
      <c r="BN9" s="10"/>
      <c r="BO9" s="10"/>
      <c r="BP9" s="10"/>
      <c r="BQ9" s="10"/>
      <c r="BR9" s="10"/>
      <c r="BS9" s="10"/>
      <c r="BT9" s="10"/>
      <c r="BU9" s="10"/>
      <c r="BV9" s="10"/>
      <c r="BW9" s="10"/>
      <c r="BX9" s="10"/>
      <c r="BY9" s="10"/>
      <c r="BZ9" s="10"/>
      <c r="CA9" s="82"/>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row>
    <row r="10" spans="1:512" ht="15.6" customHeight="1" x14ac:dyDescent="0.25">
      <c r="A10" s="58" t="s">
        <v>451</v>
      </c>
      <c r="B10" s="90" t="s">
        <v>452</v>
      </c>
      <c r="C10" s="76" t="s">
        <v>615</v>
      </c>
      <c r="D10" s="51" t="s">
        <v>453</v>
      </c>
      <c r="E10" s="51" t="s">
        <v>194</v>
      </c>
      <c r="F10" s="59" t="s">
        <v>124</v>
      </c>
      <c r="G10" s="129" t="str">
        <f t="shared" ref="G10:G27" si="9">_xlfn.IFS($C$3&gt;AK10, "Complete", $C$3&gt;AG10, "Open", $C$3&gt;AC10, "Under Construction", TRUE, "Planning")</f>
        <v>Planning</v>
      </c>
      <c r="H10" s="197">
        <v>46418</v>
      </c>
      <c r="I10" s="99" t="s">
        <v>308</v>
      </c>
      <c r="J10" s="157" t="s">
        <v>545</v>
      </c>
      <c r="K10" s="194" t="s">
        <v>545</v>
      </c>
      <c r="L10" s="198">
        <v>46568</v>
      </c>
      <c r="M10" s="114" t="s">
        <v>308</v>
      </c>
      <c r="N10" s="51" t="s">
        <v>545</v>
      </c>
      <c r="O10" s="195" t="s">
        <v>545</v>
      </c>
      <c r="P10" s="135" t="s">
        <v>112</v>
      </c>
      <c r="Q10" s="198">
        <v>41456</v>
      </c>
      <c r="R10" s="59" t="s">
        <v>120</v>
      </c>
      <c r="S10" s="198">
        <v>43536</v>
      </c>
      <c r="T10" s="199" t="s">
        <v>450</v>
      </c>
      <c r="U10" s="200" t="s">
        <v>450</v>
      </c>
      <c r="V10" s="198">
        <v>45596</v>
      </c>
      <c r="W10" s="99" t="s">
        <v>450</v>
      </c>
      <c r="X10" s="198">
        <v>46428</v>
      </c>
      <c r="Y10" s="99" t="s">
        <v>450</v>
      </c>
      <c r="Z10" s="198">
        <v>46428</v>
      </c>
      <c r="AA10" s="198">
        <v>46456</v>
      </c>
      <c r="AB10" s="197">
        <v>46583</v>
      </c>
      <c r="AC10" s="198">
        <v>46600</v>
      </c>
      <c r="AD10" s="99" t="s">
        <v>450</v>
      </c>
      <c r="AE10" s="198">
        <v>47611</v>
      </c>
      <c r="AF10" s="114" t="s">
        <v>450</v>
      </c>
      <c r="AG10" s="197">
        <v>47731</v>
      </c>
      <c r="AH10" s="99" t="s">
        <v>450</v>
      </c>
      <c r="AI10" s="198" t="s">
        <v>450</v>
      </c>
      <c r="AJ10" s="99" t="s">
        <v>450</v>
      </c>
      <c r="AK10" s="199">
        <v>48096</v>
      </c>
      <c r="AL10" s="152">
        <f t="shared" ref="AL10:AL27" si="10">SUM(AM10:AP10)</f>
        <v>96240494</v>
      </c>
      <c r="AM10" s="153">
        <v>73057674</v>
      </c>
      <c r="AN10" s="153">
        <v>17452257</v>
      </c>
      <c r="AO10" s="153">
        <v>5730563</v>
      </c>
      <c r="AP10" s="154" t="s">
        <v>450</v>
      </c>
      <c r="AQ10" s="137" t="s">
        <v>449</v>
      </c>
      <c r="AR10" s="91" t="s">
        <v>450</v>
      </c>
      <c r="AS10" s="91" t="s">
        <v>450</v>
      </c>
      <c r="AT10" s="91" t="s">
        <v>450</v>
      </c>
      <c r="AU10" s="91" t="s">
        <v>450</v>
      </c>
      <c r="AV10" s="59" t="s">
        <v>450</v>
      </c>
      <c r="AW10" s="59" t="s">
        <v>450</v>
      </c>
      <c r="AX10" s="59" t="s">
        <v>450</v>
      </c>
      <c r="AY10" s="59" t="s">
        <v>450</v>
      </c>
      <c r="AZ10" s="59" t="s">
        <v>450</v>
      </c>
      <c r="BA10" s="59" t="s">
        <v>450</v>
      </c>
      <c r="BB10" s="59" t="s">
        <v>450</v>
      </c>
      <c r="BC10" s="139" t="s">
        <v>450</v>
      </c>
      <c r="BD10" s="141" t="s">
        <v>546</v>
      </c>
      <c r="BE10" s="100" t="s">
        <v>547</v>
      </c>
      <c r="BF10" s="100" t="s">
        <v>547</v>
      </c>
      <c r="BG10" s="100" t="s">
        <v>548</v>
      </c>
      <c r="BH10" s="100" t="s">
        <v>450</v>
      </c>
      <c r="BI10" s="100" t="s">
        <v>450</v>
      </c>
      <c r="BJ10" s="100" t="s">
        <v>450</v>
      </c>
      <c r="BK10" s="100" t="s">
        <v>450</v>
      </c>
      <c r="BL10" s="100" t="s">
        <v>450</v>
      </c>
      <c r="BM10" s="100" t="s">
        <v>450</v>
      </c>
      <c r="BN10" s="100" t="s">
        <v>450</v>
      </c>
      <c r="BO10" s="100" t="s">
        <v>450</v>
      </c>
      <c r="BP10" s="100" t="s">
        <v>450</v>
      </c>
      <c r="BQ10" s="100" t="s">
        <v>450</v>
      </c>
      <c r="BR10" s="100" t="s">
        <v>450</v>
      </c>
      <c r="BS10" s="100" t="s">
        <v>450</v>
      </c>
      <c r="BT10" s="100" t="s">
        <v>450</v>
      </c>
      <c r="BU10" s="100" t="s">
        <v>450</v>
      </c>
      <c r="BV10" s="100" t="s">
        <v>450</v>
      </c>
      <c r="BW10" s="100" t="s">
        <v>450</v>
      </c>
      <c r="BX10" s="100" t="s">
        <v>450</v>
      </c>
      <c r="BY10" s="100" t="s">
        <v>450</v>
      </c>
      <c r="BZ10" s="100" t="s">
        <v>450</v>
      </c>
      <c r="CA10" s="101" t="s">
        <v>450</v>
      </c>
      <c r="CD10" s="78">
        <f t="shared" ref="CD10:CD27" si="11">IF(AND(Q10="", A10&lt;&gt;"", P10&lt;&gt;"Site Purchased Prior to Capital Approval"), 1, 0)</f>
        <v>0</v>
      </c>
      <c r="CE10" s="85">
        <v>0</v>
      </c>
      <c r="CF10" s="85">
        <f>_xlfn.XLOOKUP($A10, 'Project Commitment'!$A:$A, 'Project Commitment'!M:M, "")</f>
        <v>0</v>
      </c>
      <c r="CG10" s="85">
        <f>_xlfn.XLOOKUP($A10, 'Project Commitment'!$A:$A, 'Project Commitment'!N:N, "")</f>
        <v>0</v>
      </c>
      <c r="CH10" s="85">
        <f>_xlfn.XLOOKUP($A10, 'Project Commitment'!$A:$A, 'Project Commitment'!O:O, "")</f>
        <v>0</v>
      </c>
      <c r="CI10" s="85">
        <f>_xlfn.XLOOKUP($A10, 'Project Commitment'!$A:$A, 'Project Commitment'!P:P, "")</f>
        <v>0</v>
      </c>
      <c r="CJ10" s="85">
        <f>_xlfn.XLOOKUP($A10, 'Project Commitment'!$A:$A, 'Project Commitment'!Q:Q, "")</f>
        <v>0</v>
      </c>
      <c r="CK10" s="85">
        <f>_xlfn.XLOOKUP($A10, 'Project Commitment'!$A:$A, 'Project Commitment'!R:R, "")</f>
        <v>0</v>
      </c>
      <c r="CL10" s="85" t="e">
        <f>_xlfn.XLOOKUP($A10, 'Project Commitment'!$A:$A, 'Project Commitment'!S:S, "")</f>
        <v>#VALUE!</v>
      </c>
      <c r="CM10" s="85">
        <f>_xlfn.XLOOKUP($A10, 'Project Commitment'!$A:$A, 'Project Commitment'!T:T, "")</f>
        <v>0</v>
      </c>
      <c r="CN10" s="85" t="e">
        <f>_xlfn.XLOOKUP($A10, 'Project Commitment'!$A:$A, 'Project Commitment'!U:U, "")</f>
        <v>#VALUE!</v>
      </c>
      <c r="CO10" s="85" t="e">
        <f>_xlfn.XLOOKUP($A10, 'Project Commitment'!$A:$A, 'Project Commitment'!V:V, "")</f>
        <v>#VALUE!</v>
      </c>
      <c r="CP10" s="85">
        <f>_xlfn.XLOOKUP($A10, 'Project Commitment'!$A:$A, 'Project Commitment'!W:W, "")</f>
        <v>0</v>
      </c>
      <c r="CQ10" s="85">
        <f>_xlfn.XLOOKUP($A10, 'Project Commitment'!$A:$A, 'Project Commitment'!X:X, "")</f>
        <v>-942</v>
      </c>
      <c r="CR10" s="85" t="e">
        <f>_xlfn.XLOOKUP($A10, 'Project Commitment'!$A:$A, 'Project Commitment'!Y:Y, "")</f>
        <v>#VALUE!</v>
      </c>
      <c r="CS10" s="85">
        <f>_xlfn.XLOOKUP($A10, 'Project Commitment'!$A:$A, 'Project Commitment'!Z:Z, "")</f>
        <v>-1100</v>
      </c>
      <c r="CT10" s="85">
        <f>_xlfn.XLOOKUP($A10, 'Project Commitment'!$A:$A, 'Project Commitment'!AA:AA, "")</f>
        <v>0</v>
      </c>
      <c r="CU10" s="85" t="e">
        <f>_xlfn.XLOOKUP($A10, 'Project Commitment'!$A:$A, 'Project Commitment'!AB:AB, "")</f>
        <v>#VALUE!</v>
      </c>
      <c r="DA10" s="85" t="str">
        <f t="shared" ref="DA10:DA27" si="12">IF(C10="", "Meeting Minutes cannot be blank", "")</f>
        <v/>
      </c>
      <c r="DF10" s="85" t="str">
        <f t="shared" ref="DF10:DF27" si="13">_xlfn.IFS(AND(J10="Not Applicable", H10&lt;&gt;""), "No date is needed if Column 10 is Not Applicable",J10= "Not Applicable", "", H10="",DF$7&amp;" cannot be blank", $AC10="", "", H10&gt;$AC10, DF$7&amp;" must preceed construction start date.", TRUE, "")</f>
        <v/>
      </c>
      <c r="DG10" s="85" t="str">
        <f t="shared" ref="DG10:DG27" ca="1" si="14">_xlfn.IFS(I10="", DG$7&amp;" cannot be left blank.",H10="", "", AND( H10 &lt; TODAY(), I10="Not Yet Known"), "After the submission date, the pre-tender package type must be selected.", TRUE, "")</f>
        <v/>
      </c>
      <c r="DI10" s="85" t="str">
        <f t="shared" ref="DI10:DI27" si="15">EW10</f>
        <v/>
      </c>
      <c r="DJ10" s="85" t="str">
        <f t="shared" ref="DJ10:DJ27" si="16">_xlfn.IFS(AND(N10="Not Applicable", L10&lt;&gt;""), "No date is needed if Column 14 is Not Applicable",N10= "Not Applicable", "", L10="",DJ$7&amp;" cannot be blank", $AC10="", "", L10&gt;$AC10, DJ$7&amp;" must preceed construction start date.", TRUE, "")</f>
        <v/>
      </c>
      <c r="DK10" s="85" t="str">
        <f t="shared" ref="DK10:DK27" ca="1" si="17">_xlfn.IFS(M10="", DK$7&amp;" cannot be left blank.",L10="", "", AND( L10 &lt; TODAY(), M10="Not Yet Known"), "After the submission date, the pre-tender package type must be selected.", TRUE, "")</f>
        <v/>
      </c>
      <c r="DM10" s="85" t="str">
        <f t="shared" ref="DM10:DM27" si="18">FA10</f>
        <v/>
      </c>
      <c r="DN10" s="85" t="str">
        <f t="shared" ref="DN10:DN27" ca="1" si="19">FE10</f>
        <v/>
      </c>
      <c r="DO10" s="85" t="str">
        <f t="shared" ref="DO10:DO27" ca="1" si="20">FI10</f>
        <v/>
      </c>
      <c r="DP10" s="85" t="str">
        <f t="shared" ref="DP10:DP27" si="21">IF(R10="", DP$7&amp;" cannot be blank", "")</f>
        <v/>
      </c>
      <c r="DQ10" s="85" t="str">
        <f t="shared" ref="DQ10:DQ27" ca="1" si="22">_xlfn.IFS(S10="",DQ$7&amp;" cannot be blank",AND(J10&lt;&gt;"Not yet submitted/reviewed",S10&gt;TODAY()),DQ$7&amp;" cannot be in the future if project is ready for a pre-tender package.",TRUE,"")</f>
        <v/>
      </c>
      <c r="DR10" s="85" t="str">
        <f t="shared" ref="DR10:DR27" ca="1" si="23">_xlfn.IFS(CE10=0, "", T10="",DR$7&amp;" cannot be blank if project includes child care.", AND(J10="Not Applicable",T10&gt;TODAY()), "Projects under construction must have a "&amp;DR$7, J10="Not Applicable", "", T10&lt;I10, T6&amp;" must preceed pre-tender package submission date",TRUE, "")</f>
        <v/>
      </c>
      <c r="DS10" s="85" t="str">
        <f t="shared" ref="DS10:DS27" si="24">_xlfn.IFS(U10="",DS$7&amp;" cannot be blank", $AC10="", "", U10&gt;$AC10, DS$7&amp;" must preceed construction start date.", TRUE, "")</f>
        <v>Initial Site Plan Submission Date cannot be blank</v>
      </c>
      <c r="DT10" s="85" t="str">
        <f t="shared" ref="DT10:DT27" si="25">_xlfn.IFS(W10&lt;&gt;"", "", V10="",DT$7&amp;" cannot be blank", $AC10="", "", V10&gt;$AC10, DT$7&amp;" must preceed construction start date.", TRUE, "")</f>
        <v/>
      </c>
      <c r="DV10" s="85" t="str">
        <f t="shared" ref="DV10:DV27" si="26">_xlfn.IFS(Y10&lt;&gt;"", "", X10="",DV$7&amp;" cannot be blank", $AC10="", "", X10&gt;$AC10, DV$7&amp;" must preceed construction start date.", TRUE, "")</f>
        <v/>
      </c>
      <c r="DX10" s="85" t="str">
        <f t="shared" ref="DX10:DX27" si="27">_xlfn.IFS(Z10="",DX$7&amp;" cannot be blank", $AC10="", "", Z10&gt;$AC10, DX$7&amp;" must preceed construction start date.", TRUE, "")</f>
        <v/>
      </c>
      <c r="DY10" s="85" t="str">
        <f t="shared" ref="DY10:DY27" si="28">_xlfn.IFS(AA10="",DY$7&amp;" cannot be blank", $AC10="", "", AA10&gt;$AC10, DY$7&amp;" must preceed construction start date.", TRUE, "")</f>
        <v/>
      </c>
      <c r="DZ10" s="85" t="str">
        <f t="shared" ref="DZ10:DZ27" si="29">_xlfn.IFS(AB10="",DZ$7&amp;" cannot be blank", $AC10="", "", AB10&gt;$AC10, DZ$7&amp;" must preceed construction start date.", TRUE, "")</f>
        <v/>
      </c>
      <c r="EA10" s="85" t="str">
        <f t="shared" ref="EA10:EA27" si="30">_xlfn.IFS(AD10&lt;&gt;"", "", AC10="",EA$7&amp;" cannot be blank", $AG10="", "", AC10&gt;EDATE($AG10,-12), EA$7&amp;" must preceed school opening date by more than 12 months.", TRUE, "")</f>
        <v/>
      </c>
      <c r="EC10" s="85" t="str">
        <f t="shared" ref="EC10:EC27" si="31">_xlfn.IFS(AF10&lt;&gt;"", "", AE10="",EC$7&amp;" cannot be blank", $AG10="", "", AE10&gt;EDATE($AG10,-1), EC$7&amp;" must preceed school opening date by more than one month.", TRUE, "")</f>
        <v/>
      </c>
      <c r="EE10" s="85" t="str">
        <f t="shared" ref="EE10:EE27" si="32">_xlfn.IFS(AK10="", "", AG10="",EE$7&amp;" cannot be blank",AH10&lt;&gt;"", "",  $AG10="", "", AG10&gt;=EDATE($AK10,-11), EE$7&amp;" must preceed financial close date by  at least 12 months.", TRUE, "")</f>
        <v/>
      </c>
      <c r="EG10" s="85" t="str">
        <f t="shared" ref="EG10:EG27" si="33">_xlfn.IFS(CE10=0, "", AI10="",EG$7&amp;" cannot be blank",$AK10="", "",AJ10&lt;&gt;"", "",  AI10&gt;=EDATE($AK10,0), EG$7&amp;" must preceed financial close date.", TRUE, "")</f>
        <v/>
      </c>
      <c r="EI10" s="85" t="str">
        <f t="shared" ref="EI10:EI27" si="34">_xlfn.IFS( AK10="",EI$7&amp;" cannot be blank", TRUE, "")</f>
        <v/>
      </c>
      <c r="EO10" s="85" t="str">
        <f t="shared" ref="EO10:EO27" ca="1" si="35">_xlfn.IFS(AQ10="", "Basis of Cost Estimate cannot be blank", AND(AC10&lt;TODAY(), AQ10&lt;&gt;"Based on Tender Results"), "Contract awarded date suggests estimate should be based on tender results", AND(H10&lt;TODAY(), AQ10&lt;&gt;"Based on Class A or B Cost Report"), "If project has already come in for a pre-tender budget, they must have a class A or B cost estimate.", TRUE, "")</f>
        <v/>
      </c>
      <c r="EP10" s="85" t="str">
        <f t="shared" ref="EP10:EP27" si="36">_xlfn.IFS(OR(AM10=0, AM10=""), "", AR10="", EP$7&amp;" cannot be blank.", TRUE, "")</f>
        <v>Estimated Cost - Construction Project cannot be blank.</v>
      </c>
      <c r="EQ10" s="85" t="str">
        <f t="shared" ref="EQ10:EQ27" si="37">_xlfn.IFS(OR(AN10=0, AN10=""), "", AS10="", EQ$7&amp;" cannot be blank.", TRUE, "")</f>
        <v>Estimated Cost - Land cannot be blank.</v>
      </c>
      <c r="ER10" s="85" t="str">
        <f t="shared" ref="ER10:ER27" si="38">_xlfn.IFS(OR(AO10=0, AO10=""), "", AT10="", ER$7&amp;" cannot be blank.", TRUE, "")</f>
        <v>Estimated Cost - Demolition cannot be blank.</v>
      </c>
      <c r="ES10" s="85" t="str">
        <f t="shared" ref="ES10:ES27" si="39">_xlfn.IFS(OR(AP10=0, AP10=""), "", AU10="", ES$7&amp;" cannot be blank.", TRUE, "")</f>
        <v/>
      </c>
      <c r="EW10" s="85" t="str">
        <f t="shared" ref="EW10:EW27" si="40">_xlfn.IFS(EX10&lt;&gt;"", EX10, EY10&lt;&gt;"", EY10, EZ10&lt;&gt;"", EZ10, TRUE, "")</f>
        <v/>
      </c>
      <c r="EX10" s="85" t="str">
        <f t="shared" ref="EX10:EX27" si="41">IF(J10="MISSING", "This package is missing!", "")</f>
        <v/>
      </c>
      <c r="EY10" s="85" t="str">
        <f t="shared" ref="EY10:EY27" si="42">IF(K10="", "Confirm you reviewed the pretender checkin documents", "")</f>
        <v/>
      </c>
      <c r="EZ10" s="85" t="str">
        <f t="shared" ref="EZ10:EZ27" si="43">IF(AND(K10="Not yet submitted/reviewed", J10&lt;&gt;"Not yet submitted/reviewed"), "Pretender package submitted; col 9 cann't indicate otherwise.", "")</f>
        <v/>
      </c>
      <c r="FA10" s="85" t="str">
        <f t="shared" ref="FA10:FA27" si="44">_xlfn.IFS(FB10&lt;&gt;"", FB10, FC10&lt;&gt;"", FC10, FD10&lt;&gt;"", FD10, TRUE, "")</f>
        <v/>
      </c>
      <c r="FB10" s="85" t="str">
        <f t="shared" ref="FB10:FB27" si="45">IF(N10="MISSING", "The post tender package is missing!", "")</f>
        <v/>
      </c>
      <c r="FC10" s="85" t="str">
        <f t="shared" ref="FC10:FC27" si="46">IF(O10="", "Confirm you reviewed the post tender check-in documents", "")</f>
        <v/>
      </c>
      <c r="FD10" s="85" t="str">
        <f t="shared" ref="FD10:FD27" si="47">IF(AND(O10="Not yet submitted/reviewed", N10&lt;&gt;"Not yet submitted/reviewed"), "Post-tender package submitted; col 9 cann't indicate otherwise.", "")</f>
        <v/>
      </c>
      <c r="FE10" s="85" t="str">
        <f t="shared" ref="FE10:FE27" ca="1" si="48">_xlfn.IFS(FF10&lt;&gt;"", FF10, FG10&lt;&gt;"", FG10, TRUE, FH10)</f>
        <v/>
      </c>
      <c r="FF10" s="85" t="str">
        <f t="shared" ref="FF10:FF27" si="49">IF(P10&lt;&gt;"", "", "Site Ownership Status cannot be blank")</f>
        <v/>
      </c>
      <c r="FG10" s="85" t="str">
        <f t="shared" ref="FG10:FG27" ca="1" si="50">_xlfn.IFS(AND(Q10="", OR(P10="Site Purchased Prior to Capital Approval", P10="Site Purchased")), "", AND(OR(P10="Site Purchased Prior to Capital Approval", P10="Site Purchased"), Q10&gt;TODAY()), "Site purchase date is in the future, but site ownership status indicates site is already purchaseed", TRUE, "")</f>
        <v/>
      </c>
      <c r="FH10" s="85" t="str">
        <f t="shared" ref="FH10:FH27" ca="1" si="51">IF(AND(AND(P10&lt;&gt;"Site Purchased Prior to Capital Approval", P10&lt;&gt;"Site Purchased"), Q10&lt;=TODAY()), "Site purchase date is in the past, but site ownership status indicates site has not yet been purchaseed", "")</f>
        <v/>
      </c>
      <c r="FI10" s="85" t="str">
        <f t="shared" ref="FI10:FI27" ca="1" si="52">_xlfn.IFS(FJ10&lt;&gt;"", FJ10, FK10&lt;&gt;"", FK10, TRUE,FL10 )</f>
        <v/>
      </c>
      <c r="FJ10" s="85" t="str">
        <f t="shared" ref="FJ10:FJ27" si="53">IF(AND(P10&lt;&gt;"Not Applicable",Q10=""),"Site Purchased Date cannot be blank","")</f>
        <v/>
      </c>
      <c r="FK10" s="85" t="str">
        <f t="shared" ref="FK10:FK27" ca="1" si="54">FE10</f>
        <v/>
      </c>
      <c r="FL10" s="85" t="str">
        <f t="shared" ref="FL10:FL27" si="55">_xlfn.IFS(Q10="", "", U10="", "", Q10&gt;U10, "Site Purchase Date must preceed Site Plan Submission.", TRUE, "")</f>
        <v/>
      </c>
    </row>
    <row r="11" spans="1:512" ht="15.6" customHeight="1" x14ac:dyDescent="0.25">
      <c r="A11" s="58" t="s">
        <v>457</v>
      </c>
      <c r="B11" s="90" t="s">
        <v>458</v>
      </c>
      <c r="C11" s="76" t="s">
        <v>616</v>
      </c>
      <c r="D11" s="51" t="s">
        <v>453</v>
      </c>
      <c r="E11" s="51" t="s">
        <v>194</v>
      </c>
      <c r="F11" s="59" t="s">
        <v>124</v>
      </c>
      <c r="G11" s="129" t="str">
        <f t="shared" si="9"/>
        <v>Under Construction</v>
      </c>
      <c r="H11" s="197">
        <v>45140</v>
      </c>
      <c r="I11" s="99" t="s">
        <v>207</v>
      </c>
      <c r="J11" s="157" t="s">
        <v>207</v>
      </c>
      <c r="K11" s="194" t="s">
        <v>207</v>
      </c>
      <c r="L11" s="198">
        <v>45245</v>
      </c>
      <c r="M11" s="114" t="s">
        <v>207</v>
      </c>
      <c r="N11" s="51" t="s">
        <v>207</v>
      </c>
      <c r="O11" s="195" t="s">
        <v>207</v>
      </c>
      <c r="P11" s="135" t="s">
        <v>207</v>
      </c>
      <c r="Q11" s="198" t="s">
        <v>450</v>
      </c>
      <c r="R11" s="59" t="s">
        <v>120</v>
      </c>
      <c r="S11" s="198">
        <v>43692</v>
      </c>
      <c r="T11" s="199" t="s">
        <v>450</v>
      </c>
      <c r="U11" s="200" t="s">
        <v>450</v>
      </c>
      <c r="V11" s="198">
        <v>45531</v>
      </c>
      <c r="W11" s="99" t="s">
        <v>450</v>
      </c>
      <c r="X11" s="198">
        <v>45531</v>
      </c>
      <c r="Y11" s="99" t="s">
        <v>450</v>
      </c>
      <c r="Z11" s="198">
        <v>45214</v>
      </c>
      <c r="AA11" s="198">
        <v>45245</v>
      </c>
      <c r="AB11" s="197">
        <v>45267</v>
      </c>
      <c r="AC11" s="198">
        <v>45338</v>
      </c>
      <c r="AD11" s="99" t="s">
        <v>450</v>
      </c>
      <c r="AE11" s="198">
        <v>46203</v>
      </c>
      <c r="AF11" s="114" t="s">
        <v>450</v>
      </c>
      <c r="AG11" s="197">
        <v>46273</v>
      </c>
      <c r="AH11" s="99" t="s">
        <v>450</v>
      </c>
      <c r="AI11" s="198" t="s">
        <v>450</v>
      </c>
      <c r="AJ11" s="99" t="s">
        <v>450</v>
      </c>
      <c r="AK11" s="199">
        <v>46688</v>
      </c>
      <c r="AL11" s="152">
        <f t="shared" si="10"/>
        <v>62436028</v>
      </c>
      <c r="AM11" s="153">
        <v>60656214</v>
      </c>
      <c r="AN11" s="153" t="s">
        <v>450</v>
      </c>
      <c r="AO11" s="153">
        <v>1779814</v>
      </c>
      <c r="AP11" s="154" t="s">
        <v>450</v>
      </c>
      <c r="AQ11" s="137" t="s">
        <v>449</v>
      </c>
      <c r="AR11" s="91" t="s">
        <v>450</v>
      </c>
      <c r="AS11" s="91" t="s">
        <v>450</v>
      </c>
      <c r="AT11" s="91" t="s">
        <v>450</v>
      </c>
      <c r="AU11" s="91" t="s">
        <v>450</v>
      </c>
      <c r="AV11" s="59" t="s">
        <v>450</v>
      </c>
      <c r="AW11" s="59" t="s">
        <v>450</v>
      </c>
      <c r="AX11" s="59" t="s">
        <v>450</v>
      </c>
      <c r="AY11" s="59" t="s">
        <v>450</v>
      </c>
      <c r="AZ11" s="59" t="s">
        <v>450</v>
      </c>
      <c r="BA11" s="59" t="s">
        <v>450</v>
      </c>
      <c r="BB11" s="59" t="s">
        <v>450</v>
      </c>
      <c r="BC11" s="139" t="s">
        <v>450</v>
      </c>
      <c r="BD11" s="141" t="s">
        <v>549</v>
      </c>
      <c r="BE11" s="100" t="s">
        <v>550</v>
      </c>
      <c r="BF11" s="100" t="s">
        <v>551</v>
      </c>
      <c r="BG11" s="100" t="s">
        <v>552</v>
      </c>
      <c r="BH11" s="100" t="s">
        <v>450</v>
      </c>
      <c r="BI11" s="100" t="s">
        <v>450</v>
      </c>
      <c r="BJ11" s="100" t="s">
        <v>450</v>
      </c>
      <c r="BK11" s="100" t="s">
        <v>450</v>
      </c>
      <c r="BL11" s="100" t="s">
        <v>450</v>
      </c>
      <c r="BM11" s="100" t="s">
        <v>450</v>
      </c>
      <c r="BN11" s="100" t="s">
        <v>450</v>
      </c>
      <c r="BO11" s="100" t="s">
        <v>450</v>
      </c>
      <c r="BP11" s="100" t="s">
        <v>450</v>
      </c>
      <c r="BQ11" s="100" t="s">
        <v>450</v>
      </c>
      <c r="BR11" s="100" t="s">
        <v>450</v>
      </c>
      <c r="BS11" s="100" t="s">
        <v>450</v>
      </c>
      <c r="BT11" s="100" t="s">
        <v>450</v>
      </c>
      <c r="BU11" s="100" t="s">
        <v>450</v>
      </c>
      <c r="BV11" s="100" t="s">
        <v>450</v>
      </c>
      <c r="BW11" s="100" t="s">
        <v>450</v>
      </c>
      <c r="BX11" s="100" t="s">
        <v>450</v>
      </c>
      <c r="BY11" s="100" t="s">
        <v>450</v>
      </c>
      <c r="BZ11" s="100" t="s">
        <v>450</v>
      </c>
      <c r="CA11" s="101" t="s">
        <v>450</v>
      </c>
      <c r="CD11" s="78">
        <f t="shared" si="11"/>
        <v>1</v>
      </c>
      <c r="CE11" s="85">
        <v>0</v>
      </c>
      <c r="CF11" s="85">
        <f>_xlfn.XLOOKUP($A11, 'Project Commitment'!$A:$A, 'Project Commitment'!M:M, "")</f>
        <v>0</v>
      </c>
      <c r="CG11" s="85">
        <f>_xlfn.XLOOKUP($A11, 'Project Commitment'!$A:$A, 'Project Commitment'!N:N, "")</f>
        <v>0</v>
      </c>
      <c r="CH11" s="85">
        <f>_xlfn.XLOOKUP($A11, 'Project Commitment'!$A:$A, 'Project Commitment'!O:O, "")</f>
        <v>0</v>
      </c>
      <c r="CI11" s="85">
        <f>_xlfn.XLOOKUP($A11, 'Project Commitment'!$A:$A, 'Project Commitment'!P:P, "")</f>
        <v>0</v>
      </c>
      <c r="CJ11" s="85">
        <f>_xlfn.XLOOKUP($A11, 'Project Commitment'!$A:$A, 'Project Commitment'!Q:Q, "")</f>
        <v>0</v>
      </c>
      <c r="CK11" s="85">
        <f>_xlfn.XLOOKUP($A11, 'Project Commitment'!$A:$A, 'Project Commitment'!R:R, "")</f>
        <v>0</v>
      </c>
      <c r="CL11" s="85" t="e">
        <f>_xlfn.XLOOKUP($A11, 'Project Commitment'!$A:$A, 'Project Commitment'!S:S, "")</f>
        <v>#VALUE!</v>
      </c>
      <c r="CM11" s="85">
        <f>_xlfn.XLOOKUP($A11, 'Project Commitment'!$A:$A, 'Project Commitment'!T:T, "")</f>
        <v>0</v>
      </c>
      <c r="CN11" s="85">
        <f>_xlfn.XLOOKUP($A11, 'Project Commitment'!$A:$A, 'Project Commitment'!U:U, "")</f>
        <v>22</v>
      </c>
      <c r="CO11" s="85" t="e">
        <f>_xlfn.XLOOKUP($A11, 'Project Commitment'!$A:$A, 'Project Commitment'!V:V, "")</f>
        <v>#VALUE!</v>
      </c>
      <c r="CP11" s="85">
        <f>_xlfn.XLOOKUP($A11, 'Project Commitment'!$A:$A, 'Project Commitment'!W:W, "")</f>
        <v>0</v>
      </c>
      <c r="CQ11" s="85">
        <f>_xlfn.XLOOKUP($A11, 'Project Commitment'!$A:$A, 'Project Commitment'!X:X, "")</f>
        <v>0</v>
      </c>
      <c r="CR11" s="85">
        <f>_xlfn.XLOOKUP($A11, 'Project Commitment'!$A:$A, 'Project Commitment'!Y:Y, "")</f>
        <v>0</v>
      </c>
      <c r="CS11" s="85">
        <f>_xlfn.XLOOKUP($A11, 'Project Commitment'!$A:$A, 'Project Commitment'!Z:Z, "")</f>
        <v>0</v>
      </c>
      <c r="CT11" s="85">
        <f>_xlfn.XLOOKUP($A11, 'Project Commitment'!$A:$A, 'Project Commitment'!AA:AA, "")</f>
        <v>0</v>
      </c>
      <c r="CU11" s="85">
        <f>_xlfn.XLOOKUP($A11, 'Project Commitment'!$A:$A, 'Project Commitment'!AB:AB, "")</f>
        <v>-50</v>
      </c>
      <c r="CY11" s="106"/>
      <c r="CZ11" s="106"/>
      <c r="DA11" s="85" t="str">
        <f t="shared" si="12"/>
        <v/>
      </c>
      <c r="DB11" s="106"/>
      <c r="DC11" s="106"/>
      <c r="DD11" s="106"/>
      <c r="DE11" s="106"/>
      <c r="DF11" s="85" t="str">
        <f t="shared" si="13"/>
        <v>No date is needed if Column 10 is Not Applicable</v>
      </c>
      <c r="DG11" s="85" t="str">
        <f t="shared" ca="1" si="14"/>
        <v/>
      </c>
      <c r="DH11" s="106"/>
      <c r="DI11" s="85" t="str">
        <f t="shared" si="15"/>
        <v/>
      </c>
      <c r="DJ11" s="85" t="str">
        <f t="shared" si="16"/>
        <v>No date is needed if Column 14 is Not Applicable</v>
      </c>
      <c r="DK11" s="85" t="str">
        <f t="shared" ca="1" si="17"/>
        <v/>
      </c>
      <c r="DL11" s="106"/>
      <c r="DM11" s="85" t="str">
        <f t="shared" si="18"/>
        <v/>
      </c>
      <c r="DN11" s="85" t="str">
        <f t="shared" ca="1" si="19"/>
        <v/>
      </c>
      <c r="DO11" s="85" t="str">
        <f t="shared" ca="1" si="20"/>
        <v/>
      </c>
      <c r="DP11" s="85" t="str">
        <f t="shared" si="21"/>
        <v/>
      </c>
      <c r="DQ11" s="85" t="str">
        <f t="shared" ca="1" si="22"/>
        <v/>
      </c>
      <c r="DR11" s="85" t="str">
        <f t="shared" ca="1" si="23"/>
        <v/>
      </c>
      <c r="DS11" s="85" t="str">
        <f t="shared" si="24"/>
        <v>Initial Site Plan Submission Date cannot be blank</v>
      </c>
      <c r="DT11" s="85" t="str">
        <f t="shared" si="25"/>
        <v>Site Plan Approval Date must preceed construction start date.</v>
      </c>
      <c r="DU11" s="106"/>
      <c r="DV11" s="85" t="str">
        <f t="shared" si="26"/>
        <v>Build Permit Obtained Date must preceed construction start date.</v>
      </c>
      <c r="DW11" s="106"/>
      <c r="DX11" s="85" t="str">
        <f t="shared" si="27"/>
        <v/>
      </c>
      <c r="DY11" s="85" t="str">
        <f t="shared" si="28"/>
        <v/>
      </c>
      <c r="DZ11" s="85" t="str">
        <f t="shared" si="29"/>
        <v/>
      </c>
      <c r="EA11" s="85" t="str">
        <f t="shared" si="30"/>
        <v/>
      </c>
      <c r="EB11" s="106"/>
      <c r="EC11" s="85" t="str">
        <f t="shared" si="31"/>
        <v/>
      </c>
      <c r="ED11" s="106"/>
      <c r="EE11" s="85" t="str">
        <f t="shared" si="32"/>
        <v/>
      </c>
      <c r="EF11" s="106"/>
      <c r="EG11" s="85" t="str">
        <f t="shared" si="33"/>
        <v/>
      </c>
      <c r="EH11" s="106"/>
      <c r="EI11" s="85" t="str">
        <f t="shared" si="34"/>
        <v/>
      </c>
      <c r="EJ11" s="106"/>
      <c r="EK11" s="106"/>
      <c r="EL11" s="106"/>
      <c r="EM11" s="106"/>
      <c r="EN11" s="106"/>
      <c r="EO11" s="85" t="str">
        <f t="shared" ca="1" si="35"/>
        <v>If project has already come in for a pre-tender budget, they must have a class A or B cost estimate.</v>
      </c>
      <c r="EP11" s="85" t="str">
        <f t="shared" si="36"/>
        <v>Estimated Cost - Construction Project cannot be blank.</v>
      </c>
      <c r="EQ11" s="85" t="str">
        <f t="shared" si="37"/>
        <v/>
      </c>
      <c r="ER11" s="85" t="str">
        <f t="shared" si="38"/>
        <v>Estimated Cost - Demolition cannot be blank.</v>
      </c>
      <c r="ES11" s="85" t="str">
        <f t="shared" si="39"/>
        <v/>
      </c>
      <c r="ET11" s="106"/>
      <c r="EU11" s="106"/>
      <c r="EV11" s="106"/>
      <c r="EW11" s="85" t="str">
        <f t="shared" si="40"/>
        <v/>
      </c>
      <c r="EX11" s="85" t="str">
        <f t="shared" si="41"/>
        <v/>
      </c>
      <c r="EY11" s="85" t="str">
        <f t="shared" si="42"/>
        <v/>
      </c>
      <c r="EZ11" s="85" t="str">
        <f t="shared" si="43"/>
        <v/>
      </c>
      <c r="FA11" s="85" t="str">
        <f t="shared" si="44"/>
        <v/>
      </c>
      <c r="FB11" s="85" t="str">
        <f t="shared" si="45"/>
        <v/>
      </c>
      <c r="FC11" s="85" t="str">
        <f t="shared" si="46"/>
        <v/>
      </c>
      <c r="FD11" s="85" t="str">
        <f t="shared" si="47"/>
        <v/>
      </c>
      <c r="FE11" s="85" t="str">
        <f t="shared" ca="1" si="48"/>
        <v/>
      </c>
      <c r="FF11" s="85" t="str">
        <f t="shared" si="49"/>
        <v/>
      </c>
      <c r="FG11" s="85" t="str">
        <f t="shared" ca="1" si="50"/>
        <v/>
      </c>
      <c r="FH11" s="85" t="str">
        <f t="shared" ca="1" si="51"/>
        <v/>
      </c>
      <c r="FI11" s="85" t="str">
        <f t="shared" ca="1" si="52"/>
        <v/>
      </c>
      <c r="FJ11" s="85" t="str">
        <f t="shared" si="53"/>
        <v/>
      </c>
      <c r="FK11" s="85" t="str">
        <f t="shared" ca="1" si="54"/>
        <v/>
      </c>
      <c r="FL11" s="85" t="str">
        <f t="shared" si="55"/>
        <v/>
      </c>
    </row>
    <row r="12" spans="1:512" ht="15.6" customHeight="1" x14ac:dyDescent="0.25">
      <c r="A12" s="58" t="s">
        <v>462</v>
      </c>
      <c r="B12" s="90" t="s">
        <v>463</v>
      </c>
      <c r="C12" s="76" t="s">
        <v>625</v>
      </c>
      <c r="D12" s="51" t="s">
        <v>453</v>
      </c>
      <c r="E12" s="51" t="s">
        <v>194</v>
      </c>
      <c r="F12" s="59" t="s">
        <v>124</v>
      </c>
      <c r="G12" s="129" t="str">
        <f t="shared" si="9"/>
        <v>Open</v>
      </c>
      <c r="H12" s="197" t="s">
        <v>450</v>
      </c>
      <c r="I12" s="99" t="s">
        <v>207</v>
      </c>
      <c r="J12" s="157" t="s">
        <v>207</v>
      </c>
      <c r="K12" s="194" t="s">
        <v>207</v>
      </c>
      <c r="L12" s="198" t="s">
        <v>450</v>
      </c>
      <c r="M12" s="114" t="s">
        <v>207</v>
      </c>
      <c r="N12" s="51" t="s">
        <v>207</v>
      </c>
      <c r="O12" s="195" t="s">
        <v>207</v>
      </c>
      <c r="P12" s="135" t="s">
        <v>112</v>
      </c>
      <c r="Q12" s="198">
        <v>43525</v>
      </c>
      <c r="R12" s="59" t="s">
        <v>120</v>
      </c>
      <c r="S12" s="198">
        <v>42408</v>
      </c>
      <c r="T12" s="199" t="s">
        <v>450</v>
      </c>
      <c r="U12" s="200" t="s">
        <v>450</v>
      </c>
      <c r="V12" s="198">
        <v>45194</v>
      </c>
      <c r="W12" s="99" t="s">
        <v>450</v>
      </c>
      <c r="X12" s="198" t="s">
        <v>450</v>
      </c>
      <c r="Y12" s="99" t="s">
        <v>450</v>
      </c>
      <c r="Z12" s="198" t="s">
        <v>450</v>
      </c>
      <c r="AA12" s="198" t="s">
        <v>450</v>
      </c>
      <c r="AB12" s="197">
        <v>44953</v>
      </c>
      <c r="AC12" s="198">
        <v>45065</v>
      </c>
      <c r="AD12" s="99" t="s">
        <v>450</v>
      </c>
      <c r="AE12" s="198">
        <v>45810</v>
      </c>
      <c r="AF12" s="114" t="s">
        <v>450</v>
      </c>
      <c r="AG12" s="197">
        <v>45902</v>
      </c>
      <c r="AH12" s="99" t="s">
        <v>450</v>
      </c>
      <c r="AI12" s="198">
        <v>46296</v>
      </c>
      <c r="AJ12" s="99" t="s">
        <v>450</v>
      </c>
      <c r="AK12" s="199">
        <v>46689</v>
      </c>
      <c r="AL12" s="152">
        <f t="shared" si="10"/>
        <v>48842266</v>
      </c>
      <c r="AM12" s="153">
        <v>30245269</v>
      </c>
      <c r="AN12" s="153">
        <v>15750000</v>
      </c>
      <c r="AO12" s="153">
        <v>2846997</v>
      </c>
      <c r="AP12" s="154" t="s">
        <v>450</v>
      </c>
      <c r="AQ12" s="137" t="s">
        <v>449</v>
      </c>
      <c r="AR12" s="91" t="s">
        <v>450</v>
      </c>
      <c r="AS12" s="91" t="s">
        <v>450</v>
      </c>
      <c r="AT12" s="91" t="s">
        <v>450</v>
      </c>
      <c r="AU12" s="91" t="s">
        <v>450</v>
      </c>
      <c r="AV12" s="59" t="s">
        <v>450</v>
      </c>
      <c r="AW12" s="59" t="s">
        <v>450</v>
      </c>
      <c r="AX12" s="59" t="s">
        <v>450</v>
      </c>
      <c r="AY12" s="59" t="s">
        <v>450</v>
      </c>
      <c r="AZ12" s="59" t="s">
        <v>450</v>
      </c>
      <c r="BA12" s="59" t="s">
        <v>450</v>
      </c>
      <c r="BB12" s="59" t="s">
        <v>450</v>
      </c>
      <c r="BC12" s="139" t="s">
        <v>450</v>
      </c>
      <c r="BD12" s="141" t="s">
        <v>553</v>
      </c>
      <c r="BE12" s="100" t="s">
        <v>554</v>
      </c>
      <c r="BF12" s="100" t="s">
        <v>555</v>
      </c>
      <c r="BG12" s="100" t="s">
        <v>556</v>
      </c>
      <c r="BH12" s="100" t="s">
        <v>450</v>
      </c>
      <c r="BI12" s="100" t="s">
        <v>450</v>
      </c>
      <c r="BJ12" s="100" t="s">
        <v>450</v>
      </c>
      <c r="BK12" s="100" t="s">
        <v>450</v>
      </c>
      <c r="BL12" s="100" t="s">
        <v>450</v>
      </c>
      <c r="BM12" s="100" t="s">
        <v>450</v>
      </c>
      <c r="BN12" s="100" t="s">
        <v>450</v>
      </c>
      <c r="BO12" s="100" t="s">
        <v>450</v>
      </c>
      <c r="BP12" s="100" t="s">
        <v>450</v>
      </c>
      <c r="BQ12" s="100" t="s">
        <v>450</v>
      </c>
      <c r="BR12" s="100" t="s">
        <v>450</v>
      </c>
      <c r="BS12" s="100" t="s">
        <v>450</v>
      </c>
      <c r="BT12" s="100" t="s">
        <v>450</v>
      </c>
      <c r="BU12" s="100" t="s">
        <v>450</v>
      </c>
      <c r="BV12" s="100" t="s">
        <v>450</v>
      </c>
      <c r="BW12" s="100" t="s">
        <v>450</v>
      </c>
      <c r="BX12" s="100" t="s">
        <v>450</v>
      </c>
      <c r="BY12" s="100" t="s">
        <v>450</v>
      </c>
      <c r="BZ12" s="100" t="s">
        <v>450</v>
      </c>
      <c r="CA12" s="101" t="s">
        <v>450</v>
      </c>
      <c r="CD12" s="78">
        <f t="shared" si="11"/>
        <v>0</v>
      </c>
      <c r="CE12" s="85">
        <v>39</v>
      </c>
      <c r="CF12" s="85">
        <f>_xlfn.XLOOKUP($A12, 'Project Commitment'!$A:$A, 'Project Commitment'!M:M, "")</f>
        <v>0</v>
      </c>
      <c r="CG12" s="85">
        <f>_xlfn.XLOOKUP($A12, 'Project Commitment'!$A:$A, 'Project Commitment'!N:N, "")</f>
        <v>0</v>
      </c>
      <c r="CH12" s="85">
        <f>_xlfn.XLOOKUP($A12, 'Project Commitment'!$A:$A, 'Project Commitment'!O:O, "")</f>
        <v>0</v>
      </c>
      <c r="CI12" s="85">
        <f>_xlfn.XLOOKUP($A12, 'Project Commitment'!$A:$A, 'Project Commitment'!P:P, "")</f>
        <v>0</v>
      </c>
      <c r="CJ12" s="85">
        <f>_xlfn.XLOOKUP($A12, 'Project Commitment'!$A:$A, 'Project Commitment'!Q:Q, "")</f>
        <v>0</v>
      </c>
      <c r="CK12" s="85">
        <f>_xlfn.XLOOKUP($A12, 'Project Commitment'!$A:$A, 'Project Commitment'!R:R, "")</f>
        <v>0</v>
      </c>
      <c r="CL12" s="85" t="e">
        <f>_xlfn.XLOOKUP($A12, 'Project Commitment'!$A:$A, 'Project Commitment'!S:S, "")</f>
        <v>#VALUE!</v>
      </c>
      <c r="CM12" s="85">
        <f>_xlfn.XLOOKUP($A12, 'Project Commitment'!$A:$A, 'Project Commitment'!T:T, "")</f>
        <v>0</v>
      </c>
      <c r="CN12" s="85">
        <f>_xlfn.XLOOKUP($A12, 'Project Commitment'!$A:$A, 'Project Commitment'!U:U, "")</f>
        <v>44953</v>
      </c>
      <c r="CO12" s="85" t="e">
        <f>_xlfn.XLOOKUP($A12, 'Project Commitment'!$A:$A, 'Project Commitment'!V:V, "")</f>
        <v>#VALUE!</v>
      </c>
      <c r="CP12" s="85">
        <f>_xlfn.XLOOKUP($A12, 'Project Commitment'!$A:$A, 'Project Commitment'!W:W, "")</f>
        <v>0</v>
      </c>
      <c r="CQ12" s="85">
        <f>_xlfn.XLOOKUP($A12, 'Project Commitment'!$A:$A, 'Project Commitment'!X:X, "")</f>
        <v>0</v>
      </c>
      <c r="CR12" s="85">
        <f>_xlfn.XLOOKUP($A12, 'Project Commitment'!$A:$A, 'Project Commitment'!Y:Y, "")</f>
        <v>39</v>
      </c>
      <c r="CS12" s="85">
        <f>_xlfn.XLOOKUP($A12, 'Project Commitment'!$A:$A, 'Project Commitment'!Z:Z, "")</f>
        <v>0</v>
      </c>
      <c r="CT12" s="85">
        <f>_xlfn.XLOOKUP($A12, 'Project Commitment'!$A:$A, 'Project Commitment'!AA:AA, "")</f>
        <v>0</v>
      </c>
      <c r="CU12" s="85">
        <f>_xlfn.XLOOKUP($A12, 'Project Commitment'!$A:$A, 'Project Commitment'!AB:AB, "")</f>
        <v>-422</v>
      </c>
      <c r="DA12" s="85" t="str">
        <f t="shared" si="12"/>
        <v/>
      </c>
      <c r="DF12" s="85" t="str">
        <f t="shared" si="13"/>
        <v/>
      </c>
      <c r="DG12" s="85" t="str">
        <f t="shared" ca="1" si="14"/>
        <v/>
      </c>
      <c r="DI12" s="85" t="str">
        <f t="shared" si="15"/>
        <v/>
      </c>
      <c r="DJ12" s="85" t="str">
        <f t="shared" si="16"/>
        <v/>
      </c>
      <c r="DK12" s="85" t="str">
        <f t="shared" ca="1" si="17"/>
        <v/>
      </c>
      <c r="DM12" s="85" t="str">
        <f t="shared" si="18"/>
        <v/>
      </c>
      <c r="DN12" s="85" t="str">
        <f t="shared" ca="1" si="19"/>
        <v/>
      </c>
      <c r="DO12" s="85" t="str">
        <f t="shared" ca="1" si="20"/>
        <v/>
      </c>
      <c r="DP12" s="85" t="str">
        <f t="shared" si="21"/>
        <v/>
      </c>
      <c r="DQ12" s="85" t="str">
        <f t="shared" ca="1" si="22"/>
        <v/>
      </c>
      <c r="DR12" s="85" t="str">
        <f t="shared" ca="1" si="23"/>
        <v>Child Care Floorplan Approval Date  cannot be blank if project includes child care.</v>
      </c>
      <c r="DS12" s="85" t="str">
        <f t="shared" si="24"/>
        <v>Initial Site Plan Submission Date cannot be blank</v>
      </c>
      <c r="DT12" s="85" t="str">
        <f t="shared" si="25"/>
        <v>Site Plan Approval Date must preceed construction start date.</v>
      </c>
      <c r="DV12" s="85" t="str">
        <f t="shared" si="26"/>
        <v>Build Permit Obtained Date cannot be blank</v>
      </c>
      <c r="DX12" s="85" t="str">
        <f t="shared" si="27"/>
        <v>Tender Issued Date  cannot be blank</v>
      </c>
      <c r="DY12" s="85" t="str">
        <f t="shared" si="28"/>
        <v>Tender Closed Date cannot be blank</v>
      </c>
      <c r="DZ12" s="85" t="str">
        <f t="shared" si="29"/>
        <v/>
      </c>
      <c r="EA12" s="85" t="str">
        <f t="shared" si="30"/>
        <v/>
      </c>
      <c r="EC12" s="85" t="str">
        <f t="shared" si="31"/>
        <v/>
      </c>
      <c r="EE12" s="85" t="str">
        <f t="shared" si="32"/>
        <v/>
      </c>
      <c r="EG12" s="85" t="str">
        <f t="shared" si="33"/>
        <v/>
      </c>
      <c r="EI12" s="85" t="str">
        <f t="shared" si="34"/>
        <v/>
      </c>
      <c r="EO12" s="85" t="str">
        <f t="shared" ca="1" si="35"/>
        <v/>
      </c>
      <c r="EP12" s="85" t="str">
        <f t="shared" si="36"/>
        <v>Estimated Cost - Construction Project cannot be blank.</v>
      </c>
      <c r="EQ12" s="85" t="str">
        <f t="shared" si="37"/>
        <v>Estimated Cost - Land cannot be blank.</v>
      </c>
      <c r="ER12" s="85" t="str">
        <f t="shared" si="38"/>
        <v>Estimated Cost - Demolition cannot be blank.</v>
      </c>
      <c r="ES12" s="85" t="str">
        <f t="shared" si="39"/>
        <v/>
      </c>
      <c r="EW12" s="85" t="str">
        <f t="shared" si="40"/>
        <v/>
      </c>
      <c r="EX12" s="85" t="str">
        <f t="shared" si="41"/>
        <v/>
      </c>
      <c r="EY12" s="85" t="str">
        <f t="shared" si="42"/>
        <v/>
      </c>
      <c r="EZ12" s="85" t="str">
        <f t="shared" si="43"/>
        <v/>
      </c>
      <c r="FA12" s="85" t="str">
        <f t="shared" si="44"/>
        <v/>
      </c>
      <c r="FB12" s="85" t="str">
        <f t="shared" si="45"/>
        <v/>
      </c>
      <c r="FC12" s="85" t="str">
        <f t="shared" si="46"/>
        <v/>
      </c>
      <c r="FD12" s="85" t="str">
        <f t="shared" si="47"/>
        <v/>
      </c>
      <c r="FE12" s="85" t="str">
        <f t="shared" ca="1" si="48"/>
        <v/>
      </c>
      <c r="FF12" s="85" t="str">
        <f t="shared" si="49"/>
        <v/>
      </c>
      <c r="FG12" s="85" t="str">
        <f t="shared" ca="1" si="50"/>
        <v/>
      </c>
      <c r="FH12" s="85" t="str">
        <f t="shared" ca="1" si="51"/>
        <v/>
      </c>
      <c r="FI12" s="85" t="str">
        <f t="shared" ca="1" si="52"/>
        <v/>
      </c>
      <c r="FJ12" s="85" t="str">
        <f t="shared" si="53"/>
        <v/>
      </c>
      <c r="FK12" s="85" t="str">
        <f t="shared" ca="1" si="54"/>
        <v/>
      </c>
      <c r="FL12" s="85" t="str">
        <f t="shared" si="55"/>
        <v/>
      </c>
    </row>
    <row r="13" spans="1:512" ht="15.6" customHeight="1" x14ac:dyDescent="0.25">
      <c r="A13" s="58" t="s">
        <v>466</v>
      </c>
      <c r="B13" s="90" t="s">
        <v>467</v>
      </c>
      <c r="C13" s="137" t="s">
        <v>626</v>
      </c>
      <c r="D13" s="51" t="s">
        <v>453</v>
      </c>
      <c r="E13" s="51" t="s">
        <v>468</v>
      </c>
      <c r="F13" s="59" t="s">
        <v>124</v>
      </c>
      <c r="G13" s="129" t="str">
        <f t="shared" si="9"/>
        <v>Under Construction</v>
      </c>
      <c r="H13" s="197" t="s">
        <v>450</v>
      </c>
      <c r="I13" s="99" t="s">
        <v>207</v>
      </c>
      <c r="J13" s="157" t="s">
        <v>207</v>
      </c>
      <c r="K13" s="194" t="s">
        <v>207</v>
      </c>
      <c r="L13" s="198" t="s">
        <v>450</v>
      </c>
      <c r="M13" s="114" t="s">
        <v>207</v>
      </c>
      <c r="N13" s="51" t="s">
        <v>207</v>
      </c>
      <c r="O13" s="195" t="s">
        <v>207</v>
      </c>
      <c r="P13" s="135" t="s">
        <v>207</v>
      </c>
      <c r="Q13" s="198" t="s">
        <v>450</v>
      </c>
      <c r="R13" s="59" t="s">
        <v>120</v>
      </c>
      <c r="S13" s="198">
        <v>42787</v>
      </c>
      <c r="T13" s="199" t="s">
        <v>450</v>
      </c>
      <c r="U13" s="200" t="s">
        <v>450</v>
      </c>
      <c r="V13" s="198">
        <v>45868</v>
      </c>
      <c r="W13" s="99" t="s">
        <v>450</v>
      </c>
      <c r="X13" s="198" t="s">
        <v>450</v>
      </c>
      <c r="Y13" s="99" t="s">
        <v>450</v>
      </c>
      <c r="Z13" s="198" t="s">
        <v>450</v>
      </c>
      <c r="AA13" s="198" t="s">
        <v>450</v>
      </c>
      <c r="AB13" s="197">
        <v>44636</v>
      </c>
      <c r="AC13" s="198">
        <v>45036</v>
      </c>
      <c r="AD13" s="99" t="s">
        <v>450</v>
      </c>
      <c r="AE13" s="198">
        <v>46234</v>
      </c>
      <c r="AF13" s="114" t="s">
        <v>450</v>
      </c>
      <c r="AG13" s="197">
        <v>46273</v>
      </c>
      <c r="AH13" s="99" t="s">
        <v>450</v>
      </c>
      <c r="AI13" s="198">
        <v>46631</v>
      </c>
      <c r="AJ13" s="99" t="s">
        <v>450</v>
      </c>
      <c r="AK13" s="199">
        <v>46997</v>
      </c>
      <c r="AL13" s="152">
        <f t="shared" si="10"/>
        <v>32092513</v>
      </c>
      <c r="AM13" s="153">
        <v>30519486</v>
      </c>
      <c r="AN13" s="153" t="s">
        <v>450</v>
      </c>
      <c r="AO13" s="153">
        <v>1573027</v>
      </c>
      <c r="AP13" s="154" t="s">
        <v>450</v>
      </c>
      <c r="AQ13" s="137" t="s">
        <v>449</v>
      </c>
      <c r="AR13" s="91" t="s">
        <v>450</v>
      </c>
      <c r="AS13" s="91" t="s">
        <v>450</v>
      </c>
      <c r="AT13" s="91" t="s">
        <v>450</v>
      </c>
      <c r="AU13" s="91" t="s">
        <v>450</v>
      </c>
      <c r="AV13" s="59" t="s">
        <v>450</v>
      </c>
      <c r="AW13" s="59" t="s">
        <v>450</v>
      </c>
      <c r="AX13" s="59" t="s">
        <v>450</v>
      </c>
      <c r="AY13" s="59" t="s">
        <v>450</v>
      </c>
      <c r="AZ13" s="59" t="s">
        <v>450</v>
      </c>
      <c r="BA13" s="59" t="s">
        <v>450</v>
      </c>
      <c r="BB13" s="59" t="s">
        <v>450</v>
      </c>
      <c r="BC13" s="139" t="s">
        <v>450</v>
      </c>
      <c r="BD13" s="141" t="s">
        <v>557</v>
      </c>
      <c r="BE13" s="100" t="s">
        <v>558</v>
      </c>
      <c r="BF13" s="100" t="s">
        <v>559</v>
      </c>
      <c r="BG13" s="100" t="s">
        <v>560</v>
      </c>
      <c r="BH13" s="100" t="s">
        <v>450</v>
      </c>
      <c r="BI13" s="100" t="s">
        <v>450</v>
      </c>
      <c r="BJ13" s="100" t="s">
        <v>450</v>
      </c>
      <c r="BK13" s="100" t="s">
        <v>450</v>
      </c>
      <c r="BL13" s="100" t="s">
        <v>450</v>
      </c>
      <c r="BM13" s="100" t="s">
        <v>450</v>
      </c>
      <c r="BN13" s="100" t="s">
        <v>450</v>
      </c>
      <c r="BO13" s="100" t="s">
        <v>450</v>
      </c>
      <c r="BP13" s="100" t="s">
        <v>450</v>
      </c>
      <c r="BQ13" s="100" t="s">
        <v>450</v>
      </c>
      <c r="BR13" s="100" t="s">
        <v>450</v>
      </c>
      <c r="BS13" s="100" t="s">
        <v>450</v>
      </c>
      <c r="BT13" s="100" t="s">
        <v>450</v>
      </c>
      <c r="BU13" s="100" t="s">
        <v>450</v>
      </c>
      <c r="BV13" s="100" t="s">
        <v>450</v>
      </c>
      <c r="BW13" s="100" t="s">
        <v>450</v>
      </c>
      <c r="BX13" s="100" t="s">
        <v>450</v>
      </c>
      <c r="BY13" s="100" t="s">
        <v>450</v>
      </c>
      <c r="BZ13" s="100" t="s">
        <v>450</v>
      </c>
      <c r="CA13" s="101" t="s">
        <v>450</v>
      </c>
      <c r="CD13" s="78">
        <f t="shared" si="11"/>
        <v>1</v>
      </c>
      <c r="CE13" s="85">
        <v>49</v>
      </c>
      <c r="CF13" s="85">
        <f>_xlfn.XLOOKUP($A13, 'Project Commitment'!$A:$A, 'Project Commitment'!M:M, "")</f>
        <v>0</v>
      </c>
      <c r="CG13" s="85">
        <f>_xlfn.XLOOKUP($A13, 'Project Commitment'!$A:$A, 'Project Commitment'!N:N, "")</f>
        <v>0</v>
      </c>
      <c r="CH13" s="85">
        <f>_xlfn.XLOOKUP($A13, 'Project Commitment'!$A:$A, 'Project Commitment'!O:O, "")</f>
        <v>0</v>
      </c>
      <c r="CI13" s="85">
        <f>_xlfn.XLOOKUP($A13, 'Project Commitment'!$A:$A, 'Project Commitment'!P:P, "")</f>
        <v>0</v>
      </c>
      <c r="CJ13" s="85">
        <f>_xlfn.XLOOKUP($A13, 'Project Commitment'!$A:$A, 'Project Commitment'!Q:Q, "")</f>
        <v>0</v>
      </c>
      <c r="CK13" s="85">
        <f>_xlfn.XLOOKUP($A13, 'Project Commitment'!$A:$A, 'Project Commitment'!R:R, "")</f>
        <v>0</v>
      </c>
      <c r="CL13" s="85" t="e">
        <f>_xlfn.XLOOKUP($A13, 'Project Commitment'!$A:$A, 'Project Commitment'!S:S, "")</f>
        <v>#VALUE!</v>
      </c>
      <c r="CM13" s="85">
        <f>_xlfn.XLOOKUP($A13, 'Project Commitment'!$A:$A, 'Project Commitment'!T:T, "")</f>
        <v>0</v>
      </c>
      <c r="CN13" s="85">
        <f>_xlfn.XLOOKUP($A13, 'Project Commitment'!$A:$A, 'Project Commitment'!U:U, "")</f>
        <v>44636</v>
      </c>
      <c r="CO13" s="85" t="e">
        <f>_xlfn.XLOOKUP($A13, 'Project Commitment'!$A:$A, 'Project Commitment'!V:V, "")</f>
        <v>#VALUE!</v>
      </c>
      <c r="CP13" s="85">
        <f>_xlfn.XLOOKUP($A13, 'Project Commitment'!$A:$A, 'Project Commitment'!W:W, "")</f>
        <v>0</v>
      </c>
      <c r="CQ13" s="85">
        <f>_xlfn.XLOOKUP($A13, 'Project Commitment'!$A:$A, 'Project Commitment'!X:X, "")</f>
        <v>0</v>
      </c>
      <c r="CR13" s="85">
        <f>_xlfn.XLOOKUP($A13, 'Project Commitment'!$A:$A, 'Project Commitment'!Y:Y, "")</f>
        <v>-396</v>
      </c>
      <c r="CS13" s="85">
        <f>_xlfn.XLOOKUP($A13, 'Project Commitment'!$A:$A, 'Project Commitment'!Z:Z, "")</f>
        <v>-371</v>
      </c>
      <c r="CT13" s="85">
        <f>_xlfn.XLOOKUP($A13, 'Project Commitment'!$A:$A, 'Project Commitment'!AA:AA, "")</f>
        <v>0</v>
      </c>
      <c r="CU13" s="85">
        <f>_xlfn.XLOOKUP($A13, 'Project Commitment'!$A:$A, 'Project Commitment'!AB:AB, "")</f>
        <v>-730</v>
      </c>
      <c r="DA13" s="85" t="str">
        <f t="shared" si="12"/>
        <v/>
      </c>
      <c r="DF13" s="85" t="str">
        <f t="shared" si="13"/>
        <v/>
      </c>
      <c r="DG13" s="85" t="str">
        <f t="shared" ca="1" si="14"/>
        <v/>
      </c>
      <c r="DI13" s="85" t="str">
        <f t="shared" si="15"/>
        <v/>
      </c>
      <c r="DJ13" s="85" t="str">
        <f t="shared" si="16"/>
        <v/>
      </c>
      <c r="DK13" s="85" t="str">
        <f t="shared" ca="1" si="17"/>
        <v/>
      </c>
      <c r="DM13" s="85" t="str">
        <f t="shared" si="18"/>
        <v/>
      </c>
      <c r="DN13" s="85" t="str">
        <f t="shared" ca="1" si="19"/>
        <v/>
      </c>
      <c r="DO13" s="85" t="str">
        <f t="shared" ca="1" si="20"/>
        <v/>
      </c>
      <c r="DP13" s="85" t="str">
        <f t="shared" si="21"/>
        <v/>
      </c>
      <c r="DQ13" s="85" t="str">
        <f t="shared" ca="1" si="22"/>
        <v/>
      </c>
      <c r="DR13" s="85" t="str">
        <f t="shared" ca="1" si="23"/>
        <v>Child Care Floorplan Approval Date  cannot be blank if project includes child care.</v>
      </c>
      <c r="DS13" s="85" t="str">
        <f t="shared" si="24"/>
        <v>Initial Site Plan Submission Date cannot be blank</v>
      </c>
      <c r="DT13" s="85" t="str">
        <f t="shared" si="25"/>
        <v>Site Plan Approval Date must preceed construction start date.</v>
      </c>
      <c r="DV13" s="85" t="str">
        <f t="shared" si="26"/>
        <v>Build Permit Obtained Date cannot be blank</v>
      </c>
      <c r="DX13" s="85" t="str">
        <f t="shared" si="27"/>
        <v>Tender Issued Date  cannot be blank</v>
      </c>
      <c r="DY13" s="85" t="str">
        <f t="shared" si="28"/>
        <v>Tender Closed Date cannot be blank</v>
      </c>
      <c r="DZ13" s="85" t="str">
        <f t="shared" si="29"/>
        <v/>
      </c>
      <c r="EA13" s="85" t="str">
        <f t="shared" si="30"/>
        <v/>
      </c>
      <c r="EC13" s="85" t="str">
        <f t="shared" si="31"/>
        <v/>
      </c>
      <c r="EE13" s="85" t="str">
        <f t="shared" si="32"/>
        <v/>
      </c>
      <c r="EG13" s="85" t="str">
        <f t="shared" si="33"/>
        <v/>
      </c>
      <c r="EI13" s="85" t="str">
        <f t="shared" si="34"/>
        <v/>
      </c>
      <c r="EO13" s="85" t="str">
        <f t="shared" ca="1" si="35"/>
        <v/>
      </c>
      <c r="EP13" s="85" t="str">
        <f t="shared" si="36"/>
        <v>Estimated Cost - Construction Project cannot be blank.</v>
      </c>
      <c r="EQ13" s="85" t="str">
        <f t="shared" si="37"/>
        <v/>
      </c>
      <c r="ER13" s="85" t="str">
        <f t="shared" si="38"/>
        <v>Estimated Cost - Demolition cannot be blank.</v>
      </c>
      <c r="ES13" s="85" t="str">
        <f t="shared" si="39"/>
        <v/>
      </c>
      <c r="EW13" s="85" t="str">
        <f t="shared" si="40"/>
        <v/>
      </c>
      <c r="EX13" s="85" t="str">
        <f t="shared" si="41"/>
        <v/>
      </c>
      <c r="EY13" s="85" t="str">
        <f t="shared" si="42"/>
        <v/>
      </c>
      <c r="EZ13" s="85" t="str">
        <f t="shared" si="43"/>
        <v/>
      </c>
      <c r="FA13" s="85" t="str">
        <f t="shared" si="44"/>
        <v/>
      </c>
      <c r="FB13" s="85" t="str">
        <f t="shared" si="45"/>
        <v/>
      </c>
      <c r="FC13" s="85" t="str">
        <f t="shared" si="46"/>
        <v/>
      </c>
      <c r="FD13" s="85" t="str">
        <f t="shared" si="47"/>
        <v/>
      </c>
      <c r="FE13" s="85" t="str">
        <f t="shared" ca="1" si="48"/>
        <v/>
      </c>
      <c r="FF13" s="85" t="str">
        <f t="shared" si="49"/>
        <v/>
      </c>
      <c r="FG13" s="85" t="str">
        <f t="shared" ca="1" si="50"/>
        <v/>
      </c>
      <c r="FH13" s="85" t="str">
        <f t="shared" ca="1" si="51"/>
        <v/>
      </c>
      <c r="FI13" s="85" t="str">
        <f t="shared" ca="1" si="52"/>
        <v/>
      </c>
      <c r="FJ13" s="85" t="str">
        <f t="shared" si="53"/>
        <v/>
      </c>
      <c r="FK13" s="85" t="str">
        <f t="shared" ca="1" si="54"/>
        <v/>
      </c>
      <c r="FL13" s="85" t="str">
        <f t="shared" si="55"/>
        <v/>
      </c>
    </row>
    <row r="14" spans="1:512" ht="15.6" customHeight="1" x14ac:dyDescent="0.25">
      <c r="A14" s="58" t="s">
        <v>472</v>
      </c>
      <c r="B14" s="90" t="s">
        <v>473</v>
      </c>
      <c r="C14" s="76" t="s">
        <v>627</v>
      </c>
      <c r="D14" s="51" t="s">
        <v>453</v>
      </c>
      <c r="E14" s="51" t="s">
        <v>194</v>
      </c>
      <c r="F14" s="59" t="s">
        <v>124</v>
      </c>
      <c r="G14" s="129" t="str">
        <f t="shared" si="9"/>
        <v>Under Construction</v>
      </c>
      <c r="H14" s="197" t="s">
        <v>450</v>
      </c>
      <c r="I14" s="99" t="s">
        <v>207</v>
      </c>
      <c r="J14" s="157" t="s">
        <v>207</v>
      </c>
      <c r="K14" s="194" t="s">
        <v>207</v>
      </c>
      <c r="L14" s="198" t="s">
        <v>450</v>
      </c>
      <c r="M14" s="114" t="s">
        <v>207</v>
      </c>
      <c r="N14" s="51" t="s">
        <v>207</v>
      </c>
      <c r="O14" s="195" t="s">
        <v>207</v>
      </c>
      <c r="P14" s="135" t="s">
        <v>207</v>
      </c>
      <c r="Q14" s="198" t="s">
        <v>450</v>
      </c>
      <c r="R14" s="59" t="s">
        <v>120</v>
      </c>
      <c r="S14" s="198">
        <v>42796</v>
      </c>
      <c r="T14" s="199">
        <v>44495</v>
      </c>
      <c r="U14" s="200">
        <v>44882</v>
      </c>
      <c r="V14" s="198">
        <v>45100</v>
      </c>
      <c r="W14" s="99" t="s">
        <v>450</v>
      </c>
      <c r="X14" s="198" t="s">
        <v>450</v>
      </c>
      <c r="Y14" s="99" t="s">
        <v>450</v>
      </c>
      <c r="Z14" s="198">
        <v>45199</v>
      </c>
      <c r="AA14" s="198">
        <v>45230</v>
      </c>
      <c r="AB14" s="197">
        <v>45280</v>
      </c>
      <c r="AC14" s="198">
        <v>45320</v>
      </c>
      <c r="AD14" s="99" t="s">
        <v>450</v>
      </c>
      <c r="AE14" s="198">
        <v>46076</v>
      </c>
      <c r="AF14" s="114" t="s">
        <v>450</v>
      </c>
      <c r="AG14" s="197">
        <v>46104</v>
      </c>
      <c r="AH14" s="99" t="s">
        <v>450</v>
      </c>
      <c r="AI14" s="197">
        <v>46273</v>
      </c>
      <c r="AJ14" s="99" t="s">
        <v>450</v>
      </c>
      <c r="AK14" s="199">
        <v>46639</v>
      </c>
      <c r="AL14" s="152">
        <f t="shared" si="10"/>
        <v>31531487</v>
      </c>
      <c r="AM14" s="153">
        <v>30861032</v>
      </c>
      <c r="AN14" s="153" t="s">
        <v>450</v>
      </c>
      <c r="AO14" s="153">
        <v>670455</v>
      </c>
      <c r="AP14" s="154" t="s">
        <v>450</v>
      </c>
      <c r="AQ14" s="137" t="s">
        <v>449</v>
      </c>
      <c r="AR14" s="91" t="s">
        <v>450</v>
      </c>
      <c r="AS14" s="91" t="s">
        <v>450</v>
      </c>
      <c r="AT14" s="91" t="s">
        <v>450</v>
      </c>
      <c r="AU14" s="91" t="s">
        <v>450</v>
      </c>
      <c r="AV14" s="59" t="s">
        <v>450</v>
      </c>
      <c r="AW14" s="59" t="s">
        <v>450</v>
      </c>
      <c r="AX14" s="59" t="s">
        <v>450</v>
      </c>
      <c r="AY14" s="59" t="s">
        <v>450</v>
      </c>
      <c r="AZ14" s="59" t="s">
        <v>450</v>
      </c>
      <c r="BA14" s="59" t="s">
        <v>450</v>
      </c>
      <c r="BB14" s="59" t="s">
        <v>450</v>
      </c>
      <c r="BC14" s="139" t="s">
        <v>450</v>
      </c>
      <c r="BD14" s="141" t="s">
        <v>561</v>
      </c>
      <c r="BE14" s="100" t="s">
        <v>562</v>
      </c>
      <c r="BF14" s="100" t="s">
        <v>563</v>
      </c>
      <c r="BG14" s="100" t="s">
        <v>564</v>
      </c>
      <c r="BH14" s="100" t="s">
        <v>450</v>
      </c>
      <c r="BI14" s="100" t="s">
        <v>450</v>
      </c>
      <c r="BJ14" s="100" t="s">
        <v>450</v>
      </c>
      <c r="BK14" s="100" t="s">
        <v>450</v>
      </c>
      <c r="BL14" s="100" t="s">
        <v>450</v>
      </c>
      <c r="BM14" s="100" t="s">
        <v>450</v>
      </c>
      <c r="BN14" s="100" t="s">
        <v>450</v>
      </c>
      <c r="BO14" s="100" t="s">
        <v>450</v>
      </c>
      <c r="BP14" s="100" t="s">
        <v>450</v>
      </c>
      <c r="BQ14" s="100" t="s">
        <v>450</v>
      </c>
      <c r="BR14" s="100" t="s">
        <v>450</v>
      </c>
      <c r="BS14" s="100" t="s">
        <v>450</v>
      </c>
      <c r="BT14" s="100" t="s">
        <v>450</v>
      </c>
      <c r="BU14" s="100" t="s">
        <v>450</v>
      </c>
      <c r="BV14" s="100" t="s">
        <v>450</v>
      </c>
      <c r="BW14" s="100" t="s">
        <v>450</v>
      </c>
      <c r="BX14" s="100" t="s">
        <v>450</v>
      </c>
      <c r="BY14" s="100" t="s">
        <v>450</v>
      </c>
      <c r="BZ14" s="100" t="s">
        <v>450</v>
      </c>
      <c r="CA14" s="101" t="s">
        <v>450</v>
      </c>
      <c r="CD14" s="78">
        <f t="shared" si="11"/>
        <v>1</v>
      </c>
      <c r="CE14" s="85">
        <v>88</v>
      </c>
      <c r="CF14" s="85">
        <f>_xlfn.XLOOKUP($A14, 'Project Commitment'!$A:$A, 'Project Commitment'!M:M, "")</f>
        <v>0</v>
      </c>
      <c r="CG14" s="85">
        <f>_xlfn.XLOOKUP($A14, 'Project Commitment'!$A:$A, 'Project Commitment'!N:N, "")</f>
        <v>0</v>
      </c>
      <c r="CH14" s="85">
        <f>_xlfn.XLOOKUP($A14, 'Project Commitment'!$A:$A, 'Project Commitment'!O:O, "")</f>
        <v>0</v>
      </c>
      <c r="CI14" s="85">
        <f>_xlfn.XLOOKUP($A14, 'Project Commitment'!$A:$A, 'Project Commitment'!P:P, "")</f>
        <v>0</v>
      </c>
      <c r="CJ14" s="85">
        <f>_xlfn.XLOOKUP($A14, 'Project Commitment'!$A:$A, 'Project Commitment'!Q:Q, "")</f>
        <v>0</v>
      </c>
      <c r="CK14" s="85">
        <f>_xlfn.XLOOKUP($A14, 'Project Commitment'!$A:$A, 'Project Commitment'!R:R, "")</f>
        <v>0</v>
      </c>
      <c r="CL14" s="85" t="e">
        <f>_xlfn.XLOOKUP($A14, 'Project Commitment'!$A:$A, 'Project Commitment'!S:S, "")</f>
        <v>#VALUE!</v>
      </c>
      <c r="CM14" s="85">
        <f>_xlfn.XLOOKUP($A14, 'Project Commitment'!$A:$A, 'Project Commitment'!T:T, "")</f>
        <v>0</v>
      </c>
      <c r="CN14" s="85">
        <f>_xlfn.XLOOKUP($A14, 'Project Commitment'!$A:$A, 'Project Commitment'!U:U, "")</f>
        <v>-35</v>
      </c>
      <c r="CO14" s="85" t="e">
        <f>_xlfn.XLOOKUP($A14, 'Project Commitment'!$A:$A, 'Project Commitment'!V:V, "")</f>
        <v>#VALUE!</v>
      </c>
      <c r="CP14" s="85">
        <f>_xlfn.XLOOKUP($A14, 'Project Commitment'!$A:$A, 'Project Commitment'!W:W, "")</f>
        <v>0</v>
      </c>
      <c r="CQ14" s="85">
        <f>_xlfn.XLOOKUP($A14, 'Project Commitment'!$A:$A, 'Project Commitment'!X:X, "")</f>
        <v>0</v>
      </c>
      <c r="CR14" s="85">
        <f>_xlfn.XLOOKUP($A14, 'Project Commitment'!$A:$A, 'Project Commitment'!Y:Y, "")</f>
        <v>-241</v>
      </c>
      <c r="CS14" s="85">
        <f>_xlfn.XLOOKUP($A14, 'Project Commitment'!$A:$A, 'Project Commitment'!Z:Z, "")</f>
        <v>-202</v>
      </c>
      <c r="CT14" s="85">
        <f>_xlfn.XLOOKUP($A14, 'Project Commitment'!$A:$A, 'Project Commitment'!AA:AA, "")</f>
        <v>0</v>
      </c>
      <c r="CU14" s="85">
        <f>_xlfn.XLOOKUP($A14, 'Project Commitment'!$A:$A, 'Project Commitment'!AB:AB, "")</f>
        <v>-372</v>
      </c>
      <c r="DA14" s="85" t="str">
        <f t="shared" si="12"/>
        <v/>
      </c>
      <c r="DF14" s="85" t="str">
        <f t="shared" si="13"/>
        <v/>
      </c>
      <c r="DG14" s="85" t="str">
        <f t="shared" ca="1" si="14"/>
        <v/>
      </c>
      <c r="DI14" s="85" t="str">
        <f t="shared" si="15"/>
        <v/>
      </c>
      <c r="DJ14" s="85" t="str">
        <f t="shared" si="16"/>
        <v/>
      </c>
      <c r="DK14" s="85" t="str">
        <f t="shared" ca="1" si="17"/>
        <v/>
      </c>
      <c r="DM14" s="85" t="str">
        <f t="shared" si="18"/>
        <v/>
      </c>
      <c r="DN14" s="85" t="str">
        <f t="shared" ca="1" si="19"/>
        <v/>
      </c>
      <c r="DO14" s="85" t="str">
        <f t="shared" ca="1" si="20"/>
        <v/>
      </c>
      <c r="DP14" s="85" t="str">
        <f t="shared" si="21"/>
        <v/>
      </c>
      <c r="DQ14" s="85" t="str">
        <f t="shared" ca="1" si="22"/>
        <v/>
      </c>
      <c r="DR14" s="85" t="str">
        <f t="shared" ca="1" si="23"/>
        <v/>
      </c>
      <c r="DS14" s="85" t="str">
        <f t="shared" si="24"/>
        <v/>
      </c>
      <c r="DT14" s="85" t="str">
        <f t="shared" si="25"/>
        <v/>
      </c>
      <c r="DV14" s="85" t="str">
        <f t="shared" si="26"/>
        <v>Build Permit Obtained Date cannot be blank</v>
      </c>
      <c r="DX14" s="85" t="str">
        <f t="shared" si="27"/>
        <v/>
      </c>
      <c r="DY14" s="85" t="str">
        <f t="shared" si="28"/>
        <v/>
      </c>
      <c r="DZ14" s="85" t="str">
        <f t="shared" si="29"/>
        <v/>
      </c>
      <c r="EA14" s="85" t="str">
        <f t="shared" si="30"/>
        <v/>
      </c>
      <c r="EC14" s="85" t="str">
        <f t="shared" si="31"/>
        <v/>
      </c>
      <c r="EE14" s="85" t="str">
        <f t="shared" si="32"/>
        <v/>
      </c>
      <c r="EG14" s="85" t="str">
        <f t="shared" si="33"/>
        <v/>
      </c>
      <c r="EI14" s="85" t="str">
        <f t="shared" si="34"/>
        <v/>
      </c>
      <c r="EO14" s="85" t="str">
        <f t="shared" ca="1" si="35"/>
        <v/>
      </c>
      <c r="EP14" s="85" t="str">
        <f t="shared" si="36"/>
        <v>Estimated Cost - Construction Project cannot be blank.</v>
      </c>
      <c r="EQ14" s="85" t="str">
        <f t="shared" si="37"/>
        <v/>
      </c>
      <c r="ER14" s="85" t="str">
        <f t="shared" si="38"/>
        <v>Estimated Cost - Demolition cannot be blank.</v>
      </c>
      <c r="ES14" s="85" t="str">
        <f t="shared" si="39"/>
        <v/>
      </c>
      <c r="EW14" s="85" t="str">
        <f t="shared" si="40"/>
        <v/>
      </c>
      <c r="EX14" s="85" t="str">
        <f t="shared" si="41"/>
        <v/>
      </c>
      <c r="EY14" s="85" t="str">
        <f t="shared" si="42"/>
        <v/>
      </c>
      <c r="EZ14" s="85" t="str">
        <f t="shared" si="43"/>
        <v/>
      </c>
      <c r="FA14" s="85" t="str">
        <f t="shared" si="44"/>
        <v/>
      </c>
      <c r="FB14" s="85" t="str">
        <f t="shared" si="45"/>
        <v/>
      </c>
      <c r="FC14" s="85" t="str">
        <f t="shared" si="46"/>
        <v/>
      </c>
      <c r="FD14" s="85" t="str">
        <f t="shared" si="47"/>
        <v/>
      </c>
      <c r="FE14" s="85" t="str">
        <f t="shared" ca="1" si="48"/>
        <v/>
      </c>
      <c r="FF14" s="85" t="str">
        <f t="shared" si="49"/>
        <v/>
      </c>
      <c r="FG14" s="85" t="str">
        <f t="shared" ca="1" si="50"/>
        <v/>
      </c>
      <c r="FH14" s="85" t="str">
        <f t="shared" ca="1" si="51"/>
        <v/>
      </c>
      <c r="FI14" s="85" t="str">
        <f t="shared" ca="1" si="52"/>
        <v/>
      </c>
      <c r="FJ14" s="85" t="str">
        <f t="shared" si="53"/>
        <v/>
      </c>
      <c r="FK14" s="85" t="str">
        <f t="shared" ca="1" si="54"/>
        <v/>
      </c>
      <c r="FL14" s="85" t="str">
        <f t="shared" si="55"/>
        <v/>
      </c>
    </row>
    <row r="15" spans="1:512" ht="15.6" customHeight="1" x14ac:dyDescent="0.25">
      <c r="A15" s="58" t="s">
        <v>476</v>
      </c>
      <c r="B15" s="90" t="s">
        <v>477</v>
      </c>
      <c r="C15" s="137" t="s">
        <v>617</v>
      </c>
      <c r="D15" s="51" t="s">
        <v>478</v>
      </c>
      <c r="E15" s="51" t="s">
        <v>479</v>
      </c>
      <c r="F15" s="59" t="s">
        <v>124</v>
      </c>
      <c r="G15" s="129" t="str">
        <f t="shared" si="9"/>
        <v>Open</v>
      </c>
      <c r="H15" s="197" t="s">
        <v>450</v>
      </c>
      <c r="I15" s="99" t="s">
        <v>207</v>
      </c>
      <c r="J15" s="157" t="s">
        <v>207</v>
      </c>
      <c r="K15" s="194" t="s">
        <v>207</v>
      </c>
      <c r="L15" s="198" t="s">
        <v>450</v>
      </c>
      <c r="M15" s="114" t="s">
        <v>207</v>
      </c>
      <c r="N15" s="51" t="s">
        <v>207</v>
      </c>
      <c r="O15" s="195" t="s">
        <v>207</v>
      </c>
      <c r="P15" s="135" t="s">
        <v>207</v>
      </c>
      <c r="Q15" s="198" t="s">
        <v>450</v>
      </c>
      <c r="R15" s="59" t="s">
        <v>120</v>
      </c>
      <c r="S15" s="198" t="s">
        <v>450</v>
      </c>
      <c r="T15" s="199" t="s">
        <v>450</v>
      </c>
      <c r="U15" s="200" t="s">
        <v>450</v>
      </c>
      <c r="V15" s="198" t="s">
        <v>450</v>
      </c>
      <c r="W15" s="99" t="s">
        <v>450</v>
      </c>
      <c r="X15" s="198" t="s">
        <v>450</v>
      </c>
      <c r="Y15" s="99" t="s">
        <v>450</v>
      </c>
      <c r="Z15" s="198" t="s">
        <v>450</v>
      </c>
      <c r="AA15" s="198" t="s">
        <v>450</v>
      </c>
      <c r="AB15" s="197" t="s">
        <v>450</v>
      </c>
      <c r="AC15" s="198">
        <v>44692</v>
      </c>
      <c r="AD15" s="99" t="s">
        <v>450</v>
      </c>
      <c r="AE15" s="198">
        <v>45264</v>
      </c>
      <c r="AF15" s="114" t="s">
        <v>450</v>
      </c>
      <c r="AG15" s="197">
        <v>45299</v>
      </c>
      <c r="AH15" s="99" t="s">
        <v>450</v>
      </c>
      <c r="AI15" s="197">
        <v>45299</v>
      </c>
      <c r="AJ15" s="99" t="s">
        <v>450</v>
      </c>
      <c r="AK15" s="199">
        <v>46323</v>
      </c>
      <c r="AL15" s="152">
        <f t="shared" si="10"/>
        <v>11444978</v>
      </c>
      <c r="AM15" s="153">
        <v>11444978</v>
      </c>
      <c r="AN15" s="153" t="s">
        <v>450</v>
      </c>
      <c r="AO15" s="153" t="s">
        <v>450</v>
      </c>
      <c r="AP15" s="154" t="s">
        <v>450</v>
      </c>
      <c r="AQ15" s="137" t="s">
        <v>449</v>
      </c>
      <c r="AR15" s="91" t="s">
        <v>450</v>
      </c>
      <c r="AS15" s="91" t="s">
        <v>450</v>
      </c>
      <c r="AT15" s="91" t="s">
        <v>450</v>
      </c>
      <c r="AU15" s="91" t="s">
        <v>450</v>
      </c>
      <c r="AV15" s="59" t="s">
        <v>450</v>
      </c>
      <c r="AW15" s="59" t="s">
        <v>450</v>
      </c>
      <c r="AX15" s="59" t="s">
        <v>450</v>
      </c>
      <c r="AY15" s="59" t="s">
        <v>450</v>
      </c>
      <c r="AZ15" s="59" t="s">
        <v>450</v>
      </c>
      <c r="BA15" s="59" t="s">
        <v>450</v>
      </c>
      <c r="BB15" s="59" t="s">
        <v>450</v>
      </c>
      <c r="BC15" s="139" t="s">
        <v>450</v>
      </c>
      <c r="BD15" s="141" t="s">
        <v>565</v>
      </c>
      <c r="BE15" s="100" t="s">
        <v>566</v>
      </c>
      <c r="BF15" s="100" t="s">
        <v>450</v>
      </c>
      <c r="BG15" s="100" t="s">
        <v>450</v>
      </c>
      <c r="BH15" s="100" t="s">
        <v>450</v>
      </c>
      <c r="BI15" s="100" t="s">
        <v>450</v>
      </c>
      <c r="BJ15" s="100" t="s">
        <v>450</v>
      </c>
      <c r="BK15" s="100" t="s">
        <v>450</v>
      </c>
      <c r="BL15" s="100" t="s">
        <v>450</v>
      </c>
      <c r="BM15" s="100" t="s">
        <v>450</v>
      </c>
      <c r="BN15" s="100" t="s">
        <v>450</v>
      </c>
      <c r="BO15" s="100" t="s">
        <v>450</v>
      </c>
      <c r="BP15" s="100" t="s">
        <v>450</v>
      </c>
      <c r="BQ15" s="100" t="s">
        <v>450</v>
      </c>
      <c r="BR15" s="100" t="s">
        <v>450</v>
      </c>
      <c r="BS15" s="100" t="s">
        <v>450</v>
      </c>
      <c r="BT15" s="100" t="s">
        <v>450</v>
      </c>
      <c r="BU15" s="100" t="s">
        <v>450</v>
      </c>
      <c r="BV15" s="100" t="s">
        <v>450</v>
      </c>
      <c r="BW15" s="100" t="s">
        <v>450</v>
      </c>
      <c r="BX15" s="100" t="s">
        <v>450</v>
      </c>
      <c r="BY15" s="100" t="s">
        <v>450</v>
      </c>
      <c r="BZ15" s="100" t="s">
        <v>450</v>
      </c>
      <c r="CA15" s="101" t="s">
        <v>450</v>
      </c>
      <c r="CD15" s="78">
        <f t="shared" si="11"/>
        <v>1</v>
      </c>
      <c r="CE15" s="85">
        <v>88</v>
      </c>
      <c r="CF15" s="85" t="str">
        <f>_xlfn.XLOOKUP($A15, 'Project Commitment'!$A:$A, 'Project Commitment'!M:M, "")</f>
        <v/>
      </c>
      <c r="CG15" s="85" t="str">
        <f>_xlfn.XLOOKUP($A15, 'Project Commitment'!$A:$A, 'Project Commitment'!N:N, "")</f>
        <v/>
      </c>
      <c r="CH15" s="85" t="str">
        <f>_xlfn.XLOOKUP($A15, 'Project Commitment'!$A:$A, 'Project Commitment'!O:O, "")</f>
        <v/>
      </c>
      <c r="CI15" s="85" t="str">
        <f>_xlfn.XLOOKUP($A15, 'Project Commitment'!$A:$A, 'Project Commitment'!P:P, "")</f>
        <v/>
      </c>
      <c r="CJ15" s="85" t="str">
        <f>_xlfn.XLOOKUP($A15, 'Project Commitment'!$A:$A, 'Project Commitment'!Q:Q, "")</f>
        <v/>
      </c>
      <c r="CK15" s="85" t="str">
        <f>_xlfn.XLOOKUP($A15, 'Project Commitment'!$A:$A, 'Project Commitment'!R:R, "")</f>
        <v/>
      </c>
      <c r="CL15" s="85" t="str">
        <f>_xlfn.XLOOKUP($A15, 'Project Commitment'!$A:$A, 'Project Commitment'!S:S, "")</f>
        <v/>
      </c>
      <c r="CM15" s="85" t="str">
        <f>_xlfn.XLOOKUP($A15, 'Project Commitment'!$A:$A, 'Project Commitment'!T:T, "")</f>
        <v/>
      </c>
      <c r="CN15" s="85" t="str">
        <f>_xlfn.XLOOKUP($A15, 'Project Commitment'!$A:$A, 'Project Commitment'!U:U, "")</f>
        <v/>
      </c>
      <c r="CO15" s="85" t="str">
        <f>_xlfn.XLOOKUP($A15, 'Project Commitment'!$A:$A, 'Project Commitment'!V:V, "")</f>
        <v/>
      </c>
      <c r="CP15" s="85" t="str">
        <f>_xlfn.XLOOKUP($A15, 'Project Commitment'!$A:$A, 'Project Commitment'!W:W, "")</f>
        <v/>
      </c>
      <c r="CQ15" s="85" t="str">
        <f>_xlfn.XLOOKUP($A15, 'Project Commitment'!$A:$A, 'Project Commitment'!X:X, "")</f>
        <v/>
      </c>
      <c r="CR15" s="85" t="str">
        <f>_xlfn.XLOOKUP($A15, 'Project Commitment'!$A:$A, 'Project Commitment'!Y:Y, "")</f>
        <v/>
      </c>
      <c r="CS15" s="85" t="str">
        <f>_xlfn.XLOOKUP($A15, 'Project Commitment'!$A:$A, 'Project Commitment'!Z:Z, "")</f>
        <v/>
      </c>
      <c r="CT15" s="85" t="str">
        <f>_xlfn.XLOOKUP($A15, 'Project Commitment'!$A:$A, 'Project Commitment'!AA:AA, "")</f>
        <v/>
      </c>
      <c r="CU15" s="85" t="str">
        <f>_xlfn.XLOOKUP($A15, 'Project Commitment'!$A:$A, 'Project Commitment'!AB:AB, "")</f>
        <v/>
      </c>
      <c r="DA15" s="85" t="str">
        <f t="shared" si="12"/>
        <v/>
      </c>
      <c r="DF15" s="85" t="str">
        <f t="shared" si="13"/>
        <v/>
      </c>
      <c r="DG15" s="85" t="str">
        <f t="shared" ca="1" si="14"/>
        <v/>
      </c>
      <c r="DI15" s="85" t="str">
        <f t="shared" si="15"/>
        <v/>
      </c>
      <c r="DJ15" s="85" t="str">
        <f t="shared" si="16"/>
        <v/>
      </c>
      <c r="DK15" s="85" t="str">
        <f t="shared" ca="1" si="17"/>
        <v/>
      </c>
      <c r="DM15" s="85" t="str">
        <f t="shared" si="18"/>
        <v/>
      </c>
      <c r="DN15" s="85" t="str">
        <f t="shared" ca="1" si="19"/>
        <v/>
      </c>
      <c r="DO15" s="85" t="str">
        <f t="shared" ca="1" si="20"/>
        <v/>
      </c>
      <c r="DP15" s="85" t="str">
        <f t="shared" si="21"/>
        <v/>
      </c>
      <c r="DQ15" s="85" t="str">
        <f t="shared" ca="1" si="22"/>
        <v>Space Template Approval Date cannot be blank</v>
      </c>
      <c r="DR15" s="85" t="str">
        <f t="shared" ca="1" si="23"/>
        <v>Child Care Floorplan Approval Date  cannot be blank if project includes child care.</v>
      </c>
      <c r="DS15" s="85" t="str">
        <f t="shared" si="24"/>
        <v>Initial Site Plan Submission Date cannot be blank</v>
      </c>
      <c r="DT15" s="85" t="str">
        <f t="shared" si="25"/>
        <v>Site Plan Approval Date cannot be blank</v>
      </c>
      <c r="DV15" s="85" t="str">
        <f t="shared" si="26"/>
        <v>Build Permit Obtained Date cannot be blank</v>
      </c>
      <c r="DX15" s="85" t="str">
        <f t="shared" si="27"/>
        <v>Tender Issued Date  cannot be blank</v>
      </c>
      <c r="DY15" s="85" t="str">
        <f t="shared" si="28"/>
        <v>Tender Closed Date cannot be blank</v>
      </c>
      <c r="DZ15" s="85" t="str">
        <f t="shared" si="29"/>
        <v>Contract Awarded Date cannot be blank</v>
      </c>
      <c r="EA15" s="85" t="str">
        <f t="shared" si="30"/>
        <v/>
      </c>
      <c r="EC15" s="85" t="str">
        <f t="shared" si="31"/>
        <v/>
      </c>
      <c r="EE15" s="85" t="str">
        <f t="shared" si="32"/>
        <v/>
      </c>
      <c r="EG15" s="85" t="str">
        <f t="shared" si="33"/>
        <v/>
      </c>
      <c r="EI15" s="85" t="str">
        <f t="shared" si="34"/>
        <v/>
      </c>
      <c r="EO15" s="85" t="str">
        <f t="shared" ca="1" si="35"/>
        <v/>
      </c>
      <c r="EP15" s="85" t="str">
        <f t="shared" si="36"/>
        <v>Estimated Cost - Construction Project cannot be blank.</v>
      </c>
      <c r="EQ15" s="85" t="str">
        <f t="shared" si="37"/>
        <v/>
      </c>
      <c r="ER15" s="85" t="str">
        <f t="shared" si="38"/>
        <v/>
      </c>
      <c r="ES15" s="85" t="str">
        <f t="shared" si="39"/>
        <v/>
      </c>
      <c r="EW15" s="85" t="str">
        <f t="shared" si="40"/>
        <v/>
      </c>
      <c r="EX15" s="85" t="str">
        <f t="shared" si="41"/>
        <v/>
      </c>
      <c r="EY15" s="85" t="str">
        <f t="shared" si="42"/>
        <v/>
      </c>
      <c r="EZ15" s="85" t="str">
        <f t="shared" si="43"/>
        <v/>
      </c>
      <c r="FA15" s="85" t="str">
        <f t="shared" si="44"/>
        <v/>
      </c>
      <c r="FB15" s="85" t="str">
        <f t="shared" si="45"/>
        <v/>
      </c>
      <c r="FC15" s="85" t="str">
        <f t="shared" si="46"/>
        <v/>
      </c>
      <c r="FD15" s="85" t="str">
        <f t="shared" si="47"/>
        <v/>
      </c>
      <c r="FE15" s="85" t="str">
        <f t="shared" ca="1" si="48"/>
        <v/>
      </c>
      <c r="FF15" s="85" t="str">
        <f t="shared" si="49"/>
        <v/>
      </c>
      <c r="FG15" s="85" t="str">
        <f t="shared" ca="1" si="50"/>
        <v/>
      </c>
      <c r="FH15" s="85" t="str">
        <f t="shared" ca="1" si="51"/>
        <v/>
      </c>
      <c r="FI15" s="85" t="str">
        <f t="shared" ca="1" si="52"/>
        <v/>
      </c>
      <c r="FJ15" s="85" t="str">
        <f t="shared" si="53"/>
        <v/>
      </c>
      <c r="FK15" s="85" t="str">
        <f t="shared" ca="1" si="54"/>
        <v/>
      </c>
      <c r="FL15" s="85" t="str">
        <f t="shared" si="55"/>
        <v/>
      </c>
    </row>
    <row r="16" spans="1:512" ht="15.6" customHeight="1" x14ac:dyDescent="0.25">
      <c r="A16" s="58" t="s">
        <v>481</v>
      </c>
      <c r="B16" s="90" t="s">
        <v>482</v>
      </c>
      <c r="C16" s="137" t="s">
        <v>628</v>
      </c>
      <c r="D16" s="51" t="s">
        <v>453</v>
      </c>
      <c r="E16" s="51" t="s">
        <v>479</v>
      </c>
      <c r="F16" s="59" t="s">
        <v>124</v>
      </c>
      <c r="G16" s="129" t="str">
        <f t="shared" si="9"/>
        <v>Planning</v>
      </c>
      <c r="H16" s="197">
        <v>46296</v>
      </c>
      <c r="I16" s="99" t="s">
        <v>308</v>
      </c>
      <c r="J16" s="157" t="s">
        <v>545</v>
      </c>
      <c r="K16" s="194" t="s">
        <v>545</v>
      </c>
      <c r="L16" s="198" t="s">
        <v>450</v>
      </c>
      <c r="M16" s="114" t="s">
        <v>308</v>
      </c>
      <c r="N16" s="51" t="s">
        <v>545</v>
      </c>
      <c r="O16" s="195" t="s">
        <v>545</v>
      </c>
      <c r="P16" s="135" t="s">
        <v>207</v>
      </c>
      <c r="Q16" s="198" t="s">
        <v>450</v>
      </c>
      <c r="R16" s="59" t="s">
        <v>114</v>
      </c>
      <c r="S16" s="198">
        <v>43836</v>
      </c>
      <c r="T16" s="199" t="s">
        <v>450</v>
      </c>
      <c r="U16" s="200" t="s">
        <v>450</v>
      </c>
      <c r="V16" s="198">
        <v>46204</v>
      </c>
      <c r="W16" s="99" t="s">
        <v>450</v>
      </c>
      <c r="X16" s="198" t="s">
        <v>450</v>
      </c>
      <c r="Y16" s="99" t="s">
        <v>450</v>
      </c>
      <c r="Z16" s="198" t="s">
        <v>450</v>
      </c>
      <c r="AA16" s="198" t="s">
        <v>450</v>
      </c>
      <c r="AB16" s="197" t="s">
        <v>450</v>
      </c>
      <c r="AC16" s="198">
        <v>46341</v>
      </c>
      <c r="AD16" s="99" t="s">
        <v>450</v>
      </c>
      <c r="AE16" s="198">
        <v>47301</v>
      </c>
      <c r="AF16" s="114" t="s">
        <v>450</v>
      </c>
      <c r="AG16" s="197">
        <v>47364</v>
      </c>
      <c r="AH16" s="99" t="s">
        <v>450</v>
      </c>
      <c r="AI16" s="198" t="s">
        <v>450</v>
      </c>
      <c r="AJ16" s="99" t="s">
        <v>450</v>
      </c>
      <c r="AK16" s="199">
        <v>47425</v>
      </c>
      <c r="AL16" s="152">
        <f t="shared" si="10"/>
        <v>11155222</v>
      </c>
      <c r="AM16" s="153">
        <v>11155222</v>
      </c>
      <c r="AN16" s="153" t="s">
        <v>450</v>
      </c>
      <c r="AO16" s="153" t="s">
        <v>450</v>
      </c>
      <c r="AP16" s="154" t="s">
        <v>450</v>
      </c>
      <c r="AQ16" s="137" t="s">
        <v>445</v>
      </c>
      <c r="AR16" s="91" t="s">
        <v>450</v>
      </c>
      <c r="AS16" s="91" t="s">
        <v>450</v>
      </c>
      <c r="AT16" s="91" t="s">
        <v>450</v>
      </c>
      <c r="AU16" s="91" t="s">
        <v>450</v>
      </c>
      <c r="AV16" s="59" t="s">
        <v>450</v>
      </c>
      <c r="AW16" s="59" t="s">
        <v>450</v>
      </c>
      <c r="AX16" s="59" t="s">
        <v>450</v>
      </c>
      <c r="AY16" s="59" t="s">
        <v>450</v>
      </c>
      <c r="AZ16" s="59" t="s">
        <v>450</v>
      </c>
      <c r="BA16" s="59" t="s">
        <v>450</v>
      </c>
      <c r="BB16" s="59" t="s">
        <v>450</v>
      </c>
      <c r="BC16" s="139" t="s">
        <v>450</v>
      </c>
      <c r="BD16" s="141" t="s">
        <v>567</v>
      </c>
      <c r="BE16" s="100" t="s">
        <v>567</v>
      </c>
      <c r="BF16" s="100" t="s">
        <v>567</v>
      </c>
      <c r="BG16" s="100" t="s">
        <v>568</v>
      </c>
      <c r="BH16" s="100" t="s">
        <v>450</v>
      </c>
      <c r="BI16" s="100" t="s">
        <v>450</v>
      </c>
      <c r="BJ16" s="100" t="s">
        <v>450</v>
      </c>
      <c r="BK16" s="100" t="s">
        <v>450</v>
      </c>
      <c r="BL16" s="100" t="s">
        <v>450</v>
      </c>
      <c r="BM16" s="100" t="s">
        <v>450</v>
      </c>
      <c r="BN16" s="100" t="s">
        <v>450</v>
      </c>
      <c r="BO16" s="100" t="s">
        <v>450</v>
      </c>
      <c r="BP16" s="100" t="s">
        <v>450</v>
      </c>
      <c r="BQ16" s="100" t="s">
        <v>450</v>
      </c>
      <c r="BR16" s="100" t="s">
        <v>450</v>
      </c>
      <c r="BS16" s="100" t="s">
        <v>450</v>
      </c>
      <c r="BT16" s="100" t="s">
        <v>450</v>
      </c>
      <c r="BU16" s="100" t="s">
        <v>450</v>
      </c>
      <c r="BV16" s="100" t="s">
        <v>450</v>
      </c>
      <c r="BW16" s="100" t="s">
        <v>450</v>
      </c>
      <c r="BX16" s="100" t="s">
        <v>450</v>
      </c>
      <c r="BY16" s="100" t="s">
        <v>450</v>
      </c>
      <c r="BZ16" s="100" t="s">
        <v>450</v>
      </c>
      <c r="CA16" s="101" t="s">
        <v>450</v>
      </c>
      <c r="CD16" s="78">
        <f t="shared" si="11"/>
        <v>1</v>
      </c>
      <c r="CE16" s="85">
        <v>0</v>
      </c>
      <c r="CF16" s="85">
        <f>_xlfn.XLOOKUP($A16, 'Project Commitment'!$A:$A, 'Project Commitment'!M:M, "")</f>
        <v>0</v>
      </c>
      <c r="CG16" s="85">
        <f>_xlfn.XLOOKUP($A16, 'Project Commitment'!$A:$A, 'Project Commitment'!N:N, "")</f>
        <v>0</v>
      </c>
      <c r="CH16" s="85">
        <f>_xlfn.XLOOKUP($A16, 'Project Commitment'!$A:$A, 'Project Commitment'!O:O, "")</f>
        <v>0</v>
      </c>
      <c r="CI16" s="85">
        <f>_xlfn.XLOOKUP($A16, 'Project Commitment'!$A:$A, 'Project Commitment'!P:P, "")</f>
        <v>0</v>
      </c>
      <c r="CJ16" s="85">
        <f>_xlfn.XLOOKUP($A16, 'Project Commitment'!$A:$A, 'Project Commitment'!Q:Q, "")</f>
        <v>0</v>
      </c>
      <c r="CK16" s="85">
        <f>_xlfn.XLOOKUP($A16, 'Project Commitment'!$A:$A, 'Project Commitment'!R:R, "")</f>
        <v>0</v>
      </c>
      <c r="CL16" s="85" t="e">
        <f>_xlfn.XLOOKUP($A16, 'Project Commitment'!$A:$A, 'Project Commitment'!S:S, "")</f>
        <v>#VALUE!</v>
      </c>
      <c r="CM16" s="85">
        <f>_xlfn.XLOOKUP($A16, 'Project Commitment'!$A:$A, 'Project Commitment'!T:T, "")</f>
        <v>0</v>
      </c>
      <c r="CN16" s="85" t="e">
        <f>_xlfn.XLOOKUP($A16, 'Project Commitment'!$A:$A, 'Project Commitment'!U:U, "")</f>
        <v>#VALUE!</v>
      </c>
      <c r="CO16" s="85" t="e">
        <f>_xlfn.XLOOKUP($A16, 'Project Commitment'!$A:$A, 'Project Commitment'!V:V, "")</f>
        <v>#VALUE!</v>
      </c>
      <c r="CP16" s="85">
        <f>_xlfn.XLOOKUP($A16, 'Project Commitment'!$A:$A, 'Project Commitment'!W:W, "")</f>
        <v>0</v>
      </c>
      <c r="CQ16" s="85">
        <f>_xlfn.XLOOKUP($A16, 'Project Commitment'!$A:$A, 'Project Commitment'!X:X, "")</f>
        <v>-14</v>
      </c>
      <c r="CR16" s="85" t="e">
        <f>_xlfn.XLOOKUP($A16, 'Project Commitment'!$A:$A, 'Project Commitment'!Y:Y, "")</f>
        <v>#VALUE!</v>
      </c>
      <c r="CS16" s="85">
        <f>_xlfn.XLOOKUP($A16, 'Project Commitment'!$A:$A, 'Project Commitment'!Z:Z, "")</f>
        <v>-2</v>
      </c>
      <c r="CT16" s="85">
        <f>_xlfn.XLOOKUP($A16, 'Project Commitment'!$A:$A, 'Project Commitment'!AA:AA, "")</f>
        <v>0</v>
      </c>
      <c r="CU16" s="85" t="e">
        <f>_xlfn.XLOOKUP($A16, 'Project Commitment'!$A:$A, 'Project Commitment'!AB:AB, "")</f>
        <v>#VALUE!</v>
      </c>
      <c r="DA16" s="85" t="str">
        <f t="shared" si="12"/>
        <v/>
      </c>
      <c r="DF16" s="85" t="str">
        <f t="shared" si="13"/>
        <v/>
      </c>
      <c r="DG16" s="85" t="str">
        <f t="shared" ca="1" si="14"/>
        <v/>
      </c>
      <c r="DI16" s="85" t="str">
        <f t="shared" si="15"/>
        <v/>
      </c>
      <c r="DJ16" s="85" t="str">
        <f t="shared" si="16"/>
        <v>Post-Tender Submission Date cannot be blank</v>
      </c>
      <c r="DK16" s="85" t="str">
        <f t="shared" ca="1" si="17"/>
        <v/>
      </c>
      <c r="DM16" s="85" t="str">
        <f t="shared" si="18"/>
        <v/>
      </c>
      <c r="DN16" s="85" t="str">
        <f t="shared" ca="1" si="19"/>
        <v/>
      </c>
      <c r="DO16" s="85" t="str">
        <f t="shared" ca="1" si="20"/>
        <v/>
      </c>
      <c r="DP16" s="85" t="str">
        <f t="shared" si="21"/>
        <v/>
      </c>
      <c r="DQ16" s="85" t="str">
        <f t="shared" ca="1" si="22"/>
        <v/>
      </c>
      <c r="DR16" s="85" t="str">
        <f t="shared" ca="1" si="23"/>
        <v/>
      </c>
      <c r="DS16" s="85" t="str">
        <f t="shared" si="24"/>
        <v>Initial Site Plan Submission Date cannot be blank</v>
      </c>
      <c r="DT16" s="85" t="str">
        <f t="shared" si="25"/>
        <v/>
      </c>
      <c r="DV16" s="85" t="str">
        <f t="shared" si="26"/>
        <v>Build Permit Obtained Date cannot be blank</v>
      </c>
      <c r="DX16" s="85" t="str">
        <f t="shared" si="27"/>
        <v>Tender Issued Date  cannot be blank</v>
      </c>
      <c r="DY16" s="85" t="str">
        <f t="shared" si="28"/>
        <v>Tender Closed Date cannot be blank</v>
      </c>
      <c r="DZ16" s="85" t="str">
        <f t="shared" si="29"/>
        <v>Contract Awarded Date cannot be blank</v>
      </c>
      <c r="EA16" s="85" t="str">
        <f t="shared" si="30"/>
        <v/>
      </c>
      <c r="EC16" s="85" t="str">
        <f t="shared" si="31"/>
        <v/>
      </c>
      <c r="EE16" s="85" t="str">
        <f t="shared" si="32"/>
        <v>School Opening Date  must preceed financial close date by  at least 12 months.</v>
      </c>
      <c r="EG16" s="85" t="str">
        <f t="shared" si="33"/>
        <v/>
      </c>
      <c r="EI16" s="85" t="str">
        <f t="shared" si="34"/>
        <v/>
      </c>
      <c r="EO16" s="85" t="str">
        <f t="shared" ca="1" si="35"/>
        <v/>
      </c>
      <c r="EP16" s="85" t="str">
        <f t="shared" si="36"/>
        <v>Estimated Cost - Construction Project cannot be blank.</v>
      </c>
      <c r="EQ16" s="85" t="str">
        <f t="shared" si="37"/>
        <v/>
      </c>
      <c r="ER16" s="85" t="str">
        <f t="shared" si="38"/>
        <v/>
      </c>
      <c r="ES16" s="85" t="str">
        <f t="shared" si="39"/>
        <v/>
      </c>
      <c r="EW16" s="85" t="str">
        <f t="shared" si="40"/>
        <v/>
      </c>
      <c r="EX16" s="85" t="str">
        <f t="shared" si="41"/>
        <v/>
      </c>
      <c r="EY16" s="85" t="str">
        <f t="shared" si="42"/>
        <v/>
      </c>
      <c r="EZ16" s="85" t="str">
        <f t="shared" si="43"/>
        <v/>
      </c>
      <c r="FA16" s="85" t="str">
        <f t="shared" si="44"/>
        <v/>
      </c>
      <c r="FB16" s="85" t="str">
        <f t="shared" si="45"/>
        <v/>
      </c>
      <c r="FC16" s="85" t="str">
        <f t="shared" si="46"/>
        <v/>
      </c>
      <c r="FD16" s="85" t="str">
        <f t="shared" si="47"/>
        <v/>
      </c>
      <c r="FE16" s="85" t="str">
        <f t="shared" ca="1" si="48"/>
        <v/>
      </c>
      <c r="FF16" s="85" t="str">
        <f t="shared" si="49"/>
        <v/>
      </c>
      <c r="FG16" s="85" t="str">
        <f t="shared" ca="1" si="50"/>
        <v/>
      </c>
      <c r="FH16" s="85" t="str">
        <f t="shared" ca="1" si="51"/>
        <v/>
      </c>
      <c r="FI16" s="85" t="str">
        <f t="shared" ca="1" si="52"/>
        <v/>
      </c>
      <c r="FJ16" s="85" t="str">
        <f t="shared" si="53"/>
        <v/>
      </c>
      <c r="FK16" s="85" t="str">
        <f t="shared" ca="1" si="54"/>
        <v/>
      </c>
      <c r="FL16" s="85" t="str">
        <f t="shared" si="55"/>
        <v/>
      </c>
    </row>
    <row r="17" spans="1:168" ht="15.6" customHeight="1" x14ac:dyDescent="0.25">
      <c r="A17" s="58" t="s">
        <v>483</v>
      </c>
      <c r="B17" s="90" t="s">
        <v>484</v>
      </c>
      <c r="C17" s="137" t="s">
        <v>629</v>
      </c>
      <c r="D17" s="51" t="s">
        <v>453</v>
      </c>
      <c r="E17" s="51" t="s">
        <v>194</v>
      </c>
      <c r="F17" s="59" t="s">
        <v>124</v>
      </c>
      <c r="G17" s="129" t="str">
        <f t="shared" si="9"/>
        <v>Open</v>
      </c>
      <c r="H17" s="197" t="s">
        <v>450</v>
      </c>
      <c r="I17" s="99" t="s">
        <v>207</v>
      </c>
      <c r="J17" s="157" t="s">
        <v>207</v>
      </c>
      <c r="K17" s="194" t="s">
        <v>207</v>
      </c>
      <c r="L17" s="198" t="s">
        <v>450</v>
      </c>
      <c r="M17" s="114" t="s">
        <v>207</v>
      </c>
      <c r="N17" s="51" t="s">
        <v>207</v>
      </c>
      <c r="O17" s="195" t="s">
        <v>207</v>
      </c>
      <c r="P17" s="135" t="s">
        <v>112</v>
      </c>
      <c r="Q17" s="198">
        <v>42430</v>
      </c>
      <c r="R17" s="59" t="s">
        <v>120</v>
      </c>
      <c r="S17" s="198" t="s">
        <v>450</v>
      </c>
      <c r="T17" s="199" t="s">
        <v>450</v>
      </c>
      <c r="U17" s="200" t="s">
        <v>450</v>
      </c>
      <c r="V17" s="198" t="s">
        <v>450</v>
      </c>
      <c r="W17" s="99" t="s">
        <v>450</v>
      </c>
      <c r="X17" s="198" t="s">
        <v>450</v>
      </c>
      <c r="Y17" s="99" t="s">
        <v>450</v>
      </c>
      <c r="Z17" s="198" t="s">
        <v>450</v>
      </c>
      <c r="AA17" s="198" t="s">
        <v>450</v>
      </c>
      <c r="AB17" s="197" t="s">
        <v>450</v>
      </c>
      <c r="AC17" s="198">
        <v>44690</v>
      </c>
      <c r="AD17" s="99" t="s">
        <v>450</v>
      </c>
      <c r="AE17" s="198">
        <v>45475</v>
      </c>
      <c r="AF17" s="114" t="s">
        <v>450</v>
      </c>
      <c r="AG17" s="197">
        <v>45538</v>
      </c>
      <c r="AH17" s="99" t="s">
        <v>450</v>
      </c>
      <c r="AI17" s="197">
        <v>45538</v>
      </c>
      <c r="AJ17" s="99" t="s">
        <v>450</v>
      </c>
      <c r="AK17" s="199">
        <v>46266</v>
      </c>
      <c r="AL17" s="152">
        <f t="shared" si="10"/>
        <v>28705675</v>
      </c>
      <c r="AM17" s="153">
        <v>26472844</v>
      </c>
      <c r="AN17" s="153">
        <v>1240631</v>
      </c>
      <c r="AO17" s="153">
        <v>992200</v>
      </c>
      <c r="AP17" s="154" t="s">
        <v>450</v>
      </c>
      <c r="AQ17" s="137" t="s">
        <v>449</v>
      </c>
      <c r="AR17" s="91" t="s">
        <v>450</v>
      </c>
      <c r="AS17" s="91" t="s">
        <v>450</v>
      </c>
      <c r="AT17" s="91" t="s">
        <v>450</v>
      </c>
      <c r="AU17" s="91" t="s">
        <v>450</v>
      </c>
      <c r="AV17" s="59" t="s">
        <v>450</v>
      </c>
      <c r="AW17" s="59" t="s">
        <v>450</v>
      </c>
      <c r="AX17" s="59" t="s">
        <v>450</v>
      </c>
      <c r="AY17" s="59" t="s">
        <v>450</v>
      </c>
      <c r="AZ17" s="59" t="s">
        <v>450</v>
      </c>
      <c r="BA17" s="59" t="s">
        <v>450</v>
      </c>
      <c r="BB17" s="59" t="s">
        <v>450</v>
      </c>
      <c r="BC17" s="139" t="s">
        <v>450</v>
      </c>
      <c r="BD17" s="141" t="s">
        <v>569</v>
      </c>
      <c r="BE17" s="100" t="s">
        <v>570</v>
      </c>
      <c r="BF17" s="100" t="s">
        <v>570</v>
      </c>
      <c r="BG17" s="100" t="s">
        <v>571</v>
      </c>
      <c r="BH17" s="100" t="s">
        <v>450</v>
      </c>
      <c r="BI17" s="100" t="s">
        <v>450</v>
      </c>
      <c r="BJ17" s="100" t="s">
        <v>450</v>
      </c>
      <c r="BK17" s="100" t="s">
        <v>450</v>
      </c>
      <c r="BL17" s="100" t="s">
        <v>450</v>
      </c>
      <c r="BM17" s="100" t="s">
        <v>450</v>
      </c>
      <c r="BN17" s="100" t="s">
        <v>450</v>
      </c>
      <c r="BO17" s="100" t="s">
        <v>450</v>
      </c>
      <c r="BP17" s="100" t="s">
        <v>450</v>
      </c>
      <c r="BQ17" s="100" t="s">
        <v>450</v>
      </c>
      <c r="BR17" s="100" t="s">
        <v>450</v>
      </c>
      <c r="BS17" s="100" t="s">
        <v>450</v>
      </c>
      <c r="BT17" s="100" t="s">
        <v>450</v>
      </c>
      <c r="BU17" s="100" t="s">
        <v>450</v>
      </c>
      <c r="BV17" s="100" t="s">
        <v>450</v>
      </c>
      <c r="BW17" s="100" t="s">
        <v>450</v>
      </c>
      <c r="BX17" s="100" t="s">
        <v>450</v>
      </c>
      <c r="BY17" s="100" t="s">
        <v>450</v>
      </c>
      <c r="BZ17" s="100" t="s">
        <v>450</v>
      </c>
      <c r="CA17" s="101" t="s">
        <v>450</v>
      </c>
      <c r="CD17" s="78">
        <f t="shared" si="11"/>
        <v>0</v>
      </c>
      <c r="CE17" s="85">
        <v>88</v>
      </c>
      <c r="CF17" s="85" t="str">
        <f>_xlfn.XLOOKUP($A17, 'Project Commitment'!$A:$A, 'Project Commitment'!M:M, "")</f>
        <v/>
      </c>
      <c r="CG17" s="85" t="str">
        <f>_xlfn.XLOOKUP($A17, 'Project Commitment'!$A:$A, 'Project Commitment'!N:N, "")</f>
        <v/>
      </c>
      <c r="CH17" s="85" t="str">
        <f>_xlfn.XLOOKUP($A17, 'Project Commitment'!$A:$A, 'Project Commitment'!O:O, "")</f>
        <v/>
      </c>
      <c r="CI17" s="85" t="str">
        <f>_xlfn.XLOOKUP($A17, 'Project Commitment'!$A:$A, 'Project Commitment'!P:P, "")</f>
        <v/>
      </c>
      <c r="CJ17" s="85" t="str">
        <f>_xlfn.XLOOKUP($A17, 'Project Commitment'!$A:$A, 'Project Commitment'!Q:Q, "")</f>
        <v/>
      </c>
      <c r="CK17" s="85" t="str">
        <f>_xlfn.XLOOKUP($A17, 'Project Commitment'!$A:$A, 'Project Commitment'!R:R, "")</f>
        <v/>
      </c>
      <c r="CL17" s="85" t="str">
        <f>_xlfn.XLOOKUP($A17, 'Project Commitment'!$A:$A, 'Project Commitment'!S:S, "")</f>
        <v/>
      </c>
      <c r="CM17" s="85" t="str">
        <f>_xlfn.XLOOKUP($A17, 'Project Commitment'!$A:$A, 'Project Commitment'!T:T, "")</f>
        <v/>
      </c>
      <c r="CN17" s="85" t="str">
        <f>_xlfn.XLOOKUP($A17, 'Project Commitment'!$A:$A, 'Project Commitment'!U:U, "")</f>
        <v/>
      </c>
      <c r="CO17" s="85" t="str">
        <f>_xlfn.XLOOKUP($A17, 'Project Commitment'!$A:$A, 'Project Commitment'!V:V, "")</f>
        <v/>
      </c>
      <c r="CP17" s="85" t="str">
        <f>_xlfn.XLOOKUP($A17, 'Project Commitment'!$A:$A, 'Project Commitment'!W:W, "")</f>
        <v/>
      </c>
      <c r="CQ17" s="85" t="str">
        <f>_xlfn.XLOOKUP($A17, 'Project Commitment'!$A:$A, 'Project Commitment'!X:X, "")</f>
        <v/>
      </c>
      <c r="CR17" s="85" t="str">
        <f>_xlfn.XLOOKUP($A17, 'Project Commitment'!$A:$A, 'Project Commitment'!Y:Y, "")</f>
        <v/>
      </c>
      <c r="CS17" s="85" t="str">
        <f>_xlfn.XLOOKUP($A17, 'Project Commitment'!$A:$A, 'Project Commitment'!Z:Z, "")</f>
        <v/>
      </c>
      <c r="CT17" s="85" t="str">
        <f>_xlfn.XLOOKUP($A17, 'Project Commitment'!$A:$A, 'Project Commitment'!AA:AA, "")</f>
        <v/>
      </c>
      <c r="CU17" s="85" t="str">
        <f>_xlfn.XLOOKUP($A17, 'Project Commitment'!$A:$A, 'Project Commitment'!AB:AB, "")</f>
        <v/>
      </c>
      <c r="DA17" s="85" t="str">
        <f t="shared" si="12"/>
        <v/>
      </c>
      <c r="DF17" s="85" t="str">
        <f t="shared" si="13"/>
        <v/>
      </c>
      <c r="DG17" s="85" t="str">
        <f t="shared" ca="1" si="14"/>
        <v/>
      </c>
      <c r="DI17" s="85" t="str">
        <f t="shared" si="15"/>
        <v/>
      </c>
      <c r="DJ17" s="85" t="str">
        <f t="shared" si="16"/>
        <v/>
      </c>
      <c r="DK17" s="85" t="str">
        <f t="shared" ca="1" si="17"/>
        <v/>
      </c>
      <c r="DM17" s="85" t="str">
        <f t="shared" si="18"/>
        <v/>
      </c>
      <c r="DN17" s="85" t="str">
        <f t="shared" ca="1" si="19"/>
        <v/>
      </c>
      <c r="DO17" s="85" t="str">
        <f t="shared" ca="1" si="20"/>
        <v/>
      </c>
      <c r="DP17" s="85" t="str">
        <f t="shared" si="21"/>
        <v/>
      </c>
      <c r="DQ17" s="85" t="str">
        <f t="shared" ca="1" si="22"/>
        <v>Space Template Approval Date cannot be blank</v>
      </c>
      <c r="DR17" s="85" t="str">
        <f t="shared" ca="1" si="23"/>
        <v>Child Care Floorplan Approval Date  cannot be blank if project includes child care.</v>
      </c>
      <c r="DS17" s="85" t="str">
        <f t="shared" si="24"/>
        <v>Initial Site Plan Submission Date cannot be blank</v>
      </c>
      <c r="DT17" s="85" t="str">
        <f t="shared" si="25"/>
        <v>Site Plan Approval Date cannot be blank</v>
      </c>
      <c r="DV17" s="85" t="str">
        <f t="shared" si="26"/>
        <v>Build Permit Obtained Date cannot be blank</v>
      </c>
      <c r="DX17" s="85" t="str">
        <f t="shared" si="27"/>
        <v>Tender Issued Date  cannot be blank</v>
      </c>
      <c r="DY17" s="85" t="str">
        <f t="shared" si="28"/>
        <v>Tender Closed Date cannot be blank</v>
      </c>
      <c r="DZ17" s="85" t="str">
        <f t="shared" si="29"/>
        <v>Contract Awarded Date cannot be blank</v>
      </c>
      <c r="EA17" s="85" t="str">
        <f t="shared" si="30"/>
        <v/>
      </c>
      <c r="EC17" s="85" t="str">
        <f t="shared" si="31"/>
        <v/>
      </c>
      <c r="EE17" s="85" t="str">
        <f t="shared" si="32"/>
        <v/>
      </c>
      <c r="EG17" s="85" t="str">
        <f t="shared" si="33"/>
        <v/>
      </c>
      <c r="EI17" s="85" t="str">
        <f t="shared" si="34"/>
        <v/>
      </c>
      <c r="EO17" s="85" t="str">
        <f t="shared" ca="1" si="35"/>
        <v/>
      </c>
      <c r="EP17" s="85" t="str">
        <f t="shared" si="36"/>
        <v>Estimated Cost - Construction Project cannot be blank.</v>
      </c>
      <c r="EQ17" s="85" t="str">
        <f t="shared" si="37"/>
        <v>Estimated Cost - Land cannot be blank.</v>
      </c>
      <c r="ER17" s="85" t="str">
        <f t="shared" si="38"/>
        <v>Estimated Cost - Demolition cannot be blank.</v>
      </c>
      <c r="ES17" s="85" t="str">
        <f t="shared" si="39"/>
        <v/>
      </c>
      <c r="EW17" s="85" t="str">
        <f t="shared" si="40"/>
        <v/>
      </c>
      <c r="EX17" s="85" t="str">
        <f t="shared" si="41"/>
        <v/>
      </c>
      <c r="EY17" s="85" t="str">
        <f t="shared" si="42"/>
        <v/>
      </c>
      <c r="EZ17" s="85" t="str">
        <f t="shared" si="43"/>
        <v/>
      </c>
      <c r="FA17" s="85" t="str">
        <f t="shared" si="44"/>
        <v/>
      </c>
      <c r="FB17" s="85" t="str">
        <f t="shared" si="45"/>
        <v/>
      </c>
      <c r="FC17" s="85" t="str">
        <f t="shared" si="46"/>
        <v/>
      </c>
      <c r="FD17" s="85" t="str">
        <f t="shared" si="47"/>
        <v/>
      </c>
      <c r="FE17" s="85" t="str">
        <f t="shared" ca="1" si="48"/>
        <v/>
      </c>
      <c r="FF17" s="85" t="str">
        <f t="shared" si="49"/>
        <v/>
      </c>
      <c r="FG17" s="85" t="str">
        <f t="shared" ca="1" si="50"/>
        <v/>
      </c>
      <c r="FH17" s="85" t="str">
        <f t="shared" ca="1" si="51"/>
        <v/>
      </c>
      <c r="FI17" s="85" t="str">
        <f t="shared" ca="1" si="52"/>
        <v/>
      </c>
      <c r="FJ17" s="85" t="str">
        <f t="shared" si="53"/>
        <v/>
      </c>
      <c r="FK17" s="85" t="str">
        <f t="shared" ca="1" si="54"/>
        <v/>
      </c>
      <c r="FL17" s="85" t="str">
        <f t="shared" si="55"/>
        <v/>
      </c>
    </row>
    <row r="18" spans="1:168" ht="15.6" customHeight="1" x14ac:dyDescent="0.25">
      <c r="A18" s="58" t="s">
        <v>488</v>
      </c>
      <c r="B18" s="90" t="s">
        <v>489</v>
      </c>
      <c r="C18" s="137" t="s">
        <v>572</v>
      </c>
      <c r="D18" s="51" t="s">
        <v>453</v>
      </c>
      <c r="E18" s="51" t="s">
        <v>468</v>
      </c>
      <c r="F18" s="59" t="s">
        <v>124</v>
      </c>
      <c r="G18" s="129" t="str">
        <f t="shared" si="9"/>
        <v>Open</v>
      </c>
      <c r="H18" s="197" t="s">
        <v>450</v>
      </c>
      <c r="I18" s="99" t="s">
        <v>207</v>
      </c>
      <c r="J18" s="157" t="s">
        <v>207</v>
      </c>
      <c r="K18" s="194" t="s">
        <v>207</v>
      </c>
      <c r="L18" s="198" t="s">
        <v>450</v>
      </c>
      <c r="M18" s="114" t="s">
        <v>207</v>
      </c>
      <c r="N18" s="51" t="s">
        <v>207</v>
      </c>
      <c r="O18" s="195" t="s">
        <v>207</v>
      </c>
      <c r="P18" s="135" t="s">
        <v>207</v>
      </c>
      <c r="Q18" s="198" t="s">
        <v>450</v>
      </c>
      <c r="R18" s="59" t="s">
        <v>120</v>
      </c>
      <c r="S18" s="198" t="s">
        <v>450</v>
      </c>
      <c r="T18" s="199" t="s">
        <v>450</v>
      </c>
      <c r="U18" s="200" t="s">
        <v>450</v>
      </c>
      <c r="V18" s="198" t="s">
        <v>450</v>
      </c>
      <c r="W18" s="99" t="s">
        <v>450</v>
      </c>
      <c r="X18" s="198" t="s">
        <v>450</v>
      </c>
      <c r="Y18" s="99" t="s">
        <v>450</v>
      </c>
      <c r="Z18" s="198" t="s">
        <v>450</v>
      </c>
      <c r="AA18" s="198" t="s">
        <v>450</v>
      </c>
      <c r="AB18" s="197" t="s">
        <v>450</v>
      </c>
      <c r="AC18" s="198">
        <v>44910</v>
      </c>
      <c r="AD18" s="99" t="s">
        <v>450</v>
      </c>
      <c r="AE18" s="198">
        <v>45627</v>
      </c>
      <c r="AF18" s="114" t="s">
        <v>450</v>
      </c>
      <c r="AG18" s="197">
        <v>45663</v>
      </c>
      <c r="AH18" s="99" t="s">
        <v>450</v>
      </c>
      <c r="AI18" s="198">
        <v>45748</v>
      </c>
      <c r="AJ18" s="99" t="s">
        <v>450</v>
      </c>
      <c r="AK18" s="199">
        <v>46266</v>
      </c>
      <c r="AL18" s="152">
        <f t="shared" si="10"/>
        <v>28088478</v>
      </c>
      <c r="AM18" s="153">
        <v>27329038</v>
      </c>
      <c r="AN18" s="153" t="s">
        <v>450</v>
      </c>
      <c r="AO18" s="153">
        <v>759440</v>
      </c>
      <c r="AP18" s="154" t="s">
        <v>450</v>
      </c>
      <c r="AQ18" s="137" t="s">
        <v>449</v>
      </c>
      <c r="AR18" s="91" t="s">
        <v>450</v>
      </c>
      <c r="AS18" s="91" t="s">
        <v>450</v>
      </c>
      <c r="AT18" s="91" t="s">
        <v>450</v>
      </c>
      <c r="AU18" s="91" t="s">
        <v>450</v>
      </c>
      <c r="AV18" s="59" t="s">
        <v>450</v>
      </c>
      <c r="AW18" s="59" t="s">
        <v>450</v>
      </c>
      <c r="AX18" s="59" t="s">
        <v>450</v>
      </c>
      <c r="AY18" s="59" t="s">
        <v>450</v>
      </c>
      <c r="AZ18" s="59" t="s">
        <v>450</v>
      </c>
      <c r="BA18" s="59" t="s">
        <v>450</v>
      </c>
      <c r="BB18" s="59" t="s">
        <v>450</v>
      </c>
      <c r="BC18" s="139" t="s">
        <v>450</v>
      </c>
      <c r="BD18" s="141" t="s">
        <v>572</v>
      </c>
      <c r="BE18" s="100" t="s">
        <v>572</v>
      </c>
      <c r="BF18" s="100" t="s">
        <v>572</v>
      </c>
      <c r="BG18" s="100" t="s">
        <v>571</v>
      </c>
      <c r="BH18" s="100" t="s">
        <v>450</v>
      </c>
      <c r="BI18" s="100" t="s">
        <v>450</v>
      </c>
      <c r="BJ18" s="100" t="s">
        <v>450</v>
      </c>
      <c r="BK18" s="100" t="s">
        <v>450</v>
      </c>
      <c r="BL18" s="100" t="s">
        <v>450</v>
      </c>
      <c r="BM18" s="100" t="s">
        <v>450</v>
      </c>
      <c r="BN18" s="100" t="s">
        <v>450</v>
      </c>
      <c r="BO18" s="100" t="s">
        <v>450</v>
      </c>
      <c r="BP18" s="100" t="s">
        <v>450</v>
      </c>
      <c r="BQ18" s="100" t="s">
        <v>450</v>
      </c>
      <c r="BR18" s="100" t="s">
        <v>450</v>
      </c>
      <c r="BS18" s="100" t="s">
        <v>450</v>
      </c>
      <c r="BT18" s="100" t="s">
        <v>450</v>
      </c>
      <c r="BU18" s="100" t="s">
        <v>450</v>
      </c>
      <c r="BV18" s="100" t="s">
        <v>450</v>
      </c>
      <c r="BW18" s="100" t="s">
        <v>450</v>
      </c>
      <c r="BX18" s="100" t="s">
        <v>450</v>
      </c>
      <c r="BY18" s="100" t="s">
        <v>450</v>
      </c>
      <c r="BZ18" s="100" t="s">
        <v>450</v>
      </c>
      <c r="CA18" s="101" t="s">
        <v>450</v>
      </c>
      <c r="CD18" s="78">
        <f t="shared" si="11"/>
        <v>1</v>
      </c>
      <c r="CE18" s="85">
        <v>88</v>
      </c>
      <c r="CF18" s="85" t="str">
        <f>_xlfn.XLOOKUP($A18, 'Project Commitment'!$A:$A, 'Project Commitment'!M:M, "")</f>
        <v/>
      </c>
      <c r="CG18" s="85" t="str">
        <f>_xlfn.XLOOKUP($A18, 'Project Commitment'!$A:$A, 'Project Commitment'!N:N, "")</f>
        <v/>
      </c>
      <c r="CH18" s="85" t="str">
        <f>_xlfn.XLOOKUP($A18, 'Project Commitment'!$A:$A, 'Project Commitment'!O:O, "")</f>
        <v/>
      </c>
      <c r="CI18" s="85" t="str">
        <f>_xlfn.XLOOKUP($A18, 'Project Commitment'!$A:$A, 'Project Commitment'!P:P, "")</f>
        <v/>
      </c>
      <c r="CJ18" s="85" t="str">
        <f>_xlfn.XLOOKUP($A18, 'Project Commitment'!$A:$A, 'Project Commitment'!Q:Q, "")</f>
        <v/>
      </c>
      <c r="CK18" s="85" t="str">
        <f>_xlfn.XLOOKUP($A18, 'Project Commitment'!$A:$A, 'Project Commitment'!R:R, "")</f>
        <v/>
      </c>
      <c r="CL18" s="85" t="str">
        <f>_xlfn.XLOOKUP($A18, 'Project Commitment'!$A:$A, 'Project Commitment'!S:S, "")</f>
        <v/>
      </c>
      <c r="CM18" s="85" t="str">
        <f>_xlfn.XLOOKUP($A18, 'Project Commitment'!$A:$A, 'Project Commitment'!T:T, "")</f>
        <v/>
      </c>
      <c r="CN18" s="85" t="str">
        <f>_xlfn.XLOOKUP($A18, 'Project Commitment'!$A:$A, 'Project Commitment'!U:U, "")</f>
        <v/>
      </c>
      <c r="CO18" s="85" t="str">
        <f>_xlfn.XLOOKUP($A18, 'Project Commitment'!$A:$A, 'Project Commitment'!V:V, "")</f>
        <v/>
      </c>
      <c r="CP18" s="85" t="str">
        <f>_xlfn.XLOOKUP($A18, 'Project Commitment'!$A:$A, 'Project Commitment'!W:W, "")</f>
        <v/>
      </c>
      <c r="CQ18" s="85" t="str">
        <f>_xlfn.XLOOKUP($A18, 'Project Commitment'!$A:$A, 'Project Commitment'!X:X, "")</f>
        <v/>
      </c>
      <c r="CR18" s="85" t="str">
        <f>_xlfn.XLOOKUP($A18, 'Project Commitment'!$A:$A, 'Project Commitment'!Y:Y, "")</f>
        <v/>
      </c>
      <c r="CS18" s="85" t="str">
        <f>_xlfn.XLOOKUP($A18, 'Project Commitment'!$A:$A, 'Project Commitment'!Z:Z, "")</f>
        <v/>
      </c>
      <c r="CT18" s="85" t="str">
        <f>_xlfn.XLOOKUP($A18, 'Project Commitment'!$A:$A, 'Project Commitment'!AA:AA, "")</f>
        <v/>
      </c>
      <c r="CU18" s="85" t="str">
        <f>_xlfn.XLOOKUP($A18, 'Project Commitment'!$A:$A, 'Project Commitment'!AB:AB, "")</f>
        <v/>
      </c>
      <c r="DA18" s="85" t="str">
        <f t="shared" si="12"/>
        <v/>
      </c>
      <c r="DF18" s="85" t="str">
        <f t="shared" si="13"/>
        <v/>
      </c>
      <c r="DG18" s="85" t="str">
        <f t="shared" ca="1" si="14"/>
        <v/>
      </c>
      <c r="DI18" s="85" t="str">
        <f t="shared" si="15"/>
        <v/>
      </c>
      <c r="DJ18" s="85" t="str">
        <f t="shared" si="16"/>
        <v/>
      </c>
      <c r="DK18" s="85" t="str">
        <f t="shared" ca="1" si="17"/>
        <v/>
      </c>
      <c r="DM18" s="85" t="str">
        <f t="shared" si="18"/>
        <v/>
      </c>
      <c r="DN18" s="85" t="str">
        <f t="shared" ca="1" si="19"/>
        <v/>
      </c>
      <c r="DO18" s="85" t="str">
        <f t="shared" ca="1" si="20"/>
        <v/>
      </c>
      <c r="DP18" s="85" t="str">
        <f t="shared" si="21"/>
        <v/>
      </c>
      <c r="DQ18" s="85" t="str">
        <f t="shared" ca="1" si="22"/>
        <v>Space Template Approval Date cannot be blank</v>
      </c>
      <c r="DR18" s="85" t="str">
        <f t="shared" ca="1" si="23"/>
        <v>Child Care Floorplan Approval Date  cannot be blank if project includes child care.</v>
      </c>
      <c r="DS18" s="85" t="str">
        <f t="shared" si="24"/>
        <v>Initial Site Plan Submission Date cannot be blank</v>
      </c>
      <c r="DT18" s="85" t="str">
        <f t="shared" si="25"/>
        <v>Site Plan Approval Date cannot be blank</v>
      </c>
      <c r="DV18" s="85" t="str">
        <f t="shared" si="26"/>
        <v>Build Permit Obtained Date cannot be blank</v>
      </c>
      <c r="DX18" s="85" t="str">
        <f t="shared" si="27"/>
        <v>Tender Issued Date  cannot be blank</v>
      </c>
      <c r="DY18" s="85" t="str">
        <f t="shared" si="28"/>
        <v>Tender Closed Date cannot be blank</v>
      </c>
      <c r="DZ18" s="85" t="str">
        <f t="shared" si="29"/>
        <v>Contract Awarded Date cannot be blank</v>
      </c>
      <c r="EA18" s="85" t="str">
        <f t="shared" si="30"/>
        <v/>
      </c>
      <c r="EC18" s="85" t="str">
        <f t="shared" si="31"/>
        <v/>
      </c>
      <c r="EE18" s="85" t="str">
        <f t="shared" si="32"/>
        <v/>
      </c>
      <c r="EG18" s="85" t="str">
        <f t="shared" si="33"/>
        <v/>
      </c>
      <c r="EI18" s="85" t="str">
        <f t="shared" si="34"/>
        <v/>
      </c>
      <c r="EO18" s="85" t="str">
        <f t="shared" ca="1" si="35"/>
        <v/>
      </c>
      <c r="EP18" s="85" t="str">
        <f t="shared" si="36"/>
        <v>Estimated Cost - Construction Project cannot be blank.</v>
      </c>
      <c r="EQ18" s="85" t="str">
        <f t="shared" si="37"/>
        <v/>
      </c>
      <c r="ER18" s="85" t="str">
        <f t="shared" si="38"/>
        <v>Estimated Cost - Demolition cannot be blank.</v>
      </c>
      <c r="ES18" s="85" t="str">
        <f t="shared" si="39"/>
        <v/>
      </c>
      <c r="EW18" s="85" t="str">
        <f t="shared" si="40"/>
        <v/>
      </c>
      <c r="EX18" s="85" t="str">
        <f t="shared" si="41"/>
        <v/>
      </c>
      <c r="EY18" s="85" t="str">
        <f t="shared" si="42"/>
        <v/>
      </c>
      <c r="EZ18" s="85" t="str">
        <f t="shared" si="43"/>
        <v/>
      </c>
      <c r="FA18" s="85" t="str">
        <f t="shared" si="44"/>
        <v/>
      </c>
      <c r="FB18" s="85" t="str">
        <f t="shared" si="45"/>
        <v/>
      </c>
      <c r="FC18" s="85" t="str">
        <f t="shared" si="46"/>
        <v/>
      </c>
      <c r="FD18" s="85" t="str">
        <f t="shared" si="47"/>
        <v/>
      </c>
      <c r="FE18" s="85" t="str">
        <f t="shared" ca="1" si="48"/>
        <v/>
      </c>
      <c r="FF18" s="85" t="str">
        <f t="shared" si="49"/>
        <v/>
      </c>
      <c r="FG18" s="85" t="str">
        <f t="shared" ca="1" si="50"/>
        <v/>
      </c>
      <c r="FH18" s="85" t="str">
        <f t="shared" ca="1" si="51"/>
        <v/>
      </c>
      <c r="FI18" s="85" t="str">
        <f t="shared" ca="1" si="52"/>
        <v/>
      </c>
      <c r="FJ18" s="85" t="str">
        <f t="shared" si="53"/>
        <v/>
      </c>
      <c r="FK18" s="85" t="str">
        <f t="shared" ca="1" si="54"/>
        <v/>
      </c>
      <c r="FL18" s="85" t="str">
        <f t="shared" si="55"/>
        <v/>
      </c>
    </row>
    <row r="19" spans="1:168" ht="15.6" customHeight="1" x14ac:dyDescent="0.25">
      <c r="A19" s="58" t="s">
        <v>492</v>
      </c>
      <c r="B19" s="90" t="s">
        <v>493</v>
      </c>
      <c r="C19" s="137" t="s">
        <v>630</v>
      </c>
      <c r="D19" s="51" t="s">
        <v>65</v>
      </c>
      <c r="E19" s="51" t="s">
        <v>194</v>
      </c>
      <c r="F19" s="59" t="s">
        <v>124</v>
      </c>
      <c r="G19" s="129" t="str">
        <f t="shared" si="9"/>
        <v>Planning</v>
      </c>
      <c r="H19" s="197">
        <v>45770</v>
      </c>
      <c r="I19" s="99" t="s">
        <v>307</v>
      </c>
      <c r="J19" s="157" t="s">
        <v>545</v>
      </c>
      <c r="K19" s="194" t="s">
        <v>545</v>
      </c>
      <c r="L19" s="198" t="s">
        <v>450</v>
      </c>
      <c r="M19" s="114" t="s">
        <v>308</v>
      </c>
      <c r="N19" s="51" t="s">
        <v>545</v>
      </c>
      <c r="O19" s="195" t="s">
        <v>545</v>
      </c>
      <c r="P19" s="135" t="s">
        <v>207</v>
      </c>
      <c r="Q19" s="198" t="s">
        <v>450</v>
      </c>
      <c r="R19" s="59" t="s">
        <v>120</v>
      </c>
      <c r="S19" s="198" t="s">
        <v>450</v>
      </c>
      <c r="T19" s="199" t="s">
        <v>450</v>
      </c>
      <c r="U19" s="200">
        <v>45881</v>
      </c>
      <c r="V19" s="198"/>
      <c r="W19" s="99" t="s">
        <v>450</v>
      </c>
      <c r="X19" s="198" t="s">
        <v>450</v>
      </c>
      <c r="Y19" s="99" t="s">
        <v>450</v>
      </c>
      <c r="Z19" s="198" t="s">
        <v>450</v>
      </c>
      <c r="AA19" s="198" t="s">
        <v>450</v>
      </c>
      <c r="AB19" s="197" t="s">
        <v>450</v>
      </c>
      <c r="AC19" s="198">
        <v>46204</v>
      </c>
      <c r="AD19" s="99" t="s">
        <v>450</v>
      </c>
      <c r="AE19" s="198">
        <v>46600</v>
      </c>
      <c r="AF19" s="114" t="s">
        <v>450</v>
      </c>
      <c r="AG19" s="197">
        <v>46636</v>
      </c>
      <c r="AH19" s="99" t="s">
        <v>450</v>
      </c>
      <c r="AI19" s="197"/>
      <c r="AJ19" s="99" t="s">
        <v>450</v>
      </c>
      <c r="AK19" s="199">
        <v>46721</v>
      </c>
      <c r="AL19" s="152">
        <f t="shared" si="10"/>
        <v>4936098</v>
      </c>
      <c r="AM19" s="153">
        <v>4936098</v>
      </c>
      <c r="AN19" s="153" t="s">
        <v>450</v>
      </c>
      <c r="AO19" s="153" t="s">
        <v>450</v>
      </c>
      <c r="AP19" s="154" t="s">
        <v>450</v>
      </c>
      <c r="AQ19" s="137" t="s">
        <v>448</v>
      </c>
      <c r="AR19" s="91" t="s">
        <v>450</v>
      </c>
      <c r="AS19" s="91" t="s">
        <v>450</v>
      </c>
      <c r="AT19" s="91" t="s">
        <v>450</v>
      </c>
      <c r="AU19" s="91" t="s">
        <v>450</v>
      </c>
      <c r="AV19" s="59" t="s">
        <v>450</v>
      </c>
      <c r="AW19" s="59" t="s">
        <v>450</v>
      </c>
      <c r="AX19" s="59" t="s">
        <v>450</v>
      </c>
      <c r="AY19" s="59" t="s">
        <v>450</v>
      </c>
      <c r="AZ19" s="59" t="s">
        <v>450</v>
      </c>
      <c r="BA19" s="59" t="s">
        <v>450</v>
      </c>
      <c r="BB19" s="59" t="s">
        <v>450</v>
      </c>
      <c r="BC19" s="139" t="s">
        <v>450</v>
      </c>
      <c r="BD19" s="141" t="s">
        <v>573</v>
      </c>
      <c r="BE19" s="100" t="s">
        <v>573</v>
      </c>
      <c r="BF19" s="100" t="s">
        <v>573</v>
      </c>
      <c r="BG19" s="100" t="s">
        <v>573</v>
      </c>
      <c r="BH19" s="100" t="s">
        <v>450</v>
      </c>
      <c r="BI19" s="100" t="s">
        <v>450</v>
      </c>
      <c r="BJ19" s="100" t="s">
        <v>450</v>
      </c>
      <c r="BK19" s="100" t="s">
        <v>450</v>
      </c>
      <c r="BL19" s="100" t="s">
        <v>450</v>
      </c>
      <c r="BM19" s="100" t="s">
        <v>450</v>
      </c>
      <c r="BN19" s="100" t="s">
        <v>450</v>
      </c>
      <c r="BO19" s="100" t="s">
        <v>450</v>
      </c>
      <c r="BP19" s="100" t="s">
        <v>450</v>
      </c>
      <c r="BQ19" s="100" t="s">
        <v>450</v>
      </c>
      <c r="BR19" s="100" t="s">
        <v>450</v>
      </c>
      <c r="BS19" s="100" t="s">
        <v>450</v>
      </c>
      <c r="BT19" s="100" t="s">
        <v>450</v>
      </c>
      <c r="BU19" s="100" t="s">
        <v>450</v>
      </c>
      <c r="BV19" s="100" t="s">
        <v>450</v>
      </c>
      <c r="BW19" s="100" t="s">
        <v>450</v>
      </c>
      <c r="BX19" s="100" t="s">
        <v>450</v>
      </c>
      <c r="BY19" s="100" t="s">
        <v>450</v>
      </c>
      <c r="BZ19" s="100" t="s">
        <v>450</v>
      </c>
      <c r="CA19" s="101" t="s">
        <v>450</v>
      </c>
      <c r="CD19" s="78">
        <f t="shared" si="11"/>
        <v>1</v>
      </c>
      <c r="CE19" s="85">
        <v>49</v>
      </c>
      <c r="CF19" s="85">
        <f>_xlfn.XLOOKUP($A19, 'Project Commitment'!$A:$A, 'Project Commitment'!M:M, "")</f>
        <v>0</v>
      </c>
      <c r="CG19" s="85" t="e">
        <f>_xlfn.XLOOKUP($A19, 'Project Commitment'!$A:$A, 'Project Commitment'!N:N, "")</f>
        <v>#VALUE!</v>
      </c>
      <c r="CH19" s="85">
        <f>_xlfn.XLOOKUP($A19, 'Project Commitment'!$A:$A, 'Project Commitment'!O:O, "")</f>
        <v>0</v>
      </c>
      <c r="CI19" s="85">
        <f>_xlfn.XLOOKUP($A19, 'Project Commitment'!$A:$A, 'Project Commitment'!P:P, "")</f>
        <v>0</v>
      </c>
      <c r="CJ19" s="85">
        <f>_xlfn.XLOOKUP($A19, 'Project Commitment'!$A:$A, 'Project Commitment'!Q:Q, "")</f>
        <v>45717</v>
      </c>
      <c r="CK19" s="85">
        <f>_xlfn.XLOOKUP($A19, 'Project Commitment'!$A:$A, 'Project Commitment'!R:R, "")</f>
        <v>0</v>
      </c>
      <c r="CL19" s="85" t="e">
        <f>_xlfn.XLOOKUP($A19, 'Project Commitment'!$A:$A, 'Project Commitment'!S:S, "")</f>
        <v>#VALUE!</v>
      </c>
      <c r="CM19" s="85">
        <f>_xlfn.XLOOKUP($A19, 'Project Commitment'!$A:$A, 'Project Commitment'!T:T, "")</f>
        <v>0</v>
      </c>
      <c r="CN19" s="85" t="e">
        <f>_xlfn.XLOOKUP($A19, 'Project Commitment'!$A:$A, 'Project Commitment'!U:U, "")</f>
        <v>#VALUE!</v>
      </c>
      <c r="CO19" s="85" t="e">
        <f>_xlfn.XLOOKUP($A19, 'Project Commitment'!$A:$A, 'Project Commitment'!V:V, "")</f>
        <v>#VALUE!</v>
      </c>
      <c r="CP19" s="85">
        <f>_xlfn.XLOOKUP($A19, 'Project Commitment'!$A:$A, 'Project Commitment'!W:W, "")</f>
        <v>0</v>
      </c>
      <c r="CQ19" s="85">
        <f>_xlfn.XLOOKUP($A19, 'Project Commitment'!$A:$A, 'Project Commitment'!X:X, "")</f>
        <v>-395</v>
      </c>
      <c r="CR19" s="85" t="e">
        <f>_xlfn.XLOOKUP($A19, 'Project Commitment'!$A:$A, 'Project Commitment'!Y:Y, "")</f>
        <v>#VALUE!</v>
      </c>
      <c r="CS19" s="85">
        <f>_xlfn.XLOOKUP($A19, 'Project Commitment'!$A:$A, 'Project Commitment'!Z:Z, "")</f>
        <v>-248</v>
      </c>
      <c r="CT19" s="85">
        <f>_xlfn.XLOOKUP($A19, 'Project Commitment'!$A:$A, 'Project Commitment'!AA:AA, "")</f>
        <v>0</v>
      </c>
      <c r="CU19" s="85" t="e">
        <f>_xlfn.XLOOKUP($A19, 'Project Commitment'!$A:$A, 'Project Commitment'!AB:AB, "")</f>
        <v>#VALUE!</v>
      </c>
      <c r="DA19" s="85" t="str">
        <f t="shared" si="12"/>
        <v/>
      </c>
      <c r="DF19" s="85" t="str">
        <f t="shared" si="13"/>
        <v/>
      </c>
      <c r="DG19" s="85" t="str">
        <f t="shared" ca="1" si="14"/>
        <v/>
      </c>
      <c r="DI19" s="85" t="str">
        <f t="shared" si="15"/>
        <v/>
      </c>
      <c r="DJ19" s="85" t="str">
        <f t="shared" si="16"/>
        <v>Post-Tender Submission Date cannot be blank</v>
      </c>
      <c r="DK19" s="85" t="str">
        <f t="shared" ca="1" si="17"/>
        <v/>
      </c>
      <c r="DM19" s="85" t="str">
        <f t="shared" si="18"/>
        <v/>
      </c>
      <c r="DN19" s="85" t="str">
        <f t="shared" ca="1" si="19"/>
        <v/>
      </c>
      <c r="DO19" s="85" t="str">
        <f t="shared" ca="1" si="20"/>
        <v/>
      </c>
      <c r="DP19" s="85" t="str">
        <f t="shared" si="21"/>
        <v/>
      </c>
      <c r="DQ19" s="85" t="str">
        <f t="shared" ca="1" si="22"/>
        <v>Space Template Approval Date cannot be blank</v>
      </c>
      <c r="DR19" s="85" t="str">
        <f t="shared" ca="1" si="23"/>
        <v>Child Care Floorplan Approval Date  cannot be blank if project includes child care.</v>
      </c>
      <c r="DS19" s="85" t="str">
        <f t="shared" si="24"/>
        <v/>
      </c>
      <c r="DT19" s="85" t="str">
        <f t="shared" si="25"/>
        <v>Site Plan Approval Date cannot be blank</v>
      </c>
      <c r="DV19" s="85" t="str">
        <f t="shared" si="26"/>
        <v>Build Permit Obtained Date cannot be blank</v>
      </c>
      <c r="DX19" s="85" t="str">
        <f t="shared" si="27"/>
        <v>Tender Issued Date  cannot be blank</v>
      </c>
      <c r="DY19" s="85" t="str">
        <f t="shared" si="28"/>
        <v>Tender Closed Date cannot be blank</v>
      </c>
      <c r="DZ19" s="85" t="str">
        <f t="shared" si="29"/>
        <v>Contract Awarded Date cannot be blank</v>
      </c>
      <c r="EA19" s="85" t="str">
        <f t="shared" si="30"/>
        <v/>
      </c>
      <c r="EC19" s="85" t="str">
        <f t="shared" si="31"/>
        <v/>
      </c>
      <c r="EE19" s="85" t="str">
        <f t="shared" si="32"/>
        <v>School Opening Date  must preceed financial close date by  at least 12 months.</v>
      </c>
      <c r="EG19" s="85" t="str">
        <f t="shared" si="33"/>
        <v>Child Care Opening Date cannot be blank</v>
      </c>
      <c r="EI19" s="85" t="str">
        <f t="shared" si="34"/>
        <v/>
      </c>
      <c r="EO19" s="85" t="str">
        <f t="shared" ca="1" si="35"/>
        <v/>
      </c>
      <c r="EP19" s="85" t="str">
        <f t="shared" si="36"/>
        <v>Estimated Cost - Construction Project cannot be blank.</v>
      </c>
      <c r="EQ19" s="85" t="str">
        <f t="shared" si="37"/>
        <v/>
      </c>
      <c r="ER19" s="85" t="str">
        <f t="shared" si="38"/>
        <v/>
      </c>
      <c r="ES19" s="85" t="str">
        <f t="shared" si="39"/>
        <v/>
      </c>
      <c r="EW19" s="85" t="str">
        <f t="shared" si="40"/>
        <v/>
      </c>
      <c r="EX19" s="85" t="str">
        <f t="shared" si="41"/>
        <v/>
      </c>
      <c r="EY19" s="85" t="str">
        <f t="shared" si="42"/>
        <v/>
      </c>
      <c r="EZ19" s="85" t="str">
        <f t="shared" si="43"/>
        <v/>
      </c>
      <c r="FA19" s="85" t="str">
        <f t="shared" si="44"/>
        <v/>
      </c>
      <c r="FB19" s="85" t="str">
        <f t="shared" si="45"/>
        <v/>
      </c>
      <c r="FC19" s="85" t="str">
        <f t="shared" si="46"/>
        <v/>
      </c>
      <c r="FD19" s="85" t="str">
        <f t="shared" si="47"/>
        <v/>
      </c>
      <c r="FE19" s="85" t="str">
        <f t="shared" ca="1" si="48"/>
        <v/>
      </c>
      <c r="FF19" s="85" t="str">
        <f t="shared" si="49"/>
        <v/>
      </c>
      <c r="FG19" s="85" t="str">
        <f t="shared" ca="1" si="50"/>
        <v/>
      </c>
      <c r="FH19" s="85" t="str">
        <f t="shared" ca="1" si="51"/>
        <v/>
      </c>
      <c r="FI19" s="85" t="str">
        <f t="shared" ca="1" si="52"/>
        <v/>
      </c>
      <c r="FJ19" s="85" t="str">
        <f t="shared" si="53"/>
        <v/>
      </c>
      <c r="FK19" s="85" t="str">
        <f t="shared" ca="1" si="54"/>
        <v/>
      </c>
      <c r="FL19" s="85" t="str">
        <f t="shared" si="55"/>
        <v/>
      </c>
    </row>
    <row r="20" spans="1:168" ht="15.6" customHeight="1" x14ac:dyDescent="0.25">
      <c r="A20" s="58" t="s">
        <v>496</v>
      </c>
      <c r="B20" s="90" t="s">
        <v>497</v>
      </c>
      <c r="C20" s="137" t="s">
        <v>631</v>
      </c>
      <c r="D20" s="51" t="s">
        <v>453</v>
      </c>
      <c r="E20" s="51" t="s">
        <v>194</v>
      </c>
      <c r="F20" s="59" t="s">
        <v>124</v>
      </c>
      <c r="G20" s="129" t="str">
        <f t="shared" si="9"/>
        <v>Planning</v>
      </c>
      <c r="H20" s="197">
        <v>45812</v>
      </c>
      <c r="I20" s="99" t="s">
        <v>307</v>
      </c>
      <c r="J20" s="157" t="s">
        <v>545</v>
      </c>
      <c r="K20" s="194" t="s">
        <v>545</v>
      </c>
      <c r="L20" s="198" t="s">
        <v>450</v>
      </c>
      <c r="M20" s="114" t="s">
        <v>308</v>
      </c>
      <c r="N20" s="51" t="s">
        <v>545</v>
      </c>
      <c r="O20" s="195" t="s">
        <v>545</v>
      </c>
      <c r="P20" s="135" t="s">
        <v>112</v>
      </c>
      <c r="Q20" s="198">
        <v>43733</v>
      </c>
      <c r="R20" s="59" t="s">
        <v>120</v>
      </c>
      <c r="S20" s="198">
        <v>43881</v>
      </c>
      <c r="T20" s="199" t="s">
        <v>450</v>
      </c>
      <c r="U20" s="200" t="s">
        <v>450</v>
      </c>
      <c r="V20" s="198">
        <v>45748</v>
      </c>
      <c r="W20" s="99" t="s">
        <v>450</v>
      </c>
      <c r="X20" s="198" t="s">
        <v>450</v>
      </c>
      <c r="Y20" s="99" t="s">
        <v>450</v>
      </c>
      <c r="Z20" s="198" t="s">
        <v>450</v>
      </c>
      <c r="AA20" s="198" t="s">
        <v>450</v>
      </c>
      <c r="AB20" s="197" t="s">
        <v>450</v>
      </c>
      <c r="AC20" s="198">
        <v>46113</v>
      </c>
      <c r="AD20" s="99" t="s">
        <v>450</v>
      </c>
      <c r="AE20" s="198">
        <v>46569</v>
      </c>
      <c r="AF20" s="114" t="s">
        <v>450</v>
      </c>
      <c r="AG20" s="197">
        <v>46637</v>
      </c>
      <c r="AH20" s="99" t="s">
        <v>450</v>
      </c>
      <c r="AI20" s="197">
        <v>46637</v>
      </c>
      <c r="AJ20" s="99" t="s">
        <v>450</v>
      </c>
      <c r="AK20" s="199">
        <v>46667</v>
      </c>
      <c r="AL20" s="152">
        <f t="shared" si="10"/>
        <v>12339687</v>
      </c>
      <c r="AM20" s="153">
        <v>12339687</v>
      </c>
      <c r="AN20" s="153" t="s">
        <v>450</v>
      </c>
      <c r="AO20" s="153" t="s">
        <v>450</v>
      </c>
      <c r="AP20" s="154" t="s">
        <v>450</v>
      </c>
      <c r="AQ20" s="137" t="s">
        <v>448</v>
      </c>
      <c r="AR20" s="91" t="s">
        <v>450</v>
      </c>
      <c r="AS20" s="91" t="s">
        <v>450</v>
      </c>
      <c r="AT20" s="91" t="s">
        <v>450</v>
      </c>
      <c r="AU20" s="91" t="s">
        <v>450</v>
      </c>
      <c r="AV20" s="59" t="s">
        <v>450</v>
      </c>
      <c r="AW20" s="59" t="s">
        <v>450</v>
      </c>
      <c r="AX20" s="59" t="s">
        <v>450</v>
      </c>
      <c r="AY20" s="59" t="s">
        <v>450</v>
      </c>
      <c r="AZ20" s="59" t="s">
        <v>450</v>
      </c>
      <c r="BA20" s="59" t="s">
        <v>450</v>
      </c>
      <c r="BB20" s="59" t="s">
        <v>450</v>
      </c>
      <c r="BC20" s="139" t="s">
        <v>450</v>
      </c>
      <c r="BD20" s="141" t="s">
        <v>574</v>
      </c>
      <c r="BE20" s="100" t="s">
        <v>575</v>
      </c>
      <c r="BF20" s="100" t="s">
        <v>576</v>
      </c>
      <c r="BG20" s="100" t="s">
        <v>576</v>
      </c>
      <c r="BH20" s="100" t="s">
        <v>450</v>
      </c>
      <c r="BI20" s="100" t="s">
        <v>450</v>
      </c>
      <c r="BJ20" s="100" t="s">
        <v>450</v>
      </c>
      <c r="BK20" s="100" t="s">
        <v>450</v>
      </c>
      <c r="BL20" s="100" t="s">
        <v>450</v>
      </c>
      <c r="BM20" s="100" t="s">
        <v>450</v>
      </c>
      <c r="BN20" s="100" t="s">
        <v>450</v>
      </c>
      <c r="BO20" s="100" t="s">
        <v>450</v>
      </c>
      <c r="BP20" s="100" t="s">
        <v>450</v>
      </c>
      <c r="BQ20" s="100" t="s">
        <v>450</v>
      </c>
      <c r="BR20" s="100" t="s">
        <v>450</v>
      </c>
      <c r="BS20" s="100" t="s">
        <v>450</v>
      </c>
      <c r="BT20" s="100" t="s">
        <v>450</v>
      </c>
      <c r="BU20" s="100" t="s">
        <v>450</v>
      </c>
      <c r="BV20" s="100" t="s">
        <v>450</v>
      </c>
      <c r="BW20" s="100" t="s">
        <v>450</v>
      </c>
      <c r="BX20" s="100" t="s">
        <v>450</v>
      </c>
      <c r="BY20" s="100" t="s">
        <v>450</v>
      </c>
      <c r="BZ20" s="100" t="s">
        <v>450</v>
      </c>
      <c r="CA20" s="101" t="s">
        <v>450</v>
      </c>
      <c r="CD20" s="78">
        <f t="shared" si="11"/>
        <v>0</v>
      </c>
      <c r="CE20" s="85">
        <v>49</v>
      </c>
      <c r="CF20" s="85">
        <f>_xlfn.XLOOKUP($A20, 'Project Commitment'!$A:$A, 'Project Commitment'!M:M, "")</f>
        <v>0</v>
      </c>
      <c r="CG20" s="85">
        <f>_xlfn.XLOOKUP($A20, 'Project Commitment'!$A:$A, 'Project Commitment'!N:N, "")</f>
        <v>0</v>
      </c>
      <c r="CH20" s="85">
        <f>_xlfn.XLOOKUP($A20, 'Project Commitment'!$A:$A, 'Project Commitment'!O:O, "")</f>
        <v>0</v>
      </c>
      <c r="CI20" s="85">
        <f>_xlfn.XLOOKUP($A20, 'Project Commitment'!$A:$A, 'Project Commitment'!P:P, "")</f>
        <v>0</v>
      </c>
      <c r="CJ20" s="85">
        <f>_xlfn.XLOOKUP($A20, 'Project Commitment'!$A:$A, 'Project Commitment'!Q:Q, "")</f>
        <v>0</v>
      </c>
      <c r="CK20" s="85">
        <f>_xlfn.XLOOKUP($A20, 'Project Commitment'!$A:$A, 'Project Commitment'!R:R, "")</f>
        <v>0</v>
      </c>
      <c r="CL20" s="85" t="e">
        <f>_xlfn.XLOOKUP($A20, 'Project Commitment'!$A:$A, 'Project Commitment'!S:S, "")</f>
        <v>#VALUE!</v>
      </c>
      <c r="CM20" s="85">
        <f>_xlfn.XLOOKUP($A20, 'Project Commitment'!$A:$A, 'Project Commitment'!T:T, "")</f>
        <v>0</v>
      </c>
      <c r="CN20" s="85" t="e">
        <f>_xlfn.XLOOKUP($A20, 'Project Commitment'!$A:$A, 'Project Commitment'!U:U, "")</f>
        <v>#VALUE!</v>
      </c>
      <c r="CO20" s="85" t="e">
        <f>_xlfn.XLOOKUP($A20, 'Project Commitment'!$A:$A, 'Project Commitment'!V:V, "")</f>
        <v>#VALUE!</v>
      </c>
      <c r="CP20" s="85">
        <f>_xlfn.XLOOKUP($A20, 'Project Commitment'!$A:$A, 'Project Commitment'!W:W, "")</f>
        <v>0</v>
      </c>
      <c r="CQ20" s="85">
        <f>_xlfn.XLOOKUP($A20, 'Project Commitment'!$A:$A, 'Project Commitment'!X:X, "")</f>
        <v>-274</v>
      </c>
      <c r="CR20" s="85" t="e">
        <f>_xlfn.XLOOKUP($A20, 'Project Commitment'!$A:$A, 'Project Commitment'!Y:Y, "")</f>
        <v>#VALUE!</v>
      </c>
      <c r="CS20" s="85">
        <f>_xlfn.XLOOKUP($A20, 'Project Commitment'!$A:$A, 'Project Commitment'!Z:Z, "")</f>
        <v>-6</v>
      </c>
      <c r="CT20" s="85">
        <f>_xlfn.XLOOKUP($A20, 'Project Commitment'!$A:$A, 'Project Commitment'!AA:AA, "")</f>
        <v>0</v>
      </c>
      <c r="CU20" s="85" t="e">
        <f>_xlfn.XLOOKUP($A20, 'Project Commitment'!$A:$A, 'Project Commitment'!AB:AB, "")</f>
        <v>#VALUE!</v>
      </c>
      <c r="DA20" s="85" t="str">
        <f t="shared" si="12"/>
        <v/>
      </c>
      <c r="DF20" s="85" t="str">
        <f t="shared" si="13"/>
        <v/>
      </c>
      <c r="DG20" s="85" t="str">
        <f t="shared" ca="1" si="14"/>
        <v/>
      </c>
      <c r="DI20" s="85" t="str">
        <f t="shared" si="15"/>
        <v/>
      </c>
      <c r="DJ20" s="85" t="str">
        <f t="shared" si="16"/>
        <v>Post-Tender Submission Date cannot be blank</v>
      </c>
      <c r="DK20" s="85" t="str">
        <f t="shared" ca="1" si="17"/>
        <v/>
      </c>
      <c r="DM20" s="85" t="str">
        <f t="shared" si="18"/>
        <v/>
      </c>
      <c r="DN20" s="85" t="str">
        <f t="shared" ca="1" si="19"/>
        <v/>
      </c>
      <c r="DO20" s="85" t="str">
        <f t="shared" ca="1" si="20"/>
        <v/>
      </c>
      <c r="DP20" s="85" t="str">
        <f t="shared" si="21"/>
        <v/>
      </c>
      <c r="DQ20" s="85" t="str">
        <f t="shared" ca="1" si="22"/>
        <v/>
      </c>
      <c r="DR20" s="85" t="str">
        <f t="shared" ca="1" si="23"/>
        <v>Child Care Floorplan Approval Date  cannot be blank if project includes child care.</v>
      </c>
      <c r="DS20" s="85" t="str">
        <f t="shared" si="24"/>
        <v>Initial Site Plan Submission Date cannot be blank</v>
      </c>
      <c r="DT20" s="85" t="str">
        <f t="shared" si="25"/>
        <v/>
      </c>
      <c r="DV20" s="85" t="str">
        <f t="shared" si="26"/>
        <v>Build Permit Obtained Date cannot be blank</v>
      </c>
      <c r="DX20" s="85" t="str">
        <f t="shared" si="27"/>
        <v>Tender Issued Date  cannot be blank</v>
      </c>
      <c r="DY20" s="85" t="str">
        <f t="shared" si="28"/>
        <v>Tender Closed Date cannot be blank</v>
      </c>
      <c r="DZ20" s="85" t="str">
        <f t="shared" si="29"/>
        <v>Contract Awarded Date cannot be blank</v>
      </c>
      <c r="EA20" s="85" t="str">
        <f t="shared" si="30"/>
        <v/>
      </c>
      <c r="EC20" s="85" t="str">
        <f t="shared" si="31"/>
        <v/>
      </c>
      <c r="EE20" s="85" t="str">
        <f t="shared" si="32"/>
        <v>School Opening Date  must preceed financial close date by  at least 12 months.</v>
      </c>
      <c r="EG20" s="85" t="str">
        <f t="shared" si="33"/>
        <v/>
      </c>
      <c r="EI20" s="85" t="str">
        <f t="shared" si="34"/>
        <v/>
      </c>
      <c r="EO20" s="85" t="str">
        <f t="shared" ca="1" si="35"/>
        <v/>
      </c>
      <c r="EP20" s="85" t="str">
        <f t="shared" si="36"/>
        <v>Estimated Cost - Construction Project cannot be blank.</v>
      </c>
      <c r="EQ20" s="85" t="str">
        <f t="shared" si="37"/>
        <v/>
      </c>
      <c r="ER20" s="85" t="str">
        <f t="shared" si="38"/>
        <v/>
      </c>
      <c r="ES20" s="85" t="str">
        <f t="shared" si="39"/>
        <v/>
      </c>
      <c r="EW20" s="85" t="str">
        <f t="shared" si="40"/>
        <v/>
      </c>
      <c r="EX20" s="85" t="str">
        <f t="shared" si="41"/>
        <v/>
      </c>
      <c r="EY20" s="85" t="str">
        <f t="shared" si="42"/>
        <v/>
      </c>
      <c r="EZ20" s="85" t="str">
        <f t="shared" si="43"/>
        <v/>
      </c>
      <c r="FA20" s="85" t="str">
        <f t="shared" si="44"/>
        <v/>
      </c>
      <c r="FB20" s="85" t="str">
        <f t="shared" si="45"/>
        <v/>
      </c>
      <c r="FC20" s="85" t="str">
        <f t="shared" si="46"/>
        <v/>
      </c>
      <c r="FD20" s="85" t="str">
        <f t="shared" si="47"/>
        <v/>
      </c>
      <c r="FE20" s="85" t="str">
        <f t="shared" ca="1" si="48"/>
        <v/>
      </c>
      <c r="FF20" s="85" t="str">
        <f t="shared" si="49"/>
        <v/>
      </c>
      <c r="FG20" s="85" t="str">
        <f t="shared" ca="1" si="50"/>
        <v/>
      </c>
      <c r="FH20" s="85" t="str">
        <f t="shared" ca="1" si="51"/>
        <v/>
      </c>
      <c r="FI20" s="85" t="str">
        <f t="shared" ca="1" si="52"/>
        <v/>
      </c>
      <c r="FJ20" s="85" t="str">
        <f t="shared" si="53"/>
        <v/>
      </c>
      <c r="FK20" s="85" t="str">
        <f t="shared" ca="1" si="54"/>
        <v/>
      </c>
      <c r="FL20" s="85" t="str">
        <f t="shared" si="55"/>
        <v/>
      </c>
    </row>
    <row r="21" spans="1:168" ht="15.6" customHeight="1" x14ac:dyDescent="0.25">
      <c r="A21" s="58" t="s">
        <v>500</v>
      </c>
      <c r="B21" s="90" t="s">
        <v>501</v>
      </c>
      <c r="C21" s="137" t="s">
        <v>624</v>
      </c>
      <c r="D21" s="51" t="s">
        <v>453</v>
      </c>
      <c r="E21" s="51" t="s">
        <v>194</v>
      </c>
      <c r="F21" s="59" t="s">
        <v>124</v>
      </c>
      <c r="G21" s="129" t="str">
        <f t="shared" si="9"/>
        <v>Under Construction</v>
      </c>
      <c r="H21" s="197" t="s">
        <v>450</v>
      </c>
      <c r="I21" s="99" t="s">
        <v>207</v>
      </c>
      <c r="J21" s="157" t="s">
        <v>207</v>
      </c>
      <c r="K21" s="194" t="s">
        <v>207</v>
      </c>
      <c r="L21" s="198" t="s">
        <v>450</v>
      </c>
      <c r="M21" s="114" t="s">
        <v>207</v>
      </c>
      <c r="N21" s="51" t="s">
        <v>207</v>
      </c>
      <c r="O21" s="195" t="s">
        <v>207</v>
      </c>
      <c r="P21" s="135" t="s">
        <v>112</v>
      </c>
      <c r="Q21" s="198">
        <v>43531</v>
      </c>
      <c r="R21" s="59" t="s">
        <v>120</v>
      </c>
      <c r="S21" s="198">
        <v>44229</v>
      </c>
      <c r="T21" s="199">
        <v>45244</v>
      </c>
      <c r="U21" s="200">
        <v>45414</v>
      </c>
      <c r="V21" s="198">
        <v>45642</v>
      </c>
      <c r="W21" s="99" t="s">
        <v>450</v>
      </c>
      <c r="X21" s="198">
        <v>45689</v>
      </c>
      <c r="Y21" s="99" t="s">
        <v>450</v>
      </c>
      <c r="Z21" s="198">
        <v>45567</v>
      </c>
      <c r="AA21" s="198">
        <v>45611</v>
      </c>
      <c r="AB21" s="197">
        <v>45646</v>
      </c>
      <c r="AC21" s="198">
        <v>45689</v>
      </c>
      <c r="AD21" s="99" t="s">
        <v>450</v>
      </c>
      <c r="AE21" s="198">
        <v>46600</v>
      </c>
      <c r="AF21" s="114" t="s">
        <v>450</v>
      </c>
      <c r="AG21" s="197">
        <v>46631</v>
      </c>
      <c r="AH21" s="99" t="s">
        <v>450</v>
      </c>
      <c r="AI21" s="197">
        <v>46631</v>
      </c>
      <c r="AJ21" s="99" t="s">
        <v>450</v>
      </c>
      <c r="AK21" s="199">
        <v>47084</v>
      </c>
      <c r="AL21" s="152">
        <f t="shared" si="10"/>
        <v>41164070</v>
      </c>
      <c r="AM21" s="153">
        <v>41164070</v>
      </c>
      <c r="AN21" s="153" t="s">
        <v>450</v>
      </c>
      <c r="AO21" s="153" t="s">
        <v>450</v>
      </c>
      <c r="AP21" s="154" t="s">
        <v>450</v>
      </c>
      <c r="AQ21" s="137" t="s">
        <v>448</v>
      </c>
      <c r="AR21" s="91" t="s">
        <v>450</v>
      </c>
      <c r="AS21" s="91" t="s">
        <v>450</v>
      </c>
      <c r="AT21" s="91" t="s">
        <v>450</v>
      </c>
      <c r="AU21" s="91" t="s">
        <v>450</v>
      </c>
      <c r="AV21" s="59" t="s">
        <v>450</v>
      </c>
      <c r="AW21" s="59" t="s">
        <v>450</v>
      </c>
      <c r="AX21" s="59" t="s">
        <v>450</v>
      </c>
      <c r="AY21" s="59" t="s">
        <v>450</v>
      </c>
      <c r="AZ21" s="59" t="s">
        <v>450</v>
      </c>
      <c r="BA21" s="59" t="s">
        <v>450</v>
      </c>
      <c r="BB21" s="59" t="s">
        <v>450</v>
      </c>
      <c r="BC21" s="139" t="s">
        <v>450</v>
      </c>
      <c r="BD21" s="141" t="s">
        <v>577</v>
      </c>
      <c r="BE21" s="100" t="s">
        <v>578</v>
      </c>
      <c r="BF21" s="100" t="s">
        <v>579</v>
      </c>
      <c r="BG21" s="100" t="s">
        <v>580</v>
      </c>
      <c r="BH21" s="100" t="s">
        <v>450</v>
      </c>
      <c r="BI21" s="100" t="s">
        <v>450</v>
      </c>
      <c r="BJ21" s="100" t="s">
        <v>450</v>
      </c>
      <c r="BK21" s="100" t="s">
        <v>450</v>
      </c>
      <c r="BL21" s="100" t="s">
        <v>450</v>
      </c>
      <c r="BM21" s="100" t="s">
        <v>450</v>
      </c>
      <c r="BN21" s="100" t="s">
        <v>450</v>
      </c>
      <c r="BO21" s="100" t="s">
        <v>450</v>
      </c>
      <c r="BP21" s="100" t="s">
        <v>450</v>
      </c>
      <c r="BQ21" s="100" t="s">
        <v>450</v>
      </c>
      <c r="BR21" s="100" t="s">
        <v>450</v>
      </c>
      <c r="BS21" s="100" t="s">
        <v>450</v>
      </c>
      <c r="BT21" s="100" t="s">
        <v>450</v>
      </c>
      <c r="BU21" s="100" t="s">
        <v>450</v>
      </c>
      <c r="BV21" s="100" t="s">
        <v>450</v>
      </c>
      <c r="BW21" s="100" t="s">
        <v>450</v>
      </c>
      <c r="BX21" s="100" t="s">
        <v>450</v>
      </c>
      <c r="BY21" s="100" t="s">
        <v>450</v>
      </c>
      <c r="BZ21" s="100" t="s">
        <v>450</v>
      </c>
      <c r="CA21" s="101" t="s">
        <v>450</v>
      </c>
      <c r="CD21" s="78">
        <f t="shared" si="11"/>
        <v>0</v>
      </c>
      <c r="CE21" s="85">
        <v>88</v>
      </c>
      <c r="CF21" s="85">
        <f>_xlfn.XLOOKUP($A21, 'Project Commitment'!$A:$A, 'Project Commitment'!M:M, "")</f>
        <v>0</v>
      </c>
      <c r="CG21" s="85">
        <f>_xlfn.XLOOKUP($A21, 'Project Commitment'!$A:$A, 'Project Commitment'!N:N, "")</f>
        <v>0</v>
      </c>
      <c r="CH21" s="85">
        <f>_xlfn.XLOOKUP($A21, 'Project Commitment'!$A:$A, 'Project Commitment'!O:O, "")</f>
        <v>0</v>
      </c>
      <c r="CI21" s="85">
        <f>_xlfn.XLOOKUP($A21, 'Project Commitment'!$A:$A, 'Project Commitment'!P:P, "")</f>
        <v>0</v>
      </c>
      <c r="CJ21" s="85">
        <f>_xlfn.XLOOKUP($A21, 'Project Commitment'!$A:$A, 'Project Commitment'!Q:Q, "")</f>
        <v>-15</v>
      </c>
      <c r="CK21" s="85">
        <f>_xlfn.XLOOKUP($A21, 'Project Commitment'!$A:$A, 'Project Commitment'!R:R, "")</f>
        <v>0</v>
      </c>
      <c r="CL21" s="85" t="e">
        <f>_xlfn.XLOOKUP($A21, 'Project Commitment'!$A:$A, 'Project Commitment'!S:S, "")</f>
        <v>#VALUE!</v>
      </c>
      <c r="CM21" s="85">
        <f>_xlfn.XLOOKUP($A21, 'Project Commitment'!$A:$A, 'Project Commitment'!T:T, "")</f>
        <v>0</v>
      </c>
      <c r="CN21" s="85" t="e">
        <f>_xlfn.XLOOKUP($A21, 'Project Commitment'!$A:$A, 'Project Commitment'!U:U, "")</f>
        <v>#VALUE!</v>
      </c>
      <c r="CO21" s="85" t="e">
        <f>_xlfn.XLOOKUP($A21, 'Project Commitment'!$A:$A, 'Project Commitment'!V:V, "")</f>
        <v>#VALUE!</v>
      </c>
      <c r="CP21" s="85">
        <f>_xlfn.XLOOKUP($A21, 'Project Commitment'!$A:$A, 'Project Commitment'!W:W, "")</f>
        <v>0</v>
      </c>
      <c r="CQ21" s="85">
        <f>_xlfn.XLOOKUP($A21, 'Project Commitment'!$A:$A, 'Project Commitment'!X:X, "")</f>
        <v>-31</v>
      </c>
      <c r="CR21" s="85" t="e">
        <f>_xlfn.XLOOKUP($A21, 'Project Commitment'!$A:$A, 'Project Commitment'!Y:Y, "")</f>
        <v>#VALUE!</v>
      </c>
      <c r="CS21" s="85">
        <f>_xlfn.XLOOKUP($A21, 'Project Commitment'!$A:$A, 'Project Commitment'!Z:Z, "")</f>
        <v>0</v>
      </c>
      <c r="CT21" s="85">
        <f>_xlfn.XLOOKUP($A21, 'Project Commitment'!$A:$A, 'Project Commitment'!AA:AA, "")</f>
        <v>0</v>
      </c>
      <c r="CU21" s="85" t="e">
        <f>_xlfn.XLOOKUP($A21, 'Project Commitment'!$A:$A, 'Project Commitment'!AB:AB, "")</f>
        <v>#VALUE!</v>
      </c>
      <c r="DA21" s="85" t="str">
        <f t="shared" si="12"/>
        <v/>
      </c>
      <c r="DF21" s="85" t="str">
        <f t="shared" si="13"/>
        <v/>
      </c>
      <c r="DG21" s="85" t="str">
        <f t="shared" ca="1" si="14"/>
        <v/>
      </c>
      <c r="DI21" s="85" t="str">
        <f t="shared" si="15"/>
        <v/>
      </c>
      <c r="DJ21" s="85" t="str">
        <f t="shared" si="16"/>
        <v/>
      </c>
      <c r="DK21" s="85" t="str">
        <f t="shared" ca="1" si="17"/>
        <v/>
      </c>
      <c r="DM21" s="85" t="str">
        <f t="shared" si="18"/>
        <v/>
      </c>
      <c r="DN21" s="85" t="str">
        <f t="shared" ca="1" si="19"/>
        <v/>
      </c>
      <c r="DO21" s="85" t="str">
        <f t="shared" ca="1" si="20"/>
        <v/>
      </c>
      <c r="DP21" s="85" t="str">
        <f t="shared" si="21"/>
        <v/>
      </c>
      <c r="DQ21" s="85" t="str">
        <f t="shared" ca="1" si="22"/>
        <v/>
      </c>
      <c r="DR21" s="85" t="str">
        <f t="shared" ca="1" si="23"/>
        <v/>
      </c>
      <c r="DS21" s="85" t="str">
        <f t="shared" si="24"/>
        <v/>
      </c>
      <c r="DT21" s="85" t="str">
        <f t="shared" si="25"/>
        <v/>
      </c>
      <c r="DV21" s="85" t="str">
        <f t="shared" si="26"/>
        <v/>
      </c>
      <c r="DX21" s="85" t="str">
        <f t="shared" si="27"/>
        <v/>
      </c>
      <c r="DY21" s="85" t="str">
        <f t="shared" si="28"/>
        <v/>
      </c>
      <c r="DZ21" s="85" t="str">
        <f t="shared" si="29"/>
        <v/>
      </c>
      <c r="EA21" s="85" t="str">
        <f t="shared" si="30"/>
        <v/>
      </c>
      <c r="EC21" s="85" t="str">
        <f t="shared" si="31"/>
        <v/>
      </c>
      <c r="EE21" s="85" t="str">
        <f t="shared" si="32"/>
        <v/>
      </c>
      <c r="EG21" s="85" t="str">
        <f t="shared" si="33"/>
        <v/>
      </c>
      <c r="EI21" s="85" t="str">
        <f t="shared" si="34"/>
        <v/>
      </c>
      <c r="EO21" s="85" t="str">
        <f t="shared" ca="1" si="35"/>
        <v>Contract awarded date suggests estimate should be based on tender results</v>
      </c>
      <c r="EP21" s="85" t="str">
        <f t="shared" si="36"/>
        <v>Estimated Cost - Construction Project cannot be blank.</v>
      </c>
      <c r="EQ21" s="85" t="str">
        <f t="shared" si="37"/>
        <v/>
      </c>
      <c r="ER21" s="85" t="str">
        <f t="shared" si="38"/>
        <v/>
      </c>
      <c r="ES21" s="85" t="str">
        <f t="shared" si="39"/>
        <v/>
      </c>
      <c r="EW21" s="85" t="str">
        <f t="shared" si="40"/>
        <v/>
      </c>
      <c r="EX21" s="85" t="str">
        <f t="shared" si="41"/>
        <v/>
      </c>
      <c r="EY21" s="85" t="str">
        <f t="shared" si="42"/>
        <v/>
      </c>
      <c r="EZ21" s="85" t="str">
        <f t="shared" si="43"/>
        <v/>
      </c>
      <c r="FA21" s="85" t="str">
        <f t="shared" si="44"/>
        <v/>
      </c>
      <c r="FB21" s="85" t="str">
        <f t="shared" si="45"/>
        <v/>
      </c>
      <c r="FC21" s="85" t="str">
        <f t="shared" si="46"/>
        <v/>
      </c>
      <c r="FD21" s="85" t="str">
        <f t="shared" si="47"/>
        <v/>
      </c>
      <c r="FE21" s="85" t="str">
        <f t="shared" ca="1" si="48"/>
        <v/>
      </c>
      <c r="FF21" s="85" t="str">
        <f t="shared" si="49"/>
        <v/>
      </c>
      <c r="FG21" s="85" t="str">
        <f t="shared" ca="1" si="50"/>
        <v/>
      </c>
      <c r="FH21" s="85" t="str">
        <f t="shared" ca="1" si="51"/>
        <v/>
      </c>
      <c r="FI21" s="85" t="str">
        <f t="shared" ca="1" si="52"/>
        <v/>
      </c>
      <c r="FJ21" s="85" t="str">
        <f t="shared" si="53"/>
        <v/>
      </c>
      <c r="FK21" s="85" t="str">
        <f t="shared" ca="1" si="54"/>
        <v/>
      </c>
      <c r="FL21" s="85" t="str">
        <f t="shared" si="55"/>
        <v/>
      </c>
    </row>
    <row r="22" spans="1:168" ht="15.6" customHeight="1" x14ac:dyDescent="0.25">
      <c r="A22" s="58" t="s">
        <v>504</v>
      </c>
      <c r="B22" s="90" t="s">
        <v>505</v>
      </c>
      <c r="C22" s="137" t="s">
        <v>632</v>
      </c>
      <c r="D22" s="51" t="s">
        <v>453</v>
      </c>
      <c r="E22" s="51" t="s">
        <v>194</v>
      </c>
      <c r="F22" s="59" t="s">
        <v>124</v>
      </c>
      <c r="G22" s="129" t="str">
        <f t="shared" si="9"/>
        <v>Planning</v>
      </c>
      <c r="H22" s="197">
        <v>45972</v>
      </c>
      <c r="I22" s="99" t="s">
        <v>307</v>
      </c>
      <c r="J22" s="157" t="s">
        <v>545</v>
      </c>
      <c r="K22" s="194" t="s">
        <v>413</v>
      </c>
      <c r="L22" s="198">
        <v>46295</v>
      </c>
      <c r="M22" s="114" t="s">
        <v>308</v>
      </c>
      <c r="N22" s="51" t="s">
        <v>545</v>
      </c>
      <c r="O22" s="195" t="s">
        <v>545</v>
      </c>
      <c r="P22" s="135" t="s">
        <v>112</v>
      </c>
      <c r="Q22" s="198">
        <v>45573</v>
      </c>
      <c r="R22" s="59" t="s">
        <v>120</v>
      </c>
      <c r="S22" s="198">
        <v>45566</v>
      </c>
      <c r="T22" s="199" t="s">
        <v>450</v>
      </c>
      <c r="U22" s="200" t="s">
        <v>450</v>
      </c>
      <c r="V22" s="198" t="s">
        <v>450</v>
      </c>
      <c r="W22" s="99" t="s">
        <v>450</v>
      </c>
      <c r="X22" s="198" t="s">
        <v>450</v>
      </c>
      <c r="Y22" s="99" t="s">
        <v>450</v>
      </c>
      <c r="Z22" s="198">
        <v>46203</v>
      </c>
      <c r="AA22" s="198">
        <v>46249</v>
      </c>
      <c r="AB22" s="197">
        <v>46295</v>
      </c>
      <c r="AC22" s="198">
        <v>46325</v>
      </c>
      <c r="AD22" s="99" t="s">
        <v>450</v>
      </c>
      <c r="AE22" s="198">
        <v>46741</v>
      </c>
      <c r="AF22" s="114" t="s">
        <v>450</v>
      </c>
      <c r="AG22" s="197">
        <v>46753</v>
      </c>
      <c r="AH22" s="99" t="s">
        <v>450</v>
      </c>
      <c r="AI22" s="198" t="s">
        <v>450</v>
      </c>
      <c r="AJ22" s="99" t="s">
        <v>450</v>
      </c>
      <c r="AK22" s="199">
        <v>47119</v>
      </c>
      <c r="AL22" s="152">
        <f t="shared" si="10"/>
        <v>94755588</v>
      </c>
      <c r="AM22" s="153">
        <v>26355588</v>
      </c>
      <c r="AN22" s="153">
        <v>68400000</v>
      </c>
      <c r="AO22" s="153" t="s">
        <v>450</v>
      </c>
      <c r="AP22" s="154" t="s">
        <v>450</v>
      </c>
      <c r="AQ22" s="137" t="s">
        <v>445</v>
      </c>
      <c r="AR22" s="91" t="s">
        <v>450</v>
      </c>
      <c r="AS22" s="91" t="s">
        <v>450</v>
      </c>
      <c r="AT22" s="91" t="s">
        <v>450</v>
      </c>
      <c r="AU22" s="91" t="s">
        <v>450</v>
      </c>
      <c r="AV22" s="59" t="s">
        <v>450</v>
      </c>
      <c r="AW22" s="59" t="s">
        <v>450</v>
      </c>
      <c r="AX22" s="59" t="s">
        <v>450</v>
      </c>
      <c r="AY22" s="59" t="s">
        <v>450</v>
      </c>
      <c r="AZ22" s="59" t="s">
        <v>450</v>
      </c>
      <c r="BA22" s="59" t="s">
        <v>450</v>
      </c>
      <c r="BB22" s="59" t="s">
        <v>450</v>
      </c>
      <c r="BC22" s="139" t="s">
        <v>450</v>
      </c>
      <c r="BD22" s="141" t="s">
        <v>581</v>
      </c>
      <c r="BE22" s="100" t="s">
        <v>582</v>
      </c>
      <c r="BF22" s="100" t="s">
        <v>582</v>
      </c>
      <c r="BG22" s="100" t="s">
        <v>583</v>
      </c>
      <c r="BH22" s="100" t="s">
        <v>450</v>
      </c>
      <c r="BI22" s="100" t="s">
        <v>450</v>
      </c>
      <c r="BJ22" s="100" t="s">
        <v>450</v>
      </c>
      <c r="BK22" s="100" t="s">
        <v>450</v>
      </c>
      <c r="BL22" s="100" t="s">
        <v>450</v>
      </c>
      <c r="BM22" s="100" t="s">
        <v>450</v>
      </c>
      <c r="BN22" s="100" t="s">
        <v>450</v>
      </c>
      <c r="BO22" s="100" t="s">
        <v>450</v>
      </c>
      <c r="BP22" s="100" t="s">
        <v>450</v>
      </c>
      <c r="BQ22" s="100" t="s">
        <v>450</v>
      </c>
      <c r="BR22" s="100" t="s">
        <v>450</v>
      </c>
      <c r="BS22" s="100" t="s">
        <v>450</v>
      </c>
      <c r="BT22" s="100" t="s">
        <v>450</v>
      </c>
      <c r="BU22" s="100" t="s">
        <v>450</v>
      </c>
      <c r="BV22" s="100" t="s">
        <v>450</v>
      </c>
      <c r="BW22" s="100" t="s">
        <v>450</v>
      </c>
      <c r="BX22" s="100" t="s">
        <v>450</v>
      </c>
      <c r="BY22" s="100" t="s">
        <v>450</v>
      </c>
      <c r="BZ22" s="100" t="s">
        <v>450</v>
      </c>
      <c r="CA22" s="101" t="s">
        <v>450</v>
      </c>
      <c r="CD22" s="78">
        <f t="shared" si="11"/>
        <v>0</v>
      </c>
      <c r="CE22" s="85">
        <v>0</v>
      </c>
      <c r="CF22" s="85">
        <f>_xlfn.XLOOKUP($A22, 'Project Commitment'!$A:$A, 'Project Commitment'!M:M, "")</f>
        <v>0</v>
      </c>
      <c r="CG22" s="85">
        <f>_xlfn.XLOOKUP($A22, 'Project Commitment'!$A:$A, 'Project Commitment'!N:N, "")</f>
        <v>0</v>
      </c>
      <c r="CH22" s="85">
        <f>_xlfn.XLOOKUP($A22, 'Project Commitment'!$A:$A, 'Project Commitment'!O:O, "")</f>
        <v>0</v>
      </c>
      <c r="CI22" s="85">
        <f>_xlfn.XLOOKUP($A22, 'Project Commitment'!$A:$A, 'Project Commitment'!P:P, "")</f>
        <v>0</v>
      </c>
      <c r="CJ22" s="85" t="e">
        <f>_xlfn.XLOOKUP($A22, 'Project Commitment'!$A:$A, 'Project Commitment'!Q:Q, "")</f>
        <v>#VALUE!</v>
      </c>
      <c r="CK22" s="85">
        <f>_xlfn.XLOOKUP($A22, 'Project Commitment'!$A:$A, 'Project Commitment'!R:R, "")</f>
        <v>0</v>
      </c>
      <c r="CL22" s="85" t="e">
        <f>_xlfn.XLOOKUP($A22, 'Project Commitment'!$A:$A, 'Project Commitment'!S:S, "")</f>
        <v>#VALUE!</v>
      </c>
      <c r="CM22" s="85">
        <f>_xlfn.XLOOKUP($A22, 'Project Commitment'!$A:$A, 'Project Commitment'!T:T, "")</f>
        <v>0</v>
      </c>
      <c r="CN22" s="85" t="e">
        <f>_xlfn.XLOOKUP($A22, 'Project Commitment'!$A:$A, 'Project Commitment'!U:U, "")</f>
        <v>#VALUE!</v>
      </c>
      <c r="CO22" s="85" t="e">
        <f>_xlfn.XLOOKUP($A22, 'Project Commitment'!$A:$A, 'Project Commitment'!V:V, "")</f>
        <v>#VALUE!</v>
      </c>
      <c r="CP22" s="85">
        <f>_xlfn.XLOOKUP($A22, 'Project Commitment'!$A:$A, 'Project Commitment'!W:W, "")</f>
        <v>0</v>
      </c>
      <c r="CQ22" s="85">
        <f>_xlfn.XLOOKUP($A22, 'Project Commitment'!$A:$A, 'Project Commitment'!X:X, "")</f>
        <v>-1002</v>
      </c>
      <c r="CR22" s="85" t="e">
        <f>_xlfn.XLOOKUP($A22, 'Project Commitment'!$A:$A, 'Project Commitment'!Y:Y, "")</f>
        <v>#VALUE!</v>
      </c>
      <c r="CS22" s="85">
        <f>_xlfn.XLOOKUP($A22, 'Project Commitment'!$A:$A, 'Project Commitment'!Z:Z, "")</f>
        <v>-487</v>
      </c>
      <c r="CT22" s="85">
        <f>_xlfn.XLOOKUP($A22, 'Project Commitment'!$A:$A, 'Project Commitment'!AA:AA, "")</f>
        <v>0</v>
      </c>
      <c r="CU22" s="85" t="e">
        <f>_xlfn.XLOOKUP($A22, 'Project Commitment'!$A:$A, 'Project Commitment'!AB:AB, "")</f>
        <v>#VALUE!</v>
      </c>
      <c r="DA22" s="85" t="str">
        <f t="shared" si="12"/>
        <v/>
      </c>
      <c r="DF22" s="85" t="str">
        <f t="shared" si="13"/>
        <v/>
      </c>
      <c r="DG22" s="85" t="str">
        <f t="shared" ca="1" si="14"/>
        <v/>
      </c>
      <c r="DI22" s="85" t="str">
        <f t="shared" si="15"/>
        <v/>
      </c>
      <c r="DJ22" s="85" t="str">
        <f t="shared" si="16"/>
        <v/>
      </c>
      <c r="DK22" s="85" t="str">
        <f t="shared" ca="1" si="17"/>
        <v/>
      </c>
      <c r="DM22" s="85" t="str">
        <f t="shared" si="18"/>
        <v/>
      </c>
      <c r="DN22" s="85" t="str">
        <f t="shared" ca="1" si="19"/>
        <v/>
      </c>
      <c r="DO22" s="85" t="str">
        <f t="shared" ca="1" si="20"/>
        <v/>
      </c>
      <c r="DP22" s="85" t="str">
        <f t="shared" si="21"/>
        <v/>
      </c>
      <c r="DQ22" s="85" t="str">
        <f t="shared" ca="1" si="22"/>
        <v/>
      </c>
      <c r="DR22" s="85" t="str">
        <f t="shared" ca="1" si="23"/>
        <v/>
      </c>
      <c r="DS22" s="85" t="str">
        <f t="shared" si="24"/>
        <v>Initial Site Plan Submission Date cannot be blank</v>
      </c>
      <c r="DT22" s="85" t="str">
        <f t="shared" si="25"/>
        <v>Site Plan Approval Date cannot be blank</v>
      </c>
      <c r="DV22" s="85" t="str">
        <f t="shared" si="26"/>
        <v>Build Permit Obtained Date cannot be blank</v>
      </c>
      <c r="DX22" s="85" t="str">
        <f t="shared" si="27"/>
        <v/>
      </c>
      <c r="DY22" s="85" t="str">
        <f t="shared" si="28"/>
        <v/>
      </c>
      <c r="DZ22" s="85" t="str">
        <f t="shared" si="29"/>
        <v/>
      </c>
      <c r="EA22" s="85" t="str">
        <f t="shared" si="30"/>
        <v/>
      </c>
      <c r="EC22" s="85" t="str">
        <f t="shared" si="31"/>
        <v>Substantial Completion Date must preceed school opening date by more than one month.</v>
      </c>
      <c r="EE22" s="85" t="str">
        <f t="shared" si="32"/>
        <v/>
      </c>
      <c r="EG22" s="85" t="str">
        <f t="shared" si="33"/>
        <v/>
      </c>
      <c r="EI22" s="85" t="str">
        <f t="shared" si="34"/>
        <v/>
      </c>
      <c r="EO22" s="85" t="str">
        <f t="shared" ca="1" si="35"/>
        <v>If project has already come in for a pre-tender budget, they must have a class A or B cost estimate.</v>
      </c>
      <c r="EP22" s="85" t="str">
        <f t="shared" si="36"/>
        <v>Estimated Cost - Construction Project cannot be blank.</v>
      </c>
      <c r="EQ22" s="85" t="str">
        <f t="shared" si="37"/>
        <v>Estimated Cost - Land cannot be blank.</v>
      </c>
      <c r="ER22" s="85" t="str">
        <f t="shared" si="38"/>
        <v/>
      </c>
      <c r="ES22" s="85" t="str">
        <f t="shared" si="39"/>
        <v/>
      </c>
      <c r="EW22" s="85" t="str">
        <f t="shared" si="40"/>
        <v/>
      </c>
      <c r="EX22" s="85" t="str">
        <f t="shared" si="41"/>
        <v/>
      </c>
      <c r="EY22" s="85" t="str">
        <f t="shared" si="42"/>
        <v/>
      </c>
      <c r="EZ22" s="85" t="str">
        <f t="shared" si="43"/>
        <v/>
      </c>
      <c r="FA22" s="85" t="str">
        <f t="shared" si="44"/>
        <v/>
      </c>
      <c r="FB22" s="85" t="str">
        <f t="shared" si="45"/>
        <v/>
      </c>
      <c r="FC22" s="85" t="str">
        <f t="shared" si="46"/>
        <v/>
      </c>
      <c r="FD22" s="85" t="str">
        <f t="shared" si="47"/>
        <v/>
      </c>
      <c r="FE22" s="85" t="str">
        <f t="shared" ca="1" si="48"/>
        <v/>
      </c>
      <c r="FF22" s="85" t="str">
        <f t="shared" si="49"/>
        <v/>
      </c>
      <c r="FG22" s="85" t="str">
        <f t="shared" ca="1" si="50"/>
        <v/>
      </c>
      <c r="FH22" s="85" t="str">
        <f t="shared" ca="1" si="51"/>
        <v/>
      </c>
      <c r="FI22" s="85" t="str">
        <f t="shared" ca="1" si="52"/>
        <v/>
      </c>
      <c r="FJ22" s="85" t="str">
        <f t="shared" si="53"/>
        <v/>
      </c>
      <c r="FK22" s="85" t="str">
        <f t="shared" ca="1" si="54"/>
        <v/>
      </c>
      <c r="FL22" s="85" t="str">
        <f t="shared" si="55"/>
        <v/>
      </c>
    </row>
    <row r="23" spans="1:168" ht="15.6" customHeight="1" x14ac:dyDescent="0.25">
      <c r="A23" s="58" t="s">
        <v>508</v>
      </c>
      <c r="B23" s="90" t="s">
        <v>509</v>
      </c>
      <c r="C23" s="137" t="s">
        <v>623</v>
      </c>
      <c r="D23" s="51" t="s">
        <v>453</v>
      </c>
      <c r="E23" s="51" t="s">
        <v>194</v>
      </c>
      <c r="F23" s="59" t="s">
        <v>124</v>
      </c>
      <c r="G23" s="129" t="str">
        <f t="shared" si="9"/>
        <v>Planning</v>
      </c>
      <c r="H23" s="197">
        <v>46003</v>
      </c>
      <c r="I23" s="99" t="s">
        <v>307</v>
      </c>
      <c r="J23" s="157" t="s">
        <v>545</v>
      </c>
      <c r="K23" s="194" t="s">
        <v>413</v>
      </c>
      <c r="L23" s="198">
        <v>46233</v>
      </c>
      <c r="M23" s="114" t="s">
        <v>308</v>
      </c>
      <c r="N23" s="51" t="s">
        <v>545</v>
      </c>
      <c r="O23" s="195" t="s">
        <v>545</v>
      </c>
      <c r="P23" s="135" t="s">
        <v>207</v>
      </c>
      <c r="Q23" s="198" t="s">
        <v>450</v>
      </c>
      <c r="R23" s="59" t="s">
        <v>120</v>
      </c>
      <c r="S23" s="198">
        <v>44274</v>
      </c>
      <c r="T23" s="199" t="s">
        <v>450</v>
      </c>
      <c r="U23" s="200" t="s">
        <v>450</v>
      </c>
      <c r="V23" s="198">
        <v>45992</v>
      </c>
      <c r="W23" s="99" t="s">
        <v>450</v>
      </c>
      <c r="X23" s="198" t="s">
        <v>450</v>
      </c>
      <c r="Y23" s="99" t="s">
        <v>450</v>
      </c>
      <c r="Z23" s="198" t="s">
        <v>450</v>
      </c>
      <c r="AA23" s="198" t="s">
        <v>450</v>
      </c>
      <c r="AB23" s="197" t="s">
        <v>450</v>
      </c>
      <c r="AC23" s="198">
        <v>46266</v>
      </c>
      <c r="AD23" s="99" t="s">
        <v>450</v>
      </c>
      <c r="AE23" s="198">
        <v>46966</v>
      </c>
      <c r="AF23" s="114" t="s">
        <v>450</v>
      </c>
      <c r="AG23" s="197">
        <v>47003</v>
      </c>
      <c r="AH23" s="99" t="s">
        <v>450</v>
      </c>
      <c r="AI23" s="198" t="s">
        <v>450</v>
      </c>
      <c r="AJ23" s="99" t="s">
        <v>450</v>
      </c>
      <c r="AK23" s="199">
        <v>47368</v>
      </c>
      <c r="AL23" s="152">
        <f t="shared" si="10"/>
        <v>36013876</v>
      </c>
      <c r="AM23" s="153">
        <v>36013876</v>
      </c>
      <c r="AN23" s="153" t="s">
        <v>450</v>
      </c>
      <c r="AO23" s="153" t="s">
        <v>450</v>
      </c>
      <c r="AP23" s="154" t="s">
        <v>450</v>
      </c>
      <c r="AQ23" s="137" t="s">
        <v>448</v>
      </c>
      <c r="AR23" s="91" t="s">
        <v>450</v>
      </c>
      <c r="AS23" s="91" t="s">
        <v>450</v>
      </c>
      <c r="AT23" s="91" t="s">
        <v>450</v>
      </c>
      <c r="AU23" s="91" t="s">
        <v>450</v>
      </c>
      <c r="AV23" s="59" t="s">
        <v>450</v>
      </c>
      <c r="AW23" s="59" t="s">
        <v>450</v>
      </c>
      <c r="AX23" s="59" t="s">
        <v>450</v>
      </c>
      <c r="AY23" s="59" t="s">
        <v>450</v>
      </c>
      <c r="AZ23" s="59" t="s">
        <v>450</v>
      </c>
      <c r="BA23" s="59" t="s">
        <v>450</v>
      </c>
      <c r="BB23" s="59" t="s">
        <v>450</v>
      </c>
      <c r="BC23" s="139" t="s">
        <v>450</v>
      </c>
      <c r="BD23" s="141" t="s">
        <v>584</v>
      </c>
      <c r="BE23" s="100" t="s">
        <v>585</v>
      </c>
      <c r="BF23" s="100" t="s">
        <v>586</v>
      </c>
      <c r="BG23" s="100" t="s">
        <v>587</v>
      </c>
      <c r="BH23" s="100" t="s">
        <v>450</v>
      </c>
      <c r="BI23" s="100" t="s">
        <v>450</v>
      </c>
      <c r="BJ23" s="100" t="s">
        <v>450</v>
      </c>
      <c r="BK23" s="100" t="s">
        <v>450</v>
      </c>
      <c r="BL23" s="100" t="s">
        <v>450</v>
      </c>
      <c r="BM23" s="100" t="s">
        <v>450</v>
      </c>
      <c r="BN23" s="100" t="s">
        <v>450</v>
      </c>
      <c r="BO23" s="100" t="s">
        <v>450</v>
      </c>
      <c r="BP23" s="100" t="s">
        <v>450</v>
      </c>
      <c r="BQ23" s="100" t="s">
        <v>450</v>
      </c>
      <c r="BR23" s="100" t="s">
        <v>450</v>
      </c>
      <c r="BS23" s="100" t="s">
        <v>450</v>
      </c>
      <c r="BT23" s="100" t="s">
        <v>450</v>
      </c>
      <c r="BU23" s="100" t="s">
        <v>450</v>
      </c>
      <c r="BV23" s="100" t="s">
        <v>450</v>
      </c>
      <c r="BW23" s="100" t="s">
        <v>450</v>
      </c>
      <c r="BX23" s="100" t="s">
        <v>450</v>
      </c>
      <c r="BY23" s="100" t="s">
        <v>450</v>
      </c>
      <c r="BZ23" s="100" t="s">
        <v>450</v>
      </c>
      <c r="CA23" s="101" t="s">
        <v>450</v>
      </c>
      <c r="CD23" s="78">
        <f t="shared" si="11"/>
        <v>1</v>
      </c>
      <c r="CE23" s="85">
        <v>0</v>
      </c>
      <c r="CF23" s="85">
        <f>_xlfn.XLOOKUP($A23, 'Project Commitment'!$A:$A, 'Project Commitment'!M:M, "")</f>
        <v>0</v>
      </c>
      <c r="CG23" s="85">
        <f>_xlfn.XLOOKUP($A23, 'Project Commitment'!$A:$A, 'Project Commitment'!N:N, "")</f>
        <v>0</v>
      </c>
      <c r="CH23" s="85">
        <f>_xlfn.XLOOKUP($A23, 'Project Commitment'!$A:$A, 'Project Commitment'!O:O, "")</f>
        <v>0</v>
      </c>
      <c r="CI23" s="85">
        <f>_xlfn.XLOOKUP($A23, 'Project Commitment'!$A:$A, 'Project Commitment'!P:P, "")</f>
        <v>0</v>
      </c>
      <c r="CJ23" s="85">
        <f>_xlfn.XLOOKUP($A23, 'Project Commitment'!$A:$A, 'Project Commitment'!Q:Q, "")</f>
        <v>0</v>
      </c>
      <c r="CK23" s="85">
        <f>_xlfn.XLOOKUP($A23, 'Project Commitment'!$A:$A, 'Project Commitment'!R:R, "")</f>
        <v>0</v>
      </c>
      <c r="CL23" s="85" t="e">
        <f>_xlfn.XLOOKUP($A23, 'Project Commitment'!$A:$A, 'Project Commitment'!S:S, "")</f>
        <v>#VALUE!</v>
      </c>
      <c r="CM23" s="85">
        <f>_xlfn.XLOOKUP($A23, 'Project Commitment'!$A:$A, 'Project Commitment'!T:T, "")</f>
        <v>0</v>
      </c>
      <c r="CN23" s="85" t="e">
        <f>_xlfn.XLOOKUP($A23, 'Project Commitment'!$A:$A, 'Project Commitment'!U:U, "")</f>
        <v>#VALUE!</v>
      </c>
      <c r="CO23" s="85" t="e">
        <f>_xlfn.XLOOKUP($A23, 'Project Commitment'!$A:$A, 'Project Commitment'!V:V, "")</f>
        <v>#VALUE!</v>
      </c>
      <c r="CP23" s="85">
        <f>_xlfn.XLOOKUP($A23, 'Project Commitment'!$A:$A, 'Project Commitment'!W:W, "")</f>
        <v>0</v>
      </c>
      <c r="CQ23" s="85">
        <f>_xlfn.XLOOKUP($A23, 'Project Commitment'!$A:$A, 'Project Commitment'!X:X, "")</f>
        <v>-92</v>
      </c>
      <c r="CR23" s="85" t="e">
        <f>_xlfn.XLOOKUP($A23, 'Project Commitment'!$A:$A, 'Project Commitment'!Y:Y, "")</f>
        <v>#VALUE!</v>
      </c>
      <c r="CS23" s="85">
        <f>_xlfn.XLOOKUP($A23, 'Project Commitment'!$A:$A, 'Project Commitment'!Z:Z, "")</f>
        <v>359</v>
      </c>
      <c r="CT23" s="85">
        <f>_xlfn.XLOOKUP($A23, 'Project Commitment'!$A:$A, 'Project Commitment'!AA:AA, "")</f>
        <v>0</v>
      </c>
      <c r="CU23" s="85" t="e">
        <f>_xlfn.XLOOKUP($A23, 'Project Commitment'!$A:$A, 'Project Commitment'!AB:AB, "")</f>
        <v>#VALUE!</v>
      </c>
      <c r="DA23" s="85" t="str">
        <f t="shared" si="12"/>
        <v/>
      </c>
      <c r="DF23" s="85" t="str">
        <f t="shared" si="13"/>
        <v/>
      </c>
      <c r="DG23" s="85" t="str">
        <f t="shared" ca="1" si="14"/>
        <v/>
      </c>
      <c r="DI23" s="85" t="str">
        <f t="shared" si="15"/>
        <v/>
      </c>
      <c r="DJ23" s="85" t="str">
        <f t="shared" si="16"/>
        <v/>
      </c>
      <c r="DK23" s="85" t="str">
        <f t="shared" ca="1" si="17"/>
        <v/>
      </c>
      <c r="DM23" s="85" t="str">
        <f t="shared" si="18"/>
        <v/>
      </c>
      <c r="DN23" s="85" t="str">
        <f t="shared" ca="1" si="19"/>
        <v/>
      </c>
      <c r="DO23" s="85" t="str">
        <f t="shared" ca="1" si="20"/>
        <v/>
      </c>
      <c r="DP23" s="85" t="str">
        <f t="shared" si="21"/>
        <v/>
      </c>
      <c r="DQ23" s="85" t="str">
        <f t="shared" ca="1" si="22"/>
        <v/>
      </c>
      <c r="DR23" s="85" t="str">
        <f t="shared" ca="1" si="23"/>
        <v/>
      </c>
      <c r="DS23" s="85" t="str">
        <f t="shared" si="24"/>
        <v>Initial Site Plan Submission Date cannot be blank</v>
      </c>
      <c r="DT23" s="85" t="str">
        <f t="shared" si="25"/>
        <v/>
      </c>
      <c r="DV23" s="85" t="str">
        <f t="shared" si="26"/>
        <v>Build Permit Obtained Date cannot be blank</v>
      </c>
      <c r="DX23" s="85" t="str">
        <f t="shared" si="27"/>
        <v>Tender Issued Date  cannot be blank</v>
      </c>
      <c r="DY23" s="85" t="str">
        <f t="shared" si="28"/>
        <v>Tender Closed Date cannot be blank</v>
      </c>
      <c r="DZ23" s="85" t="str">
        <f t="shared" si="29"/>
        <v>Contract Awarded Date cannot be blank</v>
      </c>
      <c r="EA23" s="85" t="str">
        <f t="shared" si="30"/>
        <v/>
      </c>
      <c r="EC23" s="85" t="str">
        <f t="shared" si="31"/>
        <v/>
      </c>
      <c r="EE23" s="85" t="str">
        <f t="shared" si="32"/>
        <v/>
      </c>
      <c r="EG23" s="85" t="str">
        <f t="shared" si="33"/>
        <v/>
      </c>
      <c r="EI23" s="85" t="str">
        <f t="shared" si="34"/>
        <v/>
      </c>
      <c r="EO23" s="85" t="str">
        <f t="shared" ca="1" si="35"/>
        <v/>
      </c>
      <c r="EP23" s="85" t="str">
        <f t="shared" si="36"/>
        <v>Estimated Cost - Construction Project cannot be blank.</v>
      </c>
      <c r="EQ23" s="85" t="str">
        <f t="shared" si="37"/>
        <v/>
      </c>
      <c r="ER23" s="85" t="str">
        <f t="shared" si="38"/>
        <v/>
      </c>
      <c r="ES23" s="85" t="str">
        <f t="shared" si="39"/>
        <v/>
      </c>
      <c r="EW23" s="85" t="str">
        <f t="shared" si="40"/>
        <v/>
      </c>
      <c r="EX23" s="85" t="str">
        <f t="shared" si="41"/>
        <v/>
      </c>
      <c r="EY23" s="85" t="str">
        <f t="shared" si="42"/>
        <v/>
      </c>
      <c r="EZ23" s="85" t="str">
        <f t="shared" si="43"/>
        <v/>
      </c>
      <c r="FA23" s="85" t="str">
        <f t="shared" si="44"/>
        <v/>
      </c>
      <c r="FB23" s="85" t="str">
        <f t="shared" si="45"/>
        <v/>
      </c>
      <c r="FC23" s="85" t="str">
        <f t="shared" si="46"/>
        <v/>
      </c>
      <c r="FD23" s="85" t="str">
        <f t="shared" si="47"/>
        <v/>
      </c>
      <c r="FE23" s="85" t="str">
        <f t="shared" ca="1" si="48"/>
        <v/>
      </c>
      <c r="FF23" s="85" t="str">
        <f t="shared" si="49"/>
        <v/>
      </c>
      <c r="FG23" s="85" t="str">
        <f t="shared" ca="1" si="50"/>
        <v/>
      </c>
      <c r="FH23" s="85" t="str">
        <f t="shared" ca="1" si="51"/>
        <v/>
      </c>
      <c r="FI23" s="85" t="str">
        <f t="shared" ca="1" si="52"/>
        <v/>
      </c>
      <c r="FJ23" s="85" t="str">
        <f t="shared" si="53"/>
        <v/>
      </c>
      <c r="FK23" s="85" t="str">
        <f t="shared" ca="1" si="54"/>
        <v/>
      </c>
      <c r="FL23" s="85" t="str">
        <f t="shared" si="55"/>
        <v/>
      </c>
    </row>
    <row r="24" spans="1:168" ht="15.6" customHeight="1" x14ac:dyDescent="0.25">
      <c r="A24" s="58" t="s">
        <v>512</v>
      </c>
      <c r="B24" s="90" t="s">
        <v>513</v>
      </c>
      <c r="C24" s="137" t="s">
        <v>622</v>
      </c>
      <c r="D24" s="51" t="s">
        <v>65</v>
      </c>
      <c r="E24" s="51" t="s">
        <v>194</v>
      </c>
      <c r="F24" s="59" t="s">
        <v>124</v>
      </c>
      <c r="G24" s="129" t="str">
        <f t="shared" si="9"/>
        <v>Planning</v>
      </c>
      <c r="H24" s="197">
        <v>45565</v>
      </c>
      <c r="I24" s="99" t="s">
        <v>307</v>
      </c>
      <c r="J24" s="157" t="s">
        <v>588</v>
      </c>
      <c r="K24" s="194" t="s">
        <v>412</v>
      </c>
      <c r="L24" s="198">
        <v>46081</v>
      </c>
      <c r="M24" s="114" t="s">
        <v>308</v>
      </c>
      <c r="N24" s="51" t="s">
        <v>589</v>
      </c>
      <c r="O24" s="195" t="s">
        <v>207</v>
      </c>
      <c r="P24" s="135" t="s">
        <v>267</v>
      </c>
      <c r="Q24" s="198">
        <v>40603</v>
      </c>
      <c r="R24" s="59" t="s">
        <v>120</v>
      </c>
      <c r="S24" s="198">
        <v>45566</v>
      </c>
      <c r="T24" s="199" t="s">
        <v>450</v>
      </c>
      <c r="U24" s="200" t="s">
        <v>450</v>
      </c>
      <c r="V24" s="198">
        <v>46054</v>
      </c>
      <c r="W24" s="99" t="s">
        <v>450</v>
      </c>
      <c r="X24" s="198" t="s">
        <v>450</v>
      </c>
      <c r="Y24" s="99" t="s">
        <v>450</v>
      </c>
      <c r="Z24" s="198"/>
      <c r="AA24" s="198">
        <v>46051</v>
      </c>
      <c r="AB24" s="197"/>
      <c r="AC24" s="198">
        <v>46113</v>
      </c>
      <c r="AD24" s="99" t="s">
        <v>450</v>
      </c>
      <c r="AE24" s="198">
        <v>46971</v>
      </c>
      <c r="AF24" s="114" t="s">
        <v>450</v>
      </c>
      <c r="AG24" s="197">
        <v>47004</v>
      </c>
      <c r="AH24" s="99" t="s">
        <v>450</v>
      </c>
      <c r="AI24" s="198" t="s">
        <v>450</v>
      </c>
      <c r="AJ24" s="99" t="s">
        <v>450</v>
      </c>
      <c r="AK24" s="199">
        <v>47369</v>
      </c>
      <c r="AL24" s="152">
        <f t="shared" si="10"/>
        <v>67917263</v>
      </c>
      <c r="AM24" s="153">
        <v>66581755</v>
      </c>
      <c r="AN24" s="153" t="s">
        <v>450</v>
      </c>
      <c r="AO24" s="153">
        <v>1335508</v>
      </c>
      <c r="AP24" s="154" t="s">
        <v>450</v>
      </c>
      <c r="AQ24" s="137" t="s">
        <v>448</v>
      </c>
      <c r="AR24" s="91" t="s">
        <v>450</v>
      </c>
      <c r="AS24" s="91" t="s">
        <v>450</v>
      </c>
      <c r="AT24" s="91" t="s">
        <v>450</v>
      </c>
      <c r="AU24" s="91" t="s">
        <v>450</v>
      </c>
      <c r="AV24" s="59" t="s">
        <v>450</v>
      </c>
      <c r="AW24" s="59" t="s">
        <v>450</v>
      </c>
      <c r="AX24" s="59" t="s">
        <v>450</v>
      </c>
      <c r="AY24" s="59" t="s">
        <v>450</v>
      </c>
      <c r="AZ24" s="59" t="s">
        <v>450</v>
      </c>
      <c r="BA24" s="59" t="s">
        <v>450</v>
      </c>
      <c r="BB24" s="59" t="s">
        <v>450</v>
      </c>
      <c r="BC24" s="139" t="s">
        <v>450</v>
      </c>
      <c r="BD24" s="141" t="s">
        <v>590</v>
      </c>
      <c r="BE24" s="100" t="s">
        <v>590</v>
      </c>
      <c r="BF24" s="100" t="s">
        <v>591</v>
      </c>
      <c r="BG24" s="100" t="s">
        <v>592</v>
      </c>
      <c r="BH24" s="100" t="s">
        <v>450</v>
      </c>
      <c r="BI24" s="100" t="s">
        <v>450</v>
      </c>
      <c r="BJ24" s="100" t="s">
        <v>450</v>
      </c>
      <c r="BK24" s="100" t="s">
        <v>450</v>
      </c>
      <c r="BL24" s="100" t="s">
        <v>450</v>
      </c>
      <c r="BM24" s="100" t="s">
        <v>450</v>
      </c>
      <c r="BN24" s="100" t="s">
        <v>450</v>
      </c>
      <c r="BO24" s="100" t="s">
        <v>450</v>
      </c>
      <c r="BP24" s="100" t="s">
        <v>450</v>
      </c>
      <c r="BQ24" s="100" t="s">
        <v>450</v>
      </c>
      <c r="BR24" s="100" t="s">
        <v>450</v>
      </c>
      <c r="BS24" s="100" t="s">
        <v>450</v>
      </c>
      <c r="BT24" s="100" t="s">
        <v>450</v>
      </c>
      <c r="BU24" s="100" t="s">
        <v>450</v>
      </c>
      <c r="BV24" s="100" t="s">
        <v>450</v>
      </c>
      <c r="BW24" s="100" t="s">
        <v>450</v>
      </c>
      <c r="BX24" s="100" t="s">
        <v>450</v>
      </c>
      <c r="BY24" s="100" t="s">
        <v>450</v>
      </c>
      <c r="BZ24" s="100" t="s">
        <v>450</v>
      </c>
      <c r="CA24" s="101" t="s">
        <v>450</v>
      </c>
      <c r="CD24" s="78">
        <f t="shared" si="11"/>
        <v>0</v>
      </c>
      <c r="CE24" s="85">
        <v>0</v>
      </c>
      <c r="CF24" s="85">
        <f>_xlfn.XLOOKUP($A24, 'Project Commitment'!$A:$A, 'Project Commitment'!M:M, "")</f>
        <v>0</v>
      </c>
      <c r="CG24" s="85">
        <f>_xlfn.XLOOKUP($A24, 'Project Commitment'!$A:$A, 'Project Commitment'!N:N, "")</f>
        <v>0</v>
      </c>
      <c r="CH24" s="85">
        <f>_xlfn.XLOOKUP($A24, 'Project Commitment'!$A:$A, 'Project Commitment'!O:O, "")</f>
        <v>0</v>
      </c>
      <c r="CI24" s="85">
        <f>_xlfn.XLOOKUP($A24, 'Project Commitment'!$A:$A, 'Project Commitment'!P:P, "")</f>
        <v>0</v>
      </c>
      <c r="CJ24" s="85">
        <f>_xlfn.XLOOKUP($A24, 'Project Commitment'!$A:$A, 'Project Commitment'!Q:Q, "")</f>
        <v>-408</v>
      </c>
      <c r="CK24" s="85">
        <f>_xlfn.XLOOKUP($A24, 'Project Commitment'!$A:$A, 'Project Commitment'!R:R, "")</f>
        <v>0</v>
      </c>
      <c r="CL24" s="85" t="e">
        <f>_xlfn.XLOOKUP($A24, 'Project Commitment'!$A:$A, 'Project Commitment'!S:S, "")</f>
        <v>#VALUE!</v>
      </c>
      <c r="CM24" s="85">
        <f>_xlfn.XLOOKUP($A24, 'Project Commitment'!$A:$A, 'Project Commitment'!T:T, "")</f>
        <v>0</v>
      </c>
      <c r="CN24" s="85" t="e">
        <f>_xlfn.XLOOKUP($A24, 'Project Commitment'!$A:$A, 'Project Commitment'!U:U, "")</f>
        <v>#VALUE!</v>
      </c>
      <c r="CO24" s="85" t="e">
        <f>_xlfn.XLOOKUP($A24, 'Project Commitment'!$A:$A, 'Project Commitment'!V:V, "")</f>
        <v>#VALUE!</v>
      </c>
      <c r="CP24" s="85">
        <f>_xlfn.XLOOKUP($A24, 'Project Commitment'!$A:$A, 'Project Commitment'!W:W, "")</f>
        <v>0</v>
      </c>
      <c r="CQ24" s="85">
        <f>_xlfn.XLOOKUP($A24, 'Project Commitment'!$A:$A, 'Project Commitment'!X:X, "")</f>
        <v>-365</v>
      </c>
      <c r="CR24" s="85" t="e">
        <f>_xlfn.XLOOKUP($A24, 'Project Commitment'!$A:$A, 'Project Commitment'!Y:Y, "")</f>
        <v>#VALUE!</v>
      </c>
      <c r="CS24" s="85">
        <f>_xlfn.XLOOKUP($A24, 'Project Commitment'!$A:$A, 'Project Commitment'!Z:Z, "")</f>
        <v>-738</v>
      </c>
      <c r="CT24" s="85">
        <f>_xlfn.XLOOKUP($A24, 'Project Commitment'!$A:$A, 'Project Commitment'!AA:AA, "")</f>
        <v>0</v>
      </c>
      <c r="CU24" s="85" t="e">
        <f>_xlfn.XLOOKUP($A24, 'Project Commitment'!$A:$A, 'Project Commitment'!AB:AB, "")</f>
        <v>#VALUE!</v>
      </c>
      <c r="DA24" s="85" t="str">
        <f t="shared" si="12"/>
        <v/>
      </c>
      <c r="DF24" s="85" t="str">
        <f t="shared" si="13"/>
        <v/>
      </c>
      <c r="DG24" s="85" t="str">
        <f t="shared" ca="1" si="14"/>
        <v/>
      </c>
      <c r="DI24" s="85" t="str">
        <f t="shared" si="15"/>
        <v/>
      </c>
      <c r="DJ24" s="85" t="str">
        <f t="shared" si="16"/>
        <v/>
      </c>
      <c r="DK24" s="85" t="str">
        <f t="shared" ca="1" si="17"/>
        <v/>
      </c>
      <c r="DM24" s="85" t="str">
        <f t="shared" si="18"/>
        <v>The post tender package is missing!</v>
      </c>
      <c r="DN24" s="85" t="str">
        <f t="shared" ca="1" si="19"/>
        <v/>
      </c>
      <c r="DO24" s="85" t="str">
        <f t="shared" ca="1" si="20"/>
        <v/>
      </c>
      <c r="DP24" s="85" t="str">
        <f t="shared" si="21"/>
        <v/>
      </c>
      <c r="DQ24" s="85" t="str">
        <f t="shared" ca="1" si="22"/>
        <v/>
      </c>
      <c r="DR24" s="85" t="str">
        <f t="shared" ca="1" si="23"/>
        <v/>
      </c>
      <c r="DS24" s="85" t="str">
        <f t="shared" si="24"/>
        <v>Initial Site Plan Submission Date cannot be blank</v>
      </c>
      <c r="DT24" s="85" t="str">
        <f t="shared" si="25"/>
        <v/>
      </c>
      <c r="DV24" s="85" t="str">
        <f t="shared" si="26"/>
        <v>Build Permit Obtained Date cannot be blank</v>
      </c>
      <c r="DX24" s="85" t="str">
        <f t="shared" si="27"/>
        <v>Tender Issued Date  cannot be blank</v>
      </c>
      <c r="DY24" s="85" t="str">
        <f t="shared" si="28"/>
        <v/>
      </c>
      <c r="DZ24" s="85" t="str">
        <f t="shared" si="29"/>
        <v>Contract Awarded Date cannot be blank</v>
      </c>
      <c r="EA24" s="85" t="str">
        <f t="shared" si="30"/>
        <v/>
      </c>
      <c r="EC24" s="85" t="str">
        <f t="shared" si="31"/>
        <v/>
      </c>
      <c r="EE24" s="85" t="str">
        <f t="shared" si="32"/>
        <v/>
      </c>
      <c r="EG24" s="85" t="str">
        <f t="shared" si="33"/>
        <v/>
      </c>
      <c r="EI24" s="85" t="str">
        <f t="shared" si="34"/>
        <v/>
      </c>
      <c r="EO24" s="85" t="str">
        <f t="shared" ca="1" si="35"/>
        <v/>
      </c>
      <c r="EP24" s="85" t="str">
        <f t="shared" si="36"/>
        <v>Estimated Cost - Construction Project cannot be blank.</v>
      </c>
      <c r="EQ24" s="85" t="str">
        <f t="shared" si="37"/>
        <v/>
      </c>
      <c r="ER24" s="85" t="str">
        <f t="shared" si="38"/>
        <v>Estimated Cost - Demolition cannot be blank.</v>
      </c>
      <c r="ES24" s="85" t="str">
        <f t="shared" si="39"/>
        <v/>
      </c>
      <c r="EW24" s="85" t="str">
        <f t="shared" si="40"/>
        <v/>
      </c>
      <c r="EX24" s="85" t="str">
        <f t="shared" si="41"/>
        <v/>
      </c>
      <c r="EY24" s="85" t="str">
        <f t="shared" si="42"/>
        <v/>
      </c>
      <c r="EZ24" s="85" t="str">
        <f t="shared" si="43"/>
        <v/>
      </c>
      <c r="FA24" s="85" t="str">
        <f t="shared" si="44"/>
        <v>The post tender package is missing!</v>
      </c>
      <c r="FB24" s="85" t="str">
        <f t="shared" si="45"/>
        <v>The post tender package is missing!</v>
      </c>
      <c r="FC24" s="85" t="str">
        <f t="shared" si="46"/>
        <v/>
      </c>
      <c r="FD24" s="85" t="str">
        <f t="shared" si="47"/>
        <v/>
      </c>
      <c r="FE24" s="85" t="str">
        <f t="shared" ca="1" si="48"/>
        <v/>
      </c>
      <c r="FF24" s="85" t="str">
        <f t="shared" si="49"/>
        <v/>
      </c>
      <c r="FG24" s="85" t="str">
        <f t="shared" ca="1" si="50"/>
        <v/>
      </c>
      <c r="FH24" s="85" t="str">
        <f t="shared" ca="1" si="51"/>
        <v/>
      </c>
      <c r="FI24" s="85" t="str">
        <f t="shared" ca="1" si="52"/>
        <v/>
      </c>
      <c r="FJ24" s="85" t="str">
        <f t="shared" si="53"/>
        <v/>
      </c>
      <c r="FK24" s="85" t="str">
        <f t="shared" ca="1" si="54"/>
        <v/>
      </c>
      <c r="FL24" s="85" t="str">
        <f t="shared" si="55"/>
        <v/>
      </c>
    </row>
    <row r="25" spans="1:168" ht="15.6" customHeight="1" x14ac:dyDescent="0.25">
      <c r="A25" s="58" t="s">
        <v>516</v>
      </c>
      <c r="B25" s="90" t="s">
        <v>517</v>
      </c>
      <c r="C25" s="76" t="s">
        <v>620</v>
      </c>
      <c r="D25" s="51" t="s">
        <v>453</v>
      </c>
      <c r="E25" s="51" t="s">
        <v>194</v>
      </c>
      <c r="F25" s="59" t="s">
        <v>124</v>
      </c>
      <c r="G25" s="129" t="str">
        <f t="shared" si="9"/>
        <v>Planning</v>
      </c>
      <c r="H25" s="197">
        <v>45965</v>
      </c>
      <c r="I25" s="99" t="s">
        <v>307</v>
      </c>
      <c r="J25" s="157" t="s">
        <v>545</v>
      </c>
      <c r="K25" s="194" t="s">
        <v>412</v>
      </c>
      <c r="L25" s="198">
        <v>46188</v>
      </c>
      <c r="M25" s="114" t="s">
        <v>308</v>
      </c>
      <c r="N25" s="51" t="s">
        <v>545</v>
      </c>
      <c r="O25" s="195" t="s">
        <v>545</v>
      </c>
      <c r="P25" s="135" t="s">
        <v>207</v>
      </c>
      <c r="Q25" s="198" t="s">
        <v>450</v>
      </c>
      <c r="R25" s="59" t="s">
        <v>120</v>
      </c>
      <c r="S25" s="198">
        <v>44797</v>
      </c>
      <c r="T25" s="199">
        <v>45783</v>
      </c>
      <c r="U25" s="200">
        <v>45883</v>
      </c>
      <c r="V25" s="198">
        <v>45898</v>
      </c>
      <c r="W25" s="99" t="s">
        <v>450</v>
      </c>
      <c r="X25" s="198">
        <v>46006</v>
      </c>
      <c r="Y25" s="99" t="s">
        <v>450</v>
      </c>
      <c r="Z25" s="198">
        <v>46113</v>
      </c>
      <c r="AA25" s="198">
        <v>46143</v>
      </c>
      <c r="AB25" s="197">
        <v>46193</v>
      </c>
      <c r="AC25" s="198">
        <v>46205</v>
      </c>
      <c r="AD25" s="99" t="s">
        <v>450</v>
      </c>
      <c r="AE25" s="198">
        <v>46940</v>
      </c>
      <c r="AF25" s="114" t="s">
        <v>450</v>
      </c>
      <c r="AG25" s="197">
        <v>47003</v>
      </c>
      <c r="AH25" s="99" t="s">
        <v>450</v>
      </c>
      <c r="AI25" s="198">
        <v>47003</v>
      </c>
      <c r="AJ25" s="99" t="s">
        <v>450</v>
      </c>
      <c r="AK25" s="199">
        <v>47391</v>
      </c>
      <c r="AL25" s="152">
        <f t="shared" si="10"/>
        <v>19366938</v>
      </c>
      <c r="AM25" s="153">
        <v>19366938</v>
      </c>
      <c r="AN25" s="153" t="s">
        <v>450</v>
      </c>
      <c r="AO25" s="153" t="s">
        <v>450</v>
      </c>
      <c r="AP25" s="154" t="s">
        <v>450</v>
      </c>
      <c r="AQ25" s="137" t="s">
        <v>445</v>
      </c>
      <c r="AR25" s="91" t="s">
        <v>450</v>
      </c>
      <c r="AS25" s="91" t="s">
        <v>450</v>
      </c>
      <c r="AT25" s="91" t="s">
        <v>450</v>
      </c>
      <c r="AU25" s="91" t="s">
        <v>450</v>
      </c>
      <c r="AV25" s="59" t="s">
        <v>450</v>
      </c>
      <c r="AW25" s="59" t="s">
        <v>450</v>
      </c>
      <c r="AX25" s="59" t="s">
        <v>450</v>
      </c>
      <c r="AY25" s="59" t="s">
        <v>450</v>
      </c>
      <c r="AZ25" s="59" t="s">
        <v>450</v>
      </c>
      <c r="BA25" s="59" t="s">
        <v>450</v>
      </c>
      <c r="BB25" s="59" t="s">
        <v>450</v>
      </c>
      <c r="BC25" s="139" t="s">
        <v>450</v>
      </c>
      <c r="BD25" s="141" t="s">
        <v>593</v>
      </c>
      <c r="BE25" s="100" t="s">
        <v>594</v>
      </c>
      <c r="BF25" s="100" t="s">
        <v>594</v>
      </c>
      <c r="BG25" s="100" t="s">
        <v>450</v>
      </c>
      <c r="BH25" s="100" t="s">
        <v>450</v>
      </c>
      <c r="BI25" s="100" t="s">
        <v>450</v>
      </c>
      <c r="BJ25" s="100" t="s">
        <v>450</v>
      </c>
      <c r="BK25" s="100" t="s">
        <v>450</v>
      </c>
      <c r="BL25" s="100" t="s">
        <v>450</v>
      </c>
      <c r="BM25" s="100" t="s">
        <v>450</v>
      </c>
      <c r="BN25" s="100" t="s">
        <v>450</v>
      </c>
      <c r="BO25" s="100" t="s">
        <v>450</v>
      </c>
      <c r="BP25" s="100" t="s">
        <v>450</v>
      </c>
      <c r="BQ25" s="100" t="s">
        <v>450</v>
      </c>
      <c r="BR25" s="100" t="s">
        <v>450</v>
      </c>
      <c r="BS25" s="100" t="s">
        <v>450</v>
      </c>
      <c r="BT25" s="100" t="s">
        <v>450</v>
      </c>
      <c r="BU25" s="100" t="s">
        <v>450</v>
      </c>
      <c r="BV25" s="100" t="s">
        <v>450</v>
      </c>
      <c r="BW25" s="100" t="s">
        <v>450</v>
      </c>
      <c r="BX25" s="100" t="s">
        <v>450</v>
      </c>
      <c r="BY25" s="100" t="s">
        <v>450</v>
      </c>
      <c r="BZ25" s="100" t="s">
        <v>450</v>
      </c>
      <c r="CA25" s="101" t="s">
        <v>450</v>
      </c>
      <c r="CD25" s="78">
        <f t="shared" si="11"/>
        <v>1</v>
      </c>
      <c r="CE25" s="85">
        <v>88</v>
      </c>
      <c r="CF25" s="85">
        <f>_xlfn.XLOOKUP($A25, 'Project Commitment'!$A:$A, 'Project Commitment'!M:M, "")</f>
        <v>0</v>
      </c>
      <c r="CG25" s="85">
        <f>_xlfn.XLOOKUP($A25, 'Project Commitment'!$A:$A, 'Project Commitment'!N:N, "")</f>
        <v>0</v>
      </c>
      <c r="CH25" s="85">
        <f>_xlfn.XLOOKUP($A25, 'Project Commitment'!$A:$A, 'Project Commitment'!O:O, "")</f>
        <v>0</v>
      </c>
      <c r="CI25" s="85">
        <f>_xlfn.XLOOKUP($A25, 'Project Commitment'!$A:$A, 'Project Commitment'!P:P, "")</f>
        <v>0</v>
      </c>
      <c r="CJ25" s="85">
        <f>_xlfn.XLOOKUP($A25, 'Project Commitment'!$A:$A, 'Project Commitment'!Q:Q, "")</f>
        <v>0</v>
      </c>
      <c r="CK25" s="85">
        <f>_xlfn.XLOOKUP($A25, 'Project Commitment'!$A:$A, 'Project Commitment'!R:R, "")</f>
        <v>0</v>
      </c>
      <c r="CL25" s="85">
        <f>_xlfn.XLOOKUP($A25, 'Project Commitment'!$A:$A, 'Project Commitment'!S:S, "")</f>
        <v>-188</v>
      </c>
      <c r="CM25" s="85">
        <f>_xlfn.XLOOKUP($A25, 'Project Commitment'!$A:$A, 'Project Commitment'!T:T, "")</f>
        <v>0</v>
      </c>
      <c r="CN25" s="85">
        <f>_xlfn.XLOOKUP($A25, 'Project Commitment'!$A:$A, 'Project Commitment'!U:U, "")</f>
        <v>-182</v>
      </c>
      <c r="CO25" s="85">
        <f>_xlfn.XLOOKUP($A25, 'Project Commitment'!$A:$A, 'Project Commitment'!V:V, "")</f>
        <v>-199</v>
      </c>
      <c r="CP25" s="85">
        <f>_xlfn.XLOOKUP($A25, 'Project Commitment'!$A:$A, 'Project Commitment'!W:W, "")</f>
        <v>0</v>
      </c>
      <c r="CQ25" s="85">
        <f>_xlfn.XLOOKUP($A25, 'Project Commitment'!$A:$A, 'Project Commitment'!X:X, "")</f>
        <v>-182</v>
      </c>
      <c r="CR25" s="85">
        <f>_xlfn.XLOOKUP($A25, 'Project Commitment'!$A:$A, 'Project Commitment'!Y:Y, "")</f>
        <v>-6</v>
      </c>
      <c r="CS25" s="85">
        <f>_xlfn.XLOOKUP($A25, 'Project Commitment'!$A:$A, 'Project Commitment'!Z:Z, "")</f>
        <v>-3</v>
      </c>
      <c r="CT25" s="85">
        <f>_xlfn.XLOOKUP($A25, 'Project Commitment'!$A:$A, 'Project Commitment'!AA:AA, "")</f>
        <v>0</v>
      </c>
      <c r="CU25" s="85">
        <f>_xlfn.XLOOKUP($A25, 'Project Commitment'!$A:$A, 'Project Commitment'!AB:AB, "")</f>
        <v>-26</v>
      </c>
      <c r="DA25" s="85" t="str">
        <f t="shared" si="12"/>
        <v/>
      </c>
      <c r="DF25" s="85" t="str">
        <f t="shared" si="13"/>
        <v/>
      </c>
      <c r="DG25" s="85" t="str">
        <f t="shared" ca="1" si="14"/>
        <v/>
      </c>
      <c r="DI25" s="85" t="str">
        <f t="shared" si="15"/>
        <v/>
      </c>
      <c r="DJ25" s="85" t="str">
        <f t="shared" si="16"/>
        <v/>
      </c>
      <c r="DK25" s="85" t="str">
        <f t="shared" ca="1" si="17"/>
        <v/>
      </c>
      <c r="DM25" s="85" t="str">
        <f t="shared" si="18"/>
        <v/>
      </c>
      <c r="DN25" s="85" t="str">
        <f t="shared" ca="1" si="19"/>
        <v/>
      </c>
      <c r="DO25" s="85" t="str">
        <f t="shared" ca="1" si="20"/>
        <v/>
      </c>
      <c r="DP25" s="85" t="str">
        <f t="shared" si="21"/>
        <v/>
      </c>
      <c r="DQ25" s="85" t="str">
        <f t="shared" ca="1" si="22"/>
        <v/>
      </c>
      <c r="DR25" s="85" t="str">
        <f t="shared" ca="1" si="23"/>
        <v>45244 must preceed pre-tender package submission date</v>
      </c>
      <c r="DS25" s="85" t="str">
        <f t="shared" si="24"/>
        <v/>
      </c>
      <c r="DT25" s="85" t="str">
        <f t="shared" si="25"/>
        <v/>
      </c>
      <c r="DV25" s="85" t="str">
        <f t="shared" si="26"/>
        <v/>
      </c>
      <c r="DX25" s="85" t="str">
        <f t="shared" si="27"/>
        <v/>
      </c>
      <c r="DY25" s="85" t="str">
        <f t="shared" si="28"/>
        <v/>
      </c>
      <c r="DZ25" s="85" t="str">
        <f t="shared" si="29"/>
        <v/>
      </c>
      <c r="EA25" s="85" t="str">
        <f t="shared" si="30"/>
        <v/>
      </c>
      <c r="EC25" s="85" t="str">
        <f t="shared" si="31"/>
        <v/>
      </c>
      <c r="EE25" s="85" t="str">
        <f t="shared" si="32"/>
        <v/>
      </c>
      <c r="EG25" s="85" t="str">
        <f t="shared" si="33"/>
        <v/>
      </c>
      <c r="EI25" s="85" t="str">
        <f t="shared" si="34"/>
        <v/>
      </c>
      <c r="EO25" s="85" t="str">
        <f t="shared" ca="1" si="35"/>
        <v>If project has already come in for a pre-tender budget, they must have a class A or B cost estimate.</v>
      </c>
      <c r="EP25" s="85" t="str">
        <f t="shared" si="36"/>
        <v>Estimated Cost - Construction Project cannot be blank.</v>
      </c>
      <c r="EQ25" s="85" t="str">
        <f t="shared" si="37"/>
        <v/>
      </c>
      <c r="ER25" s="85" t="str">
        <f t="shared" si="38"/>
        <v/>
      </c>
      <c r="ES25" s="85" t="str">
        <f t="shared" si="39"/>
        <v/>
      </c>
      <c r="EW25" s="85" t="str">
        <f t="shared" si="40"/>
        <v/>
      </c>
      <c r="EX25" s="85" t="str">
        <f t="shared" si="41"/>
        <v/>
      </c>
      <c r="EY25" s="85" t="str">
        <f t="shared" si="42"/>
        <v/>
      </c>
      <c r="EZ25" s="85" t="str">
        <f t="shared" si="43"/>
        <v/>
      </c>
      <c r="FA25" s="85" t="str">
        <f t="shared" si="44"/>
        <v/>
      </c>
      <c r="FB25" s="85" t="str">
        <f t="shared" si="45"/>
        <v/>
      </c>
      <c r="FC25" s="85" t="str">
        <f t="shared" si="46"/>
        <v/>
      </c>
      <c r="FD25" s="85" t="str">
        <f t="shared" si="47"/>
        <v/>
      </c>
      <c r="FE25" s="85" t="str">
        <f t="shared" ca="1" si="48"/>
        <v/>
      </c>
      <c r="FF25" s="85" t="str">
        <f t="shared" si="49"/>
        <v/>
      </c>
      <c r="FG25" s="85" t="str">
        <f t="shared" ca="1" si="50"/>
        <v/>
      </c>
      <c r="FH25" s="85" t="str">
        <f t="shared" ca="1" si="51"/>
        <v/>
      </c>
      <c r="FI25" s="85" t="str">
        <f t="shared" ca="1" si="52"/>
        <v/>
      </c>
      <c r="FJ25" s="85" t="str">
        <f t="shared" si="53"/>
        <v/>
      </c>
      <c r="FK25" s="85" t="str">
        <f t="shared" ca="1" si="54"/>
        <v/>
      </c>
      <c r="FL25" s="85" t="str">
        <f t="shared" si="55"/>
        <v/>
      </c>
    </row>
    <row r="26" spans="1:168" ht="15.6" customHeight="1" x14ac:dyDescent="0.25">
      <c r="A26" s="58" t="s">
        <v>519</v>
      </c>
      <c r="B26" s="90" t="s">
        <v>520</v>
      </c>
      <c r="C26" s="137" t="s">
        <v>633</v>
      </c>
      <c r="D26" s="51" t="s">
        <v>453</v>
      </c>
      <c r="E26" s="51" t="s">
        <v>194</v>
      </c>
      <c r="F26" s="59" t="s">
        <v>124</v>
      </c>
      <c r="G26" s="129" t="str">
        <f t="shared" si="9"/>
        <v>Planning</v>
      </c>
      <c r="H26" s="197">
        <v>46082</v>
      </c>
      <c r="I26" s="99" t="s">
        <v>308</v>
      </c>
      <c r="J26" s="157" t="s">
        <v>545</v>
      </c>
      <c r="K26" s="194" t="s">
        <v>545</v>
      </c>
      <c r="L26" s="198">
        <v>46236</v>
      </c>
      <c r="M26" s="114" t="s">
        <v>308</v>
      </c>
      <c r="N26" s="51" t="s">
        <v>545</v>
      </c>
      <c r="O26" s="195" t="s">
        <v>545</v>
      </c>
      <c r="P26" s="135" t="s">
        <v>207</v>
      </c>
      <c r="Q26" s="198" t="s">
        <v>450</v>
      </c>
      <c r="R26" s="59" t="s">
        <v>120</v>
      </c>
      <c r="S26" s="198">
        <v>44797</v>
      </c>
      <c r="T26" s="199" t="s">
        <v>450</v>
      </c>
      <c r="U26" s="200">
        <v>45769</v>
      </c>
      <c r="V26" s="198">
        <v>46080</v>
      </c>
      <c r="W26" s="99" t="s">
        <v>450</v>
      </c>
      <c r="X26" s="198" t="s">
        <v>450</v>
      </c>
      <c r="Y26" s="99" t="s">
        <v>450</v>
      </c>
      <c r="Z26" s="198">
        <v>46188</v>
      </c>
      <c r="AA26" s="198">
        <v>46218</v>
      </c>
      <c r="AB26" s="197">
        <v>46266</v>
      </c>
      <c r="AC26" s="198">
        <v>46285</v>
      </c>
      <c r="AD26" s="99" t="s">
        <v>450</v>
      </c>
      <c r="AE26" s="198">
        <v>46995</v>
      </c>
      <c r="AF26" s="114" t="s">
        <v>450</v>
      </c>
      <c r="AG26" s="197">
        <v>47003</v>
      </c>
      <c r="AH26" s="99" t="s">
        <v>450</v>
      </c>
      <c r="AI26" s="198" t="s">
        <v>450</v>
      </c>
      <c r="AJ26" s="99" t="s">
        <v>450</v>
      </c>
      <c r="AK26" s="199">
        <v>47391</v>
      </c>
      <c r="AL26" s="152">
        <f t="shared" si="10"/>
        <v>18635030</v>
      </c>
      <c r="AM26" s="153">
        <v>18635030</v>
      </c>
      <c r="AN26" s="153" t="s">
        <v>450</v>
      </c>
      <c r="AO26" s="153" t="s">
        <v>450</v>
      </c>
      <c r="AP26" s="154" t="s">
        <v>450</v>
      </c>
      <c r="AQ26" s="137" t="s">
        <v>445</v>
      </c>
      <c r="AR26" s="91" t="s">
        <v>450</v>
      </c>
      <c r="AS26" s="91" t="s">
        <v>450</v>
      </c>
      <c r="AT26" s="91" t="s">
        <v>450</v>
      </c>
      <c r="AU26" s="91" t="s">
        <v>450</v>
      </c>
      <c r="AV26" s="59" t="s">
        <v>450</v>
      </c>
      <c r="AW26" s="59" t="s">
        <v>450</v>
      </c>
      <c r="AX26" s="59" t="s">
        <v>450</v>
      </c>
      <c r="AY26" s="59" t="s">
        <v>450</v>
      </c>
      <c r="AZ26" s="59" t="s">
        <v>450</v>
      </c>
      <c r="BA26" s="59" t="s">
        <v>450</v>
      </c>
      <c r="BB26" s="59" t="s">
        <v>450</v>
      </c>
      <c r="BC26" s="139" t="s">
        <v>450</v>
      </c>
      <c r="BD26" s="141" t="s">
        <v>595</v>
      </c>
      <c r="BE26" s="100" t="s">
        <v>596</v>
      </c>
      <c r="BF26" s="100" t="s">
        <v>597</v>
      </c>
      <c r="BG26" s="100" t="s">
        <v>598</v>
      </c>
      <c r="BH26" s="100" t="s">
        <v>450</v>
      </c>
      <c r="BI26" s="100" t="s">
        <v>450</v>
      </c>
      <c r="BJ26" s="100" t="s">
        <v>450</v>
      </c>
      <c r="BK26" s="100" t="s">
        <v>450</v>
      </c>
      <c r="BL26" s="100" t="s">
        <v>450</v>
      </c>
      <c r="BM26" s="100" t="s">
        <v>450</v>
      </c>
      <c r="BN26" s="100" t="s">
        <v>450</v>
      </c>
      <c r="BO26" s="100" t="s">
        <v>450</v>
      </c>
      <c r="BP26" s="100" t="s">
        <v>450</v>
      </c>
      <c r="BQ26" s="100" t="s">
        <v>450</v>
      </c>
      <c r="BR26" s="100" t="s">
        <v>450</v>
      </c>
      <c r="BS26" s="100" t="s">
        <v>450</v>
      </c>
      <c r="BT26" s="100" t="s">
        <v>450</v>
      </c>
      <c r="BU26" s="100" t="s">
        <v>450</v>
      </c>
      <c r="BV26" s="100" t="s">
        <v>450</v>
      </c>
      <c r="BW26" s="100" t="s">
        <v>450</v>
      </c>
      <c r="BX26" s="100" t="s">
        <v>450</v>
      </c>
      <c r="BY26" s="100" t="s">
        <v>450</v>
      </c>
      <c r="BZ26" s="100" t="s">
        <v>450</v>
      </c>
      <c r="CA26" s="101" t="s">
        <v>450</v>
      </c>
      <c r="CD26" s="78">
        <f t="shared" si="11"/>
        <v>1</v>
      </c>
      <c r="CE26" s="85">
        <v>88</v>
      </c>
      <c r="CF26" s="85">
        <f>_xlfn.XLOOKUP($A26, 'Project Commitment'!$A:$A, 'Project Commitment'!M:M, "")</f>
        <v>0</v>
      </c>
      <c r="CG26" s="85">
        <f>_xlfn.XLOOKUP($A26, 'Project Commitment'!$A:$A, 'Project Commitment'!N:N, "")</f>
        <v>0</v>
      </c>
      <c r="CH26" s="85">
        <f>_xlfn.XLOOKUP($A26, 'Project Commitment'!$A:$A, 'Project Commitment'!O:O, "")</f>
        <v>0</v>
      </c>
      <c r="CI26" s="85">
        <f>_xlfn.XLOOKUP($A26, 'Project Commitment'!$A:$A, 'Project Commitment'!P:P, "")</f>
        <v>0</v>
      </c>
      <c r="CJ26" s="85">
        <f>_xlfn.XLOOKUP($A26, 'Project Commitment'!$A:$A, 'Project Commitment'!Q:Q, "")</f>
        <v>0</v>
      </c>
      <c r="CK26" s="85">
        <f>_xlfn.XLOOKUP($A26, 'Project Commitment'!$A:$A, 'Project Commitment'!R:R, "")</f>
        <v>0</v>
      </c>
      <c r="CL26" s="85">
        <f>_xlfn.XLOOKUP($A26, 'Project Commitment'!$A:$A, 'Project Commitment'!S:S, "")</f>
        <v>-76</v>
      </c>
      <c r="CM26" s="85">
        <f>_xlfn.XLOOKUP($A26, 'Project Commitment'!$A:$A, 'Project Commitment'!T:T, "")</f>
        <v>0</v>
      </c>
      <c r="CN26" s="85">
        <f>_xlfn.XLOOKUP($A26, 'Project Commitment'!$A:$A, 'Project Commitment'!U:U, "")</f>
        <v>-72</v>
      </c>
      <c r="CO26" s="85">
        <f>_xlfn.XLOOKUP($A26, 'Project Commitment'!$A:$A, 'Project Commitment'!V:V, "")</f>
        <v>-61</v>
      </c>
      <c r="CP26" s="85">
        <f>_xlfn.XLOOKUP($A26, 'Project Commitment'!$A:$A, 'Project Commitment'!W:W, "")</f>
        <v>0</v>
      </c>
      <c r="CQ26" s="85">
        <f>_xlfn.XLOOKUP($A26, 'Project Commitment'!$A:$A, 'Project Commitment'!X:X, "")</f>
        <v>-82</v>
      </c>
      <c r="CR26" s="85">
        <f>_xlfn.XLOOKUP($A26, 'Project Commitment'!$A:$A, 'Project Commitment'!Y:Y, "")</f>
        <v>335</v>
      </c>
      <c r="CS26" s="85">
        <f>_xlfn.XLOOKUP($A26, 'Project Commitment'!$A:$A, 'Project Commitment'!Z:Z, "")</f>
        <v>362</v>
      </c>
      <c r="CT26" s="85">
        <f>_xlfn.XLOOKUP($A26, 'Project Commitment'!$A:$A, 'Project Commitment'!AA:AA, "")</f>
        <v>0</v>
      </c>
      <c r="CU26" s="85">
        <f>_xlfn.XLOOKUP($A26, 'Project Commitment'!$A:$A, 'Project Commitment'!AB:AB, "")</f>
        <v>339</v>
      </c>
      <c r="DA26" s="85" t="str">
        <f t="shared" si="12"/>
        <v/>
      </c>
      <c r="DF26" s="85" t="str">
        <f t="shared" si="13"/>
        <v/>
      </c>
      <c r="DG26" s="85" t="str">
        <f t="shared" ca="1" si="14"/>
        <v/>
      </c>
      <c r="DI26" s="85" t="str">
        <f t="shared" si="15"/>
        <v/>
      </c>
      <c r="DJ26" s="85" t="str">
        <f t="shared" si="16"/>
        <v/>
      </c>
      <c r="DK26" s="85" t="str">
        <f t="shared" ca="1" si="17"/>
        <v/>
      </c>
      <c r="DM26" s="85" t="str">
        <f t="shared" si="18"/>
        <v/>
      </c>
      <c r="DN26" s="85" t="str">
        <f t="shared" ca="1" si="19"/>
        <v/>
      </c>
      <c r="DO26" s="85" t="str">
        <f t="shared" ca="1" si="20"/>
        <v/>
      </c>
      <c r="DP26" s="85" t="str">
        <f t="shared" si="21"/>
        <v/>
      </c>
      <c r="DQ26" s="85" t="str">
        <f t="shared" ca="1" si="22"/>
        <v/>
      </c>
      <c r="DR26" s="85" t="str">
        <f t="shared" ca="1" si="23"/>
        <v>Child Care Floorplan Approval Date  cannot be blank if project includes child care.</v>
      </c>
      <c r="DS26" s="85" t="str">
        <f t="shared" si="24"/>
        <v/>
      </c>
      <c r="DT26" s="85" t="str">
        <f t="shared" si="25"/>
        <v/>
      </c>
      <c r="DV26" s="85" t="str">
        <f t="shared" si="26"/>
        <v>Build Permit Obtained Date cannot be blank</v>
      </c>
      <c r="DX26" s="85" t="str">
        <f t="shared" si="27"/>
        <v/>
      </c>
      <c r="DY26" s="85" t="str">
        <f t="shared" si="28"/>
        <v/>
      </c>
      <c r="DZ26" s="85" t="str">
        <f t="shared" si="29"/>
        <v/>
      </c>
      <c r="EA26" s="85" t="str">
        <f t="shared" si="30"/>
        <v/>
      </c>
      <c r="EC26" s="85" t="str">
        <f t="shared" si="31"/>
        <v>Substantial Completion Date must preceed school opening date by more than one month.</v>
      </c>
      <c r="EE26" s="85" t="str">
        <f t="shared" si="32"/>
        <v/>
      </c>
      <c r="EG26" s="85" t="str">
        <f t="shared" si="33"/>
        <v>Child Care Opening Date cannot be blank</v>
      </c>
      <c r="EI26" s="85" t="str">
        <f t="shared" si="34"/>
        <v/>
      </c>
      <c r="EO26" s="85" t="str">
        <f t="shared" ca="1" si="35"/>
        <v/>
      </c>
      <c r="EP26" s="85" t="str">
        <f t="shared" si="36"/>
        <v>Estimated Cost - Construction Project cannot be blank.</v>
      </c>
      <c r="EQ26" s="85" t="str">
        <f t="shared" si="37"/>
        <v/>
      </c>
      <c r="ER26" s="85" t="str">
        <f t="shared" si="38"/>
        <v/>
      </c>
      <c r="ES26" s="85" t="str">
        <f t="shared" si="39"/>
        <v/>
      </c>
      <c r="EW26" s="85" t="str">
        <f t="shared" si="40"/>
        <v/>
      </c>
      <c r="EX26" s="85" t="str">
        <f t="shared" si="41"/>
        <v/>
      </c>
      <c r="EY26" s="85" t="str">
        <f t="shared" si="42"/>
        <v/>
      </c>
      <c r="EZ26" s="85" t="str">
        <f t="shared" si="43"/>
        <v/>
      </c>
      <c r="FA26" s="85" t="str">
        <f t="shared" si="44"/>
        <v/>
      </c>
      <c r="FB26" s="85" t="str">
        <f t="shared" si="45"/>
        <v/>
      </c>
      <c r="FC26" s="85" t="str">
        <f t="shared" si="46"/>
        <v/>
      </c>
      <c r="FD26" s="85" t="str">
        <f t="shared" si="47"/>
        <v/>
      </c>
      <c r="FE26" s="85" t="str">
        <f t="shared" ca="1" si="48"/>
        <v/>
      </c>
      <c r="FF26" s="85" t="str">
        <f t="shared" si="49"/>
        <v/>
      </c>
      <c r="FG26" s="85" t="str">
        <f t="shared" ca="1" si="50"/>
        <v/>
      </c>
      <c r="FH26" s="85" t="str">
        <f t="shared" ca="1" si="51"/>
        <v/>
      </c>
      <c r="FI26" s="85" t="str">
        <f t="shared" ca="1" si="52"/>
        <v/>
      </c>
      <c r="FJ26" s="85" t="str">
        <f t="shared" si="53"/>
        <v/>
      </c>
      <c r="FK26" s="85" t="str">
        <f t="shared" ca="1" si="54"/>
        <v/>
      </c>
      <c r="FL26" s="85" t="str">
        <f t="shared" si="55"/>
        <v/>
      </c>
    </row>
    <row r="27" spans="1:168" ht="15.6" customHeight="1" x14ac:dyDescent="0.25">
      <c r="A27" s="58" t="s">
        <v>522</v>
      </c>
      <c r="B27" s="90" t="s">
        <v>523</v>
      </c>
      <c r="C27" s="137" t="s">
        <v>621</v>
      </c>
      <c r="D27" s="51" t="s">
        <v>453</v>
      </c>
      <c r="E27" s="51" t="s">
        <v>194</v>
      </c>
      <c r="F27" s="59" t="s">
        <v>124</v>
      </c>
      <c r="G27" s="129" t="str">
        <f t="shared" si="9"/>
        <v>Planning</v>
      </c>
      <c r="H27" s="197">
        <v>46478</v>
      </c>
      <c r="I27" s="99" t="s">
        <v>308</v>
      </c>
      <c r="J27" s="157" t="s">
        <v>545</v>
      </c>
      <c r="K27" s="194" t="s">
        <v>545</v>
      </c>
      <c r="L27" s="198" t="s">
        <v>450</v>
      </c>
      <c r="M27" s="114" t="s">
        <v>308</v>
      </c>
      <c r="N27" s="51" t="s">
        <v>545</v>
      </c>
      <c r="O27" s="195" t="s">
        <v>545</v>
      </c>
      <c r="P27" s="135" t="s">
        <v>222</v>
      </c>
      <c r="Q27" s="198">
        <v>47727</v>
      </c>
      <c r="R27" s="59" t="s">
        <v>114</v>
      </c>
      <c r="S27" s="198" t="s">
        <v>450</v>
      </c>
      <c r="T27" s="199" t="s">
        <v>450</v>
      </c>
      <c r="U27" s="200" t="s">
        <v>450</v>
      </c>
      <c r="V27" s="198">
        <v>46235</v>
      </c>
      <c r="W27" s="99" t="s">
        <v>450</v>
      </c>
      <c r="X27" s="198" t="s">
        <v>450</v>
      </c>
      <c r="Y27" s="99" t="s">
        <v>450</v>
      </c>
      <c r="Z27" s="198" t="s">
        <v>450</v>
      </c>
      <c r="AA27" s="198" t="s">
        <v>450</v>
      </c>
      <c r="AB27" s="197">
        <v>46478</v>
      </c>
      <c r="AC27" s="198">
        <v>46478</v>
      </c>
      <c r="AD27" s="99" t="s">
        <v>450</v>
      </c>
      <c r="AE27" s="198">
        <v>47635</v>
      </c>
      <c r="AF27" s="114" t="s">
        <v>450</v>
      </c>
      <c r="AG27" s="197">
        <v>47727</v>
      </c>
      <c r="AH27" s="99" t="s">
        <v>450</v>
      </c>
      <c r="AI27" s="198" t="s">
        <v>450</v>
      </c>
      <c r="AJ27" s="99" t="s">
        <v>450</v>
      </c>
      <c r="AK27" s="199">
        <v>47818</v>
      </c>
      <c r="AL27" s="152">
        <f t="shared" si="10"/>
        <v>35000000</v>
      </c>
      <c r="AM27" s="153">
        <v>35000000</v>
      </c>
      <c r="AN27" s="153" t="s">
        <v>450</v>
      </c>
      <c r="AO27" s="153" t="s">
        <v>450</v>
      </c>
      <c r="AP27" s="154" t="s">
        <v>450</v>
      </c>
      <c r="AQ27" s="137" t="s">
        <v>449</v>
      </c>
      <c r="AR27" s="91" t="s">
        <v>450</v>
      </c>
      <c r="AS27" s="91" t="s">
        <v>450</v>
      </c>
      <c r="AT27" s="91" t="s">
        <v>450</v>
      </c>
      <c r="AU27" s="91" t="s">
        <v>450</v>
      </c>
      <c r="AV27" s="59" t="s">
        <v>450</v>
      </c>
      <c r="AW27" s="59" t="s">
        <v>450</v>
      </c>
      <c r="AX27" s="59" t="s">
        <v>450</v>
      </c>
      <c r="AY27" s="59" t="s">
        <v>450</v>
      </c>
      <c r="AZ27" s="59" t="s">
        <v>450</v>
      </c>
      <c r="BA27" s="59" t="s">
        <v>450</v>
      </c>
      <c r="BB27" s="59" t="s">
        <v>450</v>
      </c>
      <c r="BC27" s="139" t="s">
        <v>450</v>
      </c>
      <c r="BD27" s="141" t="s">
        <v>599</v>
      </c>
      <c r="BE27" s="100" t="s">
        <v>599</v>
      </c>
      <c r="BF27" s="100" t="s">
        <v>600</v>
      </c>
      <c r="BG27" s="100" t="s">
        <v>601</v>
      </c>
      <c r="BH27" s="100" t="s">
        <v>450</v>
      </c>
      <c r="BI27" s="100" t="s">
        <v>450</v>
      </c>
      <c r="BJ27" s="100" t="s">
        <v>450</v>
      </c>
      <c r="BK27" s="100" t="s">
        <v>450</v>
      </c>
      <c r="BL27" s="100" t="s">
        <v>450</v>
      </c>
      <c r="BM27" s="100" t="s">
        <v>450</v>
      </c>
      <c r="BN27" s="100" t="s">
        <v>450</v>
      </c>
      <c r="BO27" s="100" t="s">
        <v>450</v>
      </c>
      <c r="BP27" s="100" t="s">
        <v>450</v>
      </c>
      <c r="BQ27" s="100" t="s">
        <v>450</v>
      </c>
      <c r="BR27" s="100" t="s">
        <v>450</v>
      </c>
      <c r="BS27" s="100" t="s">
        <v>450</v>
      </c>
      <c r="BT27" s="100" t="s">
        <v>450</v>
      </c>
      <c r="BU27" s="100" t="s">
        <v>450</v>
      </c>
      <c r="BV27" s="100" t="s">
        <v>450</v>
      </c>
      <c r="BW27" s="100" t="s">
        <v>450</v>
      </c>
      <c r="BX27" s="100" t="s">
        <v>450</v>
      </c>
      <c r="BY27" s="100" t="s">
        <v>450</v>
      </c>
      <c r="BZ27" s="100" t="s">
        <v>450</v>
      </c>
      <c r="CA27" s="101" t="s">
        <v>450</v>
      </c>
      <c r="CD27" s="78">
        <f t="shared" si="11"/>
        <v>0</v>
      </c>
      <c r="CE27" s="85">
        <v>0</v>
      </c>
      <c r="CF27" s="85">
        <f>_xlfn.XLOOKUP($A27, 'Project Commitment'!$A:$A, 'Project Commitment'!M:M, "")</f>
        <v>0</v>
      </c>
      <c r="CG27" s="85" t="e">
        <f>_xlfn.XLOOKUP($A27, 'Project Commitment'!$A:$A, 'Project Commitment'!N:N, "")</f>
        <v>#VALUE!</v>
      </c>
      <c r="CH27" s="85">
        <f>_xlfn.XLOOKUP($A27, 'Project Commitment'!$A:$A, 'Project Commitment'!O:O, "")</f>
        <v>0</v>
      </c>
      <c r="CI27" s="85">
        <f>_xlfn.XLOOKUP($A27, 'Project Commitment'!$A:$A, 'Project Commitment'!P:P, "")</f>
        <v>0</v>
      </c>
      <c r="CJ27" s="85">
        <f>_xlfn.XLOOKUP($A27, 'Project Commitment'!$A:$A, 'Project Commitment'!Q:Q, "")</f>
        <v>0</v>
      </c>
      <c r="CK27" s="85">
        <f>_xlfn.XLOOKUP($A27, 'Project Commitment'!$A:$A, 'Project Commitment'!R:R, "")</f>
        <v>0</v>
      </c>
      <c r="CL27" s="85" t="e">
        <f>_xlfn.XLOOKUP($A27, 'Project Commitment'!$A:$A, 'Project Commitment'!S:S, "")</f>
        <v>#VALUE!</v>
      </c>
      <c r="CM27" s="85">
        <f>_xlfn.XLOOKUP($A27, 'Project Commitment'!$A:$A, 'Project Commitment'!T:T, "")</f>
        <v>0</v>
      </c>
      <c r="CN27" s="85">
        <f>_xlfn.XLOOKUP($A27, 'Project Commitment'!$A:$A, 'Project Commitment'!U:U, "")</f>
        <v>46478</v>
      </c>
      <c r="CO27" s="85" t="e">
        <f>_xlfn.XLOOKUP($A27, 'Project Commitment'!$A:$A, 'Project Commitment'!V:V, "")</f>
        <v>#VALUE!</v>
      </c>
      <c r="CP27" s="85">
        <f>_xlfn.XLOOKUP($A27, 'Project Commitment'!$A:$A, 'Project Commitment'!W:W, "")</f>
        <v>0</v>
      </c>
      <c r="CQ27" s="85">
        <f>_xlfn.XLOOKUP($A27, 'Project Commitment'!$A:$A, 'Project Commitment'!X:X, "")</f>
        <v>0</v>
      </c>
      <c r="CR27" s="85">
        <f>_xlfn.XLOOKUP($A27, 'Project Commitment'!$A:$A, 'Project Commitment'!Y:Y, "")</f>
        <v>0</v>
      </c>
      <c r="CS27" s="85">
        <f>_xlfn.XLOOKUP($A27, 'Project Commitment'!$A:$A, 'Project Commitment'!Z:Z, "")</f>
        <v>0</v>
      </c>
      <c r="CT27" s="85">
        <f>_xlfn.XLOOKUP($A27, 'Project Commitment'!$A:$A, 'Project Commitment'!AA:AA, "")</f>
        <v>0</v>
      </c>
      <c r="CU27" s="85">
        <f>_xlfn.XLOOKUP($A27, 'Project Commitment'!$A:$A, 'Project Commitment'!AB:AB, "")</f>
        <v>274</v>
      </c>
      <c r="DA27" s="85" t="str">
        <f t="shared" si="12"/>
        <v/>
      </c>
      <c r="DF27" s="85" t="str">
        <f t="shared" si="13"/>
        <v/>
      </c>
      <c r="DG27" s="85" t="str">
        <f t="shared" ca="1" si="14"/>
        <v/>
      </c>
      <c r="DI27" s="85" t="str">
        <f t="shared" si="15"/>
        <v/>
      </c>
      <c r="DJ27" s="85" t="str">
        <f t="shared" si="16"/>
        <v>Post-Tender Submission Date cannot be blank</v>
      </c>
      <c r="DK27" s="85" t="str">
        <f t="shared" ca="1" si="17"/>
        <v/>
      </c>
      <c r="DM27" s="85" t="str">
        <f t="shared" si="18"/>
        <v/>
      </c>
      <c r="DN27" s="85" t="str">
        <f t="shared" ca="1" si="19"/>
        <v/>
      </c>
      <c r="DO27" s="85" t="str">
        <f t="shared" ca="1" si="20"/>
        <v/>
      </c>
      <c r="DP27" s="85" t="str">
        <f t="shared" si="21"/>
        <v/>
      </c>
      <c r="DQ27" s="85" t="str">
        <f t="shared" ca="1" si="22"/>
        <v>Space Template Approval Date cannot be blank</v>
      </c>
      <c r="DR27" s="85" t="str">
        <f t="shared" ca="1" si="23"/>
        <v/>
      </c>
      <c r="DS27" s="85" t="str">
        <f t="shared" si="24"/>
        <v>Initial Site Plan Submission Date cannot be blank</v>
      </c>
      <c r="DT27" s="85" t="str">
        <f t="shared" si="25"/>
        <v/>
      </c>
      <c r="DV27" s="85" t="str">
        <f t="shared" si="26"/>
        <v>Build Permit Obtained Date cannot be blank</v>
      </c>
      <c r="DX27" s="85" t="str">
        <f t="shared" si="27"/>
        <v>Tender Issued Date  cannot be blank</v>
      </c>
      <c r="DY27" s="85" t="str">
        <f t="shared" si="28"/>
        <v>Tender Closed Date cannot be blank</v>
      </c>
      <c r="DZ27" s="85" t="str">
        <f t="shared" si="29"/>
        <v/>
      </c>
      <c r="EA27" s="85" t="str">
        <f t="shared" si="30"/>
        <v/>
      </c>
      <c r="EC27" s="85" t="str">
        <f t="shared" si="31"/>
        <v/>
      </c>
      <c r="EE27" s="85" t="str">
        <f t="shared" si="32"/>
        <v>School Opening Date  must preceed financial close date by  at least 12 months.</v>
      </c>
      <c r="EG27" s="85" t="str">
        <f t="shared" si="33"/>
        <v/>
      </c>
      <c r="EI27" s="85" t="str">
        <f t="shared" si="34"/>
        <v/>
      </c>
      <c r="EO27" s="85" t="str">
        <f t="shared" ca="1" si="35"/>
        <v/>
      </c>
      <c r="EP27" s="85" t="str">
        <f t="shared" si="36"/>
        <v>Estimated Cost - Construction Project cannot be blank.</v>
      </c>
      <c r="EQ27" s="85" t="str">
        <f t="shared" si="37"/>
        <v/>
      </c>
      <c r="ER27" s="85" t="str">
        <f t="shared" si="38"/>
        <v/>
      </c>
      <c r="ES27" s="85" t="str">
        <f t="shared" si="39"/>
        <v/>
      </c>
      <c r="EW27" s="85" t="str">
        <f t="shared" si="40"/>
        <v/>
      </c>
      <c r="EX27" s="85" t="str">
        <f t="shared" si="41"/>
        <v/>
      </c>
      <c r="EY27" s="85" t="str">
        <f t="shared" si="42"/>
        <v/>
      </c>
      <c r="EZ27" s="85" t="str">
        <f t="shared" si="43"/>
        <v/>
      </c>
      <c r="FA27" s="85" t="str">
        <f t="shared" si="44"/>
        <v/>
      </c>
      <c r="FB27" s="85" t="str">
        <f t="shared" si="45"/>
        <v/>
      </c>
      <c r="FC27" s="85" t="str">
        <f t="shared" si="46"/>
        <v/>
      </c>
      <c r="FD27" s="85" t="str">
        <f t="shared" si="47"/>
        <v/>
      </c>
      <c r="FE27" s="85" t="str">
        <f t="shared" ca="1" si="48"/>
        <v/>
      </c>
      <c r="FF27" s="85" t="str">
        <f t="shared" si="49"/>
        <v/>
      </c>
      <c r="FG27" s="85" t="str">
        <f t="shared" ca="1" si="50"/>
        <v/>
      </c>
      <c r="FH27" s="85" t="str">
        <f t="shared" ca="1" si="51"/>
        <v/>
      </c>
      <c r="FI27" s="85" t="str">
        <f t="shared" ca="1" si="52"/>
        <v/>
      </c>
      <c r="FJ27" s="85" t="str">
        <f t="shared" si="53"/>
        <v/>
      </c>
      <c r="FK27" s="85" t="str">
        <f t="shared" ca="1" si="54"/>
        <v/>
      </c>
      <c r="FL27" s="85" t="str">
        <f t="shared" si="55"/>
        <v/>
      </c>
    </row>
    <row r="28" spans="1:168" ht="15.6" customHeight="1" x14ac:dyDescent="0.25">
      <c r="A28" s="7"/>
      <c r="B28" s="8"/>
      <c r="C28" s="8"/>
      <c r="D28" s="8"/>
      <c r="E28" s="8"/>
      <c r="F28" s="8"/>
      <c r="G28" s="83"/>
      <c r="H28" s="125"/>
      <c r="I28" s="8"/>
      <c r="J28" s="9"/>
      <c r="K28" s="8"/>
      <c r="L28" s="8"/>
      <c r="M28" s="83"/>
      <c r="N28" s="8"/>
      <c r="O28" s="83"/>
      <c r="P28" s="125"/>
      <c r="Q28" s="8"/>
      <c r="R28" s="8"/>
      <c r="S28" s="8"/>
      <c r="T28" s="83"/>
      <c r="U28" s="8"/>
      <c r="V28" s="8"/>
      <c r="W28" s="8"/>
      <c r="X28" s="8"/>
      <c r="Y28" s="8"/>
      <c r="Z28" s="8"/>
      <c r="AA28" s="8"/>
      <c r="AB28" s="125"/>
      <c r="AC28" s="8"/>
      <c r="AD28" s="8"/>
      <c r="AE28" s="8"/>
      <c r="AF28" s="83"/>
      <c r="AG28" s="125"/>
      <c r="AH28" s="8"/>
      <c r="AI28" s="8"/>
      <c r="AJ28" s="8"/>
      <c r="AK28" s="83"/>
      <c r="AL28" s="125"/>
      <c r="AM28" s="8"/>
      <c r="AN28" s="8"/>
      <c r="AO28" s="8"/>
      <c r="AP28" s="83"/>
      <c r="AQ28" s="125"/>
      <c r="AR28" s="8"/>
      <c r="AS28" s="8"/>
      <c r="AT28" s="8"/>
      <c r="AU28" s="8"/>
      <c r="AV28" s="8"/>
      <c r="AW28" s="8"/>
      <c r="AX28" s="8"/>
      <c r="AY28" s="8"/>
      <c r="AZ28" s="8"/>
      <c r="BA28" s="8"/>
      <c r="BB28" s="8"/>
      <c r="BC28" s="83"/>
      <c r="BD28" s="125"/>
      <c r="BE28" s="8"/>
      <c r="BF28" s="8"/>
      <c r="BG28" s="8"/>
      <c r="BH28" s="8"/>
      <c r="BI28" s="8"/>
      <c r="BJ28" s="8"/>
      <c r="BK28" s="8"/>
      <c r="BL28" s="8"/>
      <c r="BM28" s="8"/>
      <c r="BN28" s="8"/>
      <c r="BO28" s="8"/>
      <c r="BP28" s="8"/>
      <c r="BQ28" s="8"/>
      <c r="BR28" s="8"/>
      <c r="BS28" s="8"/>
      <c r="BT28" s="8"/>
      <c r="BU28" s="8"/>
      <c r="BV28" s="8"/>
      <c r="BW28" s="8"/>
      <c r="BX28" s="8"/>
      <c r="BY28" s="8"/>
      <c r="BZ28" s="8"/>
      <c r="CA28" s="83"/>
    </row>
    <row r="29" spans="1:168" ht="15.6" customHeight="1" x14ac:dyDescent="0.25">
      <c r="A29" s="7"/>
      <c r="B29" s="8"/>
      <c r="C29" s="8"/>
      <c r="D29" s="8"/>
      <c r="E29" s="8"/>
      <c r="F29" s="8"/>
      <c r="G29" s="83"/>
      <c r="H29" s="125"/>
      <c r="I29" s="8"/>
      <c r="J29" s="9"/>
      <c r="K29" s="8"/>
      <c r="L29" s="8"/>
      <c r="M29" s="83"/>
      <c r="N29" s="8"/>
      <c r="O29" s="83"/>
      <c r="P29" s="125"/>
      <c r="Q29" s="8"/>
      <c r="R29" s="8"/>
      <c r="S29" s="8"/>
      <c r="T29" s="83"/>
      <c r="U29" s="8"/>
      <c r="V29" s="8"/>
      <c r="W29" s="8"/>
      <c r="X29" s="8"/>
      <c r="Y29" s="8"/>
      <c r="Z29" s="8"/>
      <c r="AA29" s="8"/>
      <c r="AB29" s="125"/>
      <c r="AC29" s="8"/>
      <c r="AD29" s="8"/>
      <c r="AE29" s="8"/>
      <c r="AF29" s="83"/>
      <c r="AG29" s="125"/>
      <c r="AH29" s="8"/>
      <c r="AI29" s="8"/>
      <c r="AJ29" s="8"/>
      <c r="AK29" s="83"/>
      <c r="AL29" s="125"/>
      <c r="AM29" s="8"/>
      <c r="AN29" s="8"/>
      <c r="AO29" s="8"/>
      <c r="AP29" s="83"/>
      <c r="AQ29" s="125"/>
      <c r="AR29" s="8"/>
      <c r="AS29" s="8"/>
      <c r="AT29" s="8"/>
      <c r="AU29" s="8"/>
      <c r="AV29" s="8"/>
      <c r="AW29" s="8"/>
      <c r="AX29" s="8"/>
      <c r="AY29" s="8"/>
      <c r="AZ29" s="8"/>
      <c r="BA29" s="8"/>
      <c r="BB29" s="8"/>
      <c r="BC29" s="83"/>
      <c r="BD29" s="125"/>
      <c r="BE29" s="8"/>
      <c r="BF29" s="8"/>
      <c r="BG29" s="8"/>
      <c r="BH29" s="8"/>
      <c r="BI29" s="8"/>
      <c r="BJ29" s="8"/>
      <c r="BK29" s="8"/>
      <c r="BL29" s="8"/>
      <c r="BM29" s="8"/>
      <c r="BN29" s="8"/>
      <c r="BO29" s="8"/>
      <c r="BP29" s="8"/>
      <c r="BQ29" s="8"/>
      <c r="BR29" s="8"/>
      <c r="BS29" s="8"/>
      <c r="BT29" s="8"/>
      <c r="BU29" s="8"/>
      <c r="BV29" s="8"/>
      <c r="BW29" s="8"/>
      <c r="BX29" s="8"/>
      <c r="BY29" s="8"/>
      <c r="BZ29" s="8"/>
      <c r="CA29" s="83"/>
    </row>
    <row r="30" spans="1:168" ht="15.6" customHeight="1" x14ac:dyDescent="0.25">
      <c r="A30" s="7"/>
      <c r="B30" s="8"/>
      <c r="C30" s="8"/>
      <c r="D30" s="8"/>
      <c r="E30" s="8"/>
      <c r="F30" s="8"/>
      <c r="G30" s="83"/>
      <c r="H30" s="125"/>
      <c r="I30" s="8"/>
      <c r="J30" s="9"/>
      <c r="K30" s="8"/>
      <c r="L30" s="8"/>
      <c r="M30" s="83"/>
      <c r="N30" s="8"/>
      <c r="O30" s="83"/>
      <c r="P30" s="125"/>
      <c r="Q30" s="8"/>
      <c r="R30" s="8"/>
      <c r="S30" s="8"/>
      <c r="T30" s="83"/>
      <c r="U30" s="8"/>
      <c r="V30" s="8"/>
      <c r="W30" s="8"/>
      <c r="X30" s="8"/>
      <c r="Y30" s="8"/>
      <c r="Z30" s="8"/>
      <c r="AA30" s="8"/>
      <c r="AB30" s="125"/>
      <c r="AC30" s="8"/>
      <c r="AD30" s="8"/>
      <c r="AE30" s="8"/>
      <c r="AF30" s="83"/>
      <c r="AG30" s="125"/>
      <c r="AH30" s="8"/>
      <c r="AI30" s="8"/>
      <c r="AJ30" s="8"/>
      <c r="AK30" s="83"/>
      <c r="AL30" s="125"/>
      <c r="AM30" s="8"/>
      <c r="AN30" s="8"/>
      <c r="AO30" s="8"/>
      <c r="AP30" s="83"/>
      <c r="AQ30" s="125"/>
      <c r="AR30" s="8"/>
      <c r="AS30" s="8"/>
      <c r="AT30" s="8"/>
      <c r="AU30" s="8"/>
      <c r="AV30" s="8"/>
      <c r="AW30" s="8"/>
      <c r="AX30" s="8"/>
      <c r="AY30" s="8"/>
      <c r="AZ30" s="8"/>
      <c r="BA30" s="8"/>
      <c r="BB30" s="8"/>
      <c r="BC30" s="83"/>
      <c r="BD30" s="125"/>
      <c r="BE30" s="8"/>
      <c r="BF30" s="8"/>
      <c r="BG30" s="8"/>
      <c r="BH30" s="8"/>
      <c r="BI30" s="8"/>
      <c r="BJ30" s="8"/>
      <c r="BK30" s="8"/>
      <c r="BL30" s="8"/>
      <c r="BM30" s="8"/>
      <c r="BN30" s="8"/>
      <c r="BO30" s="8"/>
      <c r="BP30" s="8"/>
      <c r="BQ30" s="8"/>
      <c r="BR30" s="8"/>
      <c r="BS30" s="8"/>
      <c r="BT30" s="8"/>
      <c r="BU30" s="8"/>
      <c r="BV30" s="8"/>
      <c r="BW30" s="8"/>
      <c r="BX30" s="8"/>
      <c r="BY30" s="8"/>
      <c r="BZ30" s="8"/>
      <c r="CA30" s="83"/>
    </row>
    <row r="31" spans="1:168" ht="15.6" customHeight="1" x14ac:dyDescent="0.25">
      <c r="A31" s="7"/>
      <c r="B31" s="8"/>
      <c r="C31" s="8"/>
      <c r="D31" s="8"/>
      <c r="E31" s="8"/>
      <c r="F31" s="8"/>
      <c r="G31" s="83"/>
      <c r="H31" s="125"/>
      <c r="I31" s="8"/>
      <c r="J31" s="9"/>
      <c r="K31" s="8"/>
      <c r="L31" s="8"/>
      <c r="M31" s="83"/>
      <c r="N31" s="8"/>
      <c r="O31" s="83"/>
      <c r="P31" s="125"/>
      <c r="Q31" s="8"/>
      <c r="R31" s="8"/>
      <c r="S31" s="8"/>
      <c r="T31" s="83"/>
      <c r="U31" s="8"/>
      <c r="V31" s="8"/>
      <c r="W31" s="8"/>
      <c r="X31" s="8"/>
      <c r="Y31" s="8"/>
      <c r="Z31" s="8"/>
      <c r="AA31" s="8"/>
      <c r="AB31" s="125"/>
      <c r="AC31" s="8"/>
      <c r="AD31" s="8"/>
      <c r="AE31" s="8"/>
      <c r="AF31" s="83"/>
      <c r="AG31" s="125"/>
      <c r="AH31" s="8"/>
      <c r="AI31" s="8"/>
      <c r="AJ31" s="8"/>
      <c r="AK31" s="83"/>
      <c r="AL31" s="125"/>
      <c r="AM31" s="8"/>
      <c r="AN31" s="8"/>
      <c r="AO31" s="8"/>
      <c r="AP31" s="83"/>
      <c r="AQ31" s="125"/>
      <c r="AR31" s="8"/>
      <c r="AS31" s="8"/>
      <c r="AT31" s="8"/>
      <c r="AU31" s="8"/>
      <c r="AV31" s="8"/>
      <c r="AW31" s="8"/>
      <c r="AX31" s="8"/>
      <c r="AY31" s="8"/>
      <c r="AZ31" s="8"/>
      <c r="BA31" s="8"/>
      <c r="BB31" s="8"/>
      <c r="BC31" s="83"/>
      <c r="BD31" s="125"/>
      <c r="BE31" s="8"/>
      <c r="BF31" s="8"/>
      <c r="BG31" s="8"/>
      <c r="BH31" s="8"/>
      <c r="BI31" s="8"/>
      <c r="BJ31" s="8"/>
      <c r="BK31" s="8"/>
      <c r="BL31" s="8"/>
      <c r="BM31" s="8"/>
      <c r="BN31" s="8"/>
      <c r="BO31" s="8"/>
      <c r="BP31" s="8"/>
      <c r="BQ31" s="8"/>
      <c r="BR31" s="8"/>
      <c r="BS31" s="8"/>
      <c r="BT31" s="8"/>
      <c r="BU31" s="8"/>
      <c r="BV31" s="8"/>
      <c r="BW31" s="8"/>
      <c r="BX31" s="8"/>
      <c r="BY31" s="8"/>
      <c r="BZ31" s="8"/>
      <c r="CA31" s="83"/>
    </row>
    <row r="32" spans="1:168" ht="15.6" customHeight="1" x14ac:dyDescent="0.25">
      <c r="A32" s="7"/>
      <c r="B32" s="8"/>
      <c r="C32" s="8"/>
      <c r="D32" s="8"/>
      <c r="E32" s="8"/>
      <c r="F32" s="8"/>
      <c r="G32" s="83"/>
      <c r="H32" s="125"/>
      <c r="I32" s="8"/>
      <c r="J32" s="9"/>
      <c r="K32" s="8"/>
      <c r="L32" s="8"/>
      <c r="M32" s="83"/>
      <c r="N32" s="8"/>
      <c r="O32" s="83"/>
      <c r="P32" s="125"/>
      <c r="Q32" s="8"/>
      <c r="R32" s="8"/>
      <c r="S32" s="8"/>
      <c r="T32" s="83"/>
      <c r="U32" s="8"/>
      <c r="V32" s="8"/>
      <c r="W32" s="8"/>
      <c r="X32" s="8"/>
      <c r="Y32" s="8"/>
      <c r="Z32" s="8"/>
      <c r="AA32" s="8"/>
      <c r="AB32" s="125"/>
      <c r="AC32" s="8"/>
      <c r="AD32" s="8"/>
      <c r="AE32" s="8"/>
      <c r="AF32" s="83"/>
      <c r="AG32" s="125"/>
      <c r="AH32" s="8"/>
      <c r="AI32" s="8"/>
      <c r="AJ32" s="8"/>
      <c r="AK32" s="83"/>
      <c r="AL32" s="125"/>
      <c r="AM32" s="8"/>
      <c r="AN32" s="8"/>
      <c r="AO32" s="8"/>
      <c r="AP32" s="83"/>
      <c r="AQ32" s="125"/>
      <c r="AR32" s="8"/>
      <c r="AS32" s="8"/>
      <c r="AT32" s="8"/>
      <c r="AU32" s="8"/>
      <c r="AV32" s="8"/>
      <c r="AW32" s="8"/>
      <c r="AX32" s="8"/>
      <c r="AY32" s="8"/>
      <c r="AZ32" s="8"/>
      <c r="BA32" s="8"/>
      <c r="BB32" s="8"/>
      <c r="BC32" s="83"/>
      <c r="BD32" s="125"/>
      <c r="BE32" s="8"/>
      <c r="BF32" s="8"/>
      <c r="BG32" s="8"/>
      <c r="BH32" s="8"/>
      <c r="BI32" s="8"/>
      <c r="BJ32" s="8"/>
      <c r="BK32" s="8"/>
      <c r="BL32" s="8"/>
      <c r="BM32" s="8"/>
      <c r="BN32" s="8"/>
      <c r="BO32" s="8"/>
      <c r="BP32" s="8"/>
      <c r="BQ32" s="8"/>
      <c r="BR32" s="8"/>
      <c r="BS32" s="8"/>
      <c r="BT32" s="8"/>
      <c r="BU32" s="8"/>
      <c r="BV32" s="8"/>
      <c r="BW32" s="8"/>
      <c r="BX32" s="8"/>
      <c r="BY32" s="8"/>
      <c r="BZ32" s="8"/>
      <c r="CA32" s="83"/>
    </row>
    <row r="33" spans="1:79" ht="15.6" customHeight="1" x14ac:dyDescent="0.25">
      <c r="A33" s="7"/>
      <c r="B33" s="8"/>
      <c r="C33" s="8"/>
      <c r="D33" s="8"/>
      <c r="E33" s="8"/>
      <c r="F33" s="8"/>
      <c r="G33" s="83"/>
      <c r="H33" s="125"/>
      <c r="I33" s="8"/>
      <c r="J33" s="9"/>
      <c r="K33" s="8"/>
      <c r="L33" s="8"/>
      <c r="M33" s="83"/>
      <c r="N33" s="8"/>
      <c r="O33" s="83"/>
      <c r="P33" s="125"/>
      <c r="Q33" s="8"/>
      <c r="R33" s="8"/>
      <c r="S33" s="8"/>
      <c r="T33" s="83"/>
      <c r="U33" s="8"/>
      <c r="V33" s="8"/>
      <c r="W33" s="8"/>
      <c r="X33" s="8"/>
      <c r="Y33" s="8"/>
      <c r="Z33" s="8"/>
      <c r="AA33" s="8"/>
      <c r="AB33" s="125"/>
      <c r="AC33" s="8"/>
      <c r="AD33" s="8"/>
      <c r="AE33" s="8"/>
      <c r="AF33" s="83"/>
      <c r="AG33" s="125"/>
      <c r="AH33" s="8"/>
      <c r="AI33" s="8"/>
      <c r="AJ33" s="8"/>
      <c r="AK33" s="83"/>
      <c r="AL33" s="125"/>
      <c r="AM33" s="8"/>
      <c r="AN33" s="8"/>
      <c r="AO33" s="8"/>
      <c r="AP33" s="83"/>
      <c r="AQ33" s="125"/>
      <c r="AR33" s="8"/>
      <c r="AS33" s="8"/>
      <c r="AT33" s="8"/>
      <c r="AU33" s="8"/>
      <c r="AV33" s="8"/>
      <c r="AW33" s="8"/>
      <c r="AX33" s="8"/>
      <c r="AY33" s="8"/>
      <c r="AZ33" s="8"/>
      <c r="BA33" s="8"/>
      <c r="BB33" s="8"/>
      <c r="BC33" s="83"/>
      <c r="BD33" s="125"/>
      <c r="BE33" s="8"/>
      <c r="BF33" s="8"/>
      <c r="BG33" s="8"/>
      <c r="BH33" s="8"/>
      <c r="BI33" s="8"/>
      <c r="BJ33" s="8"/>
      <c r="BK33" s="8"/>
      <c r="BL33" s="8"/>
      <c r="BM33" s="8"/>
      <c r="BN33" s="8"/>
      <c r="BO33" s="8"/>
      <c r="BP33" s="8"/>
      <c r="BQ33" s="8"/>
      <c r="BR33" s="8"/>
      <c r="BS33" s="8"/>
      <c r="BT33" s="8"/>
      <c r="BU33" s="8"/>
      <c r="BV33" s="8"/>
      <c r="BW33" s="8"/>
      <c r="BX33" s="8"/>
      <c r="BY33" s="8"/>
      <c r="BZ33" s="8"/>
      <c r="CA33" s="83"/>
    </row>
    <row r="34" spans="1:79" ht="15.6" customHeight="1" x14ac:dyDescent="0.25">
      <c r="A34" s="7"/>
      <c r="B34" s="8"/>
      <c r="C34" s="8"/>
      <c r="D34" s="8"/>
      <c r="E34" s="8"/>
      <c r="F34" s="8"/>
      <c r="G34" s="83"/>
      <c r="H34" s="125"/>
      <c r="I34" s="8"/>
      <c r="J34" s="9"/>
      <c r="K34" s="8"/>
      <c r="L34" s="8"/>
      <c r="M34" s="83"/>
      <c r="N34" s="8"/>
      <c r="O34" s="83"/>
      <c r="P34" s="125"/>
      <c r="Q34" s="8"/>
      <c r="R34" s="8"/>
      <c r="S34" s="8"/>
      <c r="T34" s="83"/>
      <c r="U34" s="8"/>
      <c r="V34" s="8"/>
      <c r="W34" s="8"/>
      <c r="X34" s="8"/>
      <c r="Y34" s="8"/>
      <c r="Z34" s="8"/>
      <c r="AA34" s="8"/>
      <c r="AB34" s="125"/>
      <c r="AC34" s="8"/>
      <c r="AD34" s="8"/>
      <c r="AE34" s="8"/>
      <c r="AF34" s="83"/>
      <c r="AG34" s="125"/>
      <c r="AH34" s="8"/>
      <c r="AI34" s="8"/>
      <c r="AJ34" s="8"/>
      <c r="AK34" s="83"/>
      <c r="AL34" s="125"/>
      <c r="AM34" s="8"/>
      <c r="AN34" s="8"/>
      <c r="AO34" s="8"/>
      <c r="AP34" s="83"/>
      <c r="AQ34" s="125"/>
      <c r="AR34" s="8"/>
      <c r="AS34" s="8"/>
      <c r="AT34" s="8"/>
      <c r="AU34" s="8"/>
      <c r="AV34" s="8"/>
      <c r="AW34" s="8"/>
      <c r="AX34" s="8"/>
      <c r="AY34" s="8"/>
      <c r="AZ34" s="8"/>
      <c r="BA34" s="8"/>
      <c r="BB34" s="8"/>
      <c r="BC34" s="83"/>
      <c r="BD34" s="125"/>
      <c r="BE34" s="8"/>
      <c r="BF34" s="8"/>
      <c r="BG34" s="8"/>
      <c r="BH34" s="8"/>
      <c r="BI34" s="8"/>
      <c r="BJ34" s="8"/>
      <c r="BK34" s="8"/>
      <c r="BL34" s="8"/>
      <c r="BM34" s="8"/>
      <c r="BN34" s="8"/>
      <c r="BO34" s="8"/>
      <c r="BP34" s="8"/>
      <c r="BQ34" s="8"/>
      <c r="BR34" s="8"/>
      <c r="BS34" s="8"/>
      <c r="BT34" s="8"/>
      <c r="BU34" s="8"/>
      <c r="BV34" s="8"/>
      <c r="BW34" s="8"/>
      <c r="BX34" s="8"/>
      <c r="BY34" s="8"/>
      <c r="BZ34" s="8"/>
      <c r="CA34" s="83"/>
    </row>
    <row r="35" spans="1:79" ht="15.6" customHeight="1" x14ac:dyDescent="0.25">
      <c r="A35" s="7"/>
      <c r="B35" s="8"/>
      <c r="C35" s="8"/>
      <c r="D35" s="8"/>
      <c r="E35" s="8"/>
      <c r="F35" s="8"/>
      <c r="G35" s="83"/>
      <c r="H35" s="125"/>
      <c r="I35" s="8"/>
      <c r="J35" s="9"/>
      <c r="K35" s="8"/>
      <c r="L35" s="8"/>
      <c r="M35" s="83"/>
      <c r="N35" s="8"/>
      <c r="O35" s="83"/>
      <c r="P35" s="125"/>
      <c r="Q35" s="8"/>
      <c r="R35" s="8"/>
      <c r="S35" s="8"/>
      <c r="T35" s="83"/>
      <c r="U35" s="8"/>
      <c r="V35" s="8"/>
      <c r="W35" s="8"/>
      <c r="X35" s="8"/>
      <c r="Y35" s="8"/>
      <c r="Z35" s="8"/>
      <c r="AA35" s="8"/>
      <c r="AB35" s="125"/>
      <c r="AC35" s="8"/>
      <c r="AD35" s="8"/>
      <c r="AE35" s="8"/>
      <c r="AF35" s="83"/>
      <c r="AG35" s="125"/>
      <c r="AH35" s="8"/>
      <c r="AI35" s="8"/>
      <c r="AJ35" s="8"/>
      <c r="AK35" s="83"/>
      <c r="AL35" s="125"/>
      <c r="AM35" s="8"/>
      <c r="AN35" s="8"/>
      <c r="AO35" s="8"/>
      <c r="AP35" s="83"/>
      <c r="AQ35" s="125"/>
      <c r="AR35" s="8"/>
      <c r="AS35" s="8"/>
      <c r="AT35" s="8"/>
      <c r="AU35" s="8"/>
      <c r="AV35" s="8"/>
      <c r="AW35" s="8"/>
      <c r="AX35" s="8"/>
      <c r="AY35" s="8"/>
      <c r="AZ35" s="8"/>
      <c r="BA35" s="8"/>
      <c r="BB35" s="8"/>
      <c r="BC35" s="83"/>
      <c r="BD35" s="125"/>
      <c r="BE35" s="8"/>
      <c r="BF35" s="8"/>
      <c r="BG35" s="8"/>
      <c r="BH35" s="8"/>
      <c r="BI35" s="8"/>
      <c r="BJ35" s="8"/>
      <c r="BK35" s="8"/>
      <c r="BL35" s="8"/>
      <c r="BM35" s="8"/>
      <c r="BN35" s="8"/>
      <c r="BO35" s="8"/>
      <c r="BP35" s="8"/>
      <c r="BQ35" s="8"/>
      <c r="BR35" s="8"/>
      <c r="BS35" s="8"/>
      <c r="BT35" s="8"/>
      <c r="BU35" s="8"/>
      <c r="BV35" s="8"/>
      <c r="BW35" s="8"/>
      <c r="BX35" s="8"/>
      <c r="BY35" s="8"/>
      <c r="BZ35" s="8"/>
      <c r="CA35" s="83"/>
    </row>
    <row r="36" spans="1:79" ht="15.6" customHeight="1" x14ac:dyDescent="0.25">
      <c r="A36" s="7"/>
      <c r="B36" s="8"/>
      <c r="C36" s="8"/>
      <c r="D36" s="8"/>
      <c r="E36" s="8"/>
      <c r="F36" s="8"/>
      <c r="G36" s="83"/>
      <c r="H36" s="125"/>
      <c r="I36" s="8"/>
      <c r="J36" s="9"/>
      <c r="K36" s="8"/>
      <c r="L36" s="8"/>
      <c r="M36" s="83"/>
      <c r="N36" s="8"/>
      <c r="O36" s="83"/>
      <c r="P36" s="125"/>
      <c r="Q36" s="8"/>
      <c r="R36" s="8"/>
      <c r="S36" s="8"/>
      <c r="T36" s="83"/>
      <c r="U36" s="8"/>
      <c r="V36" s="8"/>
      <c r="W36" s="8"/>
      <c r="X36" s="8"/>
      <c r="Y36" s="8"/>
      <c r="Z36" s="8"/>
      <c r="AA36" s="8"/>
      <c r="AB36" s="125"/>
      <c r="AC36" s="8"/>
      <c r="AD36" s="8"/>
      <c r="AE36" s="8"/>
      <c r="AF36" s="83"/>
      <c r="AG36" s="125"/>
      <c r="AH36" s="8"/>
      <c r="AI36" s="8"/>
      <c r="AJ36" s="8"/>
      <c r="AK36" s="83"/>
      <c r="AL36" s="125"/>
      <c r="AM36" s="8"/>
      <c r="AN36" s="8"/>
      <c r="AO36" s="8"/>
      <c r="AP36" s="83"/>
      <c r="AQ36" s="125"/>
      <c r="AR36" s="8"/>
      <c r="AS36" s="8"/>
      <c r="AT36" s="8"/>
      <c r="AU36" s="8"/>
      <c r="AV36" s="8"/>
      <c r="AW36" s="8"/>
      <c r="AX36" s="8"/>
      <c r="AY36" s="8"/>
      <c r="AZ36" s="8"/>
      <c r="BA36" s="8"/>
      <c r="BB36" s="8"/>
      <c r="BC36" s="83"/>
      <c r="BD36" s="125"/>
      <c r="BE36" s="8"/>
      <c r="BF36" s="8"/>
      <c r="BG36" s="8"/>
      <c r="BH36" s="8"/>
      <c r="BI36" s="8"/>
      <c r="BJ36" s="8"/>
      <c r="BK36" s="8"/>
      <c r="BL36" s="8"/>
      <c r="BM36" s="8"/>
      <c r="BN36" s="8"/>
      <c r="BO36" s="8"/>
      <c r="BP36" s="8"/>
      <c r="BQ36" s="8"/>
      <c r="BR36" s="8"/>
      <c r="BS36" s="8"/>
      <c r="BT36" s="8"/>
      <c r="BU36" s="8"/>
      <c r="BV36" s="8"/>
      <c r="BW36" s="8"/>
      <c r="BX36" s="8"/>
      <c r="BY36" s="8"/>
      <c r="BZ36" s="8"/>
      <c r="CA36" s="83"/>
    </row>
    <row r="37" spans="1:79" ht="15.6" customHeight="1" x14ac:dyDescent="0.25">
      <c r="A37" s="7"/>
      <c r="B37" s="8"/>
      <c r="C37" s="8"/>
      <c r="D37" s="8"/>
      <c r="E37" s="8"/>
      <c r="F37" s="8"/>
      <c r="G37" s="83"/>
      <c r="H37" s="125"/>
      <c r="I37" s="8"/>
      <c r="J37" s="9"/>
      <c r="K37" s="8"/>
      <c r="L37" s="8"/>
      <c r="M37" s="83"/>
      <c r="N37" s="8"/>
      <c r="O37" s="83"/>
      <c r="P37" s="125"/>
      <c r="Q37" s="8"/>
      <c r="R37" s="8"/>
      <c r="S37" s="8"/>
      <c r="T37" s="83"/>
      <c r="U37" s="8"/>
      <c r="V37" s="8"/>
      <c r="W37" s="8"/>
      <c r="X37" s="8"/>
      <c r="Y37" s="8"/>
      <c r="Z37" s="8"/>
      <c r="AA37" s="8"/>
      <c r="AB37" s="125"/>
      <c r="AC37" s="8"/>
      <c r="AD37" s="8"/>
      <c r="AE37" s="8"/>
      <c r="AF37" s="83"/>
      <c r="AG37" s="125"/>
      <c r="AH37" s="8"/>
      <c r="AI37" s="8"/>
      <c r="AJ37" s="8"/>
      <c r="AK37" s="83"/>
      <c r="AL37" s="125"/>
      <c r="AM37" s="8"/>
      <c r="AN37" s="8"/>
      <c r="AO37" s="8"/>
      <c r="AP37" s="83"/>
      <c r="AQ37" s="125"/>
      <c r="AR37" s="8"/>
      <c r="AS37" s="8"/>
      <c r="AT37" s="8"/>
      <c r="AU37" s="8"/>
      <c r="AV37" s="8"/>
      <c r="AW37" s="8"/>
      <c r="AX37" s="8"/>
      <c r="AY37" s="8"/>
      <c r="AZ37" s="8"/>
      <c r="BA37" s="8"/>
      <c r="BB37" s="8"/>
      <c r="BC37" s="83"/>
      <c r="BD37" s="125"/>
      <c r="BE37" s="8"/>
      <c r="BF37" s="8"/>
      <c r="BG37" s="8"/>
      <c r="BH37" s="8"/>
      <c r="BI37" s="8"/>
      <c r="BJ37" s="8"/>
      <c r="BK37" s="8"/>
      <c r="BL37" s="8"/>
      <c r="BM37" s="8"/>
      <c r="BN37" s="8"/>
      <c r="BO37" s="8"/>
      <c r="BP37" s="8"/>
      <c r="BQ37" s="8"/>
      <c r="BR37" s="8"/>
      <c r="BS37" s="8"/>
      <c r="BT37" s="8"/>
      <c r="BU37" s="8"/>
      <c r="BV37" s="8"/>
      <c r="BW37" s="8"/>
      <c r="BX37" s="8"/>
      <c r="BY37" s="8"/>
      <c r="BZ37" s="8"/>
      <c r="CA37" s="83"/>
    </row>
    <row r="38" spans="1:79" ht="15.6" customHeight="1" x14ac:dyDescent="0.25">
      <c r="A38" s="7"/>
      <c r="B38" s="8"/>
      <c r="C38" s="8"/>
      <c r="D38" s="8"/>
      <c r="E38" s="8"/>
      <c r="F38" s="8"/>
      <c r="G38" s="83"/>
      <c r="H38" s="125"/>
      <c r="I38" s="8"/>
      <c r="J38" s="9"/>
      <c r="K38" s="8"/>
      <c r="L38" s="8"/>
      <c r="M38" s="83"/>
      <c r="N38" s="8"/>
      <c r="O38" s="83"/>
      <c r="P38" s="125"/>
      <c r="Q38" s="8"/>
      <c r="R38" s="8"/>
      <c r="S38" s="8"/>
      <c r="T38" s="83"/>
      <c r="U38" s="8"/>
      <c r="V38" s="8"/>
      <c r="W38" s="8"/>
      <c r="X38" s="8"/>
      <c r="Y38" s="8"/>
      <c r="Z38" s="8"/>
      <c r="AA38" s="8"/>
      <c r="AB38" s="125"/>
      <c r="AC38" s="8"/>
      <c r="AD38" s="8"/>
      <c r="AE38" s="8"/>
      <c r="AF38" s="83"/>
      <c r="AG38" s="125"/>
      <c r="AH38" s="8"/>
      <c r="AI38" s="8"/>
      <c r="AJ38" s="8"/>
      <c r="AK38" s="83"/>
      <c r="AL38" s="125"/>
      <c r="AM38" s="8"/>
      <c r="AN38" s="8"/>
      <c r="AO38" s="8"/>
      <c r="AP38" s="83"/>
      <c r="AQ38" s="125"/>
      <c r="AR38" s="8"/>
      <c r="AS38" s="8"/>
      <c r="AT38" s="8"/>
      <c r="AU38" s="8"/>
      <c r="AV38" s="8"/>
      <c r="AW38" s="8"/>
      <c r="AX38" s="8"/>
      <c r="AY38" s="8"/>
      <c r="AZ38" s="8"/>
      <c r="BA38" s="8"/>
      <c r="BB38" s="8"/>
      <c r="BC38" s="83"/>
      <c r="BD38" s="125"/>
      <c r="BE38" s="8"/>
      <c r="BF38" s="8"/>
      <c r="BG38" s="8"/>
      <c r="BH38" s="8"/>
      <c r="BI38" s="8"/>
      <c r="BJ38" s="8"/>
      <c r="BK38" s="8"/>
      <c r="BL38" s="8"/>
      <c r="BM38" s="8"/>
      <c r="BN38" s="8"/>
      <c r="BO38" s="8"/>
      <c r="BP38" s="8"/>
      <c r="BQ38" s="8"/>
      <c r="BR38" s="8"/>
      <c r="BS38" s="8"/>
      <c r="BT38" s="8"/>
      <c r="BU38" s="8"/>
      <c r="BV38" s="8"/>
      <c r="BW38" s="8"/>
      <c r="BX38" s="8"/>
      <c r="BY38" s="8"/>
      <c r="BZ38" s="8"/>
      <c r="CA38" s="83"/>
    </row>
    <row r="39" spans="1:79" ht="15.6" customHeight="1" x14ac:dyDescent="0.25">
      <c r="A39" s="7"/>
      <c r="B39" s="8"/>
      <c r="C39" s="8"/>
      <c r="D39" s="8"/>
      <c r="E39" s="8"/>
      <c r="F39" s="8"/>
      <c r="G39" s="83"/>
      <c r="H39" s="125"/>
      <c r="I39" s="8"/>
      <c r="J39" s="9"/>
      <c r="K39" s="8"/>
      <c r="L39" s="8"/>
      <c r="M39" s="83"/>
      <c r="N39" s="8"/>
      <c r="O39" s="83"/>
      <c r="P39" s="125"/>
      <c r="Q39" s="8"/>
      <c r="R39" s="8"/>
      <c r="S39" s="8"/>
      <c r="T39" s="83"/>
      <c r="U39" s="8"/>
      <c r="V39" s="8"/>
      <c r="W39" s="8"/>
      <c r="X39" s="8"/>
      <c r="Y39" s="8"/>
      <c r="Z39" s="8"/>
      <c r="AA39" s="8"/>
      <c r="AB39" s="125"/>
      <c r="AC39" s="8"/>
      <c r="AD39" s="8"/>
      <c r="AE39" s="8"/>
      <c r="AF39" s="83"/>
      <c r="AG39" s="125"/>
      <c r="AH39" s="8"/>
      <c r="AI39" s="8"/>
      <c r="AJ39" s="8"/>
      <c r="AK39" s="83"/>
      <c r="AL39" s="125"/>
      <c r="AM39" s="8"/>
      <c r="AN39" s="8"/>
      <c r="AO39" s="8"/>
      <c r="AP39" s="83"/>
      <c r="AQ39" s="125"/>
      <c r="AR39" s="8"/>
      <c r="AS39" s="8"/>
      <c r="AT39" s="8"/>
      <c r="AU39" s="8"/>
      <c r="AV39" s="8"/>
      <c r="AW39" s="8"/>
      <c r="AX39" s="8"/>
      <c r="AY39" s="8"/>
      <c r="AZ39" s="8"/>
      <c r="BA39" s="8"/>
      <c r="BB39" s="8"/>
      <c r="BC39" s="83"/>
      <c r="BD39" s="125"/>
      <c r="BE39" s="8"/>
      <c r="BF39" s="8"/>
      <c r="BG39" s="8"/>
      <c r="BH39" s="8"/>
      <c r="BI39" s="8"/>
      <c r="BJ39" s="8"/>
      <c r="BK39" s="8"/>
      <c r="BL39" s="8"/>
      <c r="BM39" s="8"/>
      <c r="BN39" s="8"/>
      <c r="BO39" s="8"/>
      <c r="BP39" s="8"/>
      <c r="BQ39" s="8"/>
      <c r="BR39" s="8"/>
      <c r="BS39" s="8"/>
      <c r="BT39" s="8"/>
      <c r="BU39" s="8"/>
      <c r="BV39" s="8"/>
      <c r="BW39" s="8"/>
      <c r="BX39" s="8"/>
      <c r="BY39" s="8"/>
      <c r="BZ39" s="8"/>
      <c r="CA39" s="83"/>
    </row>
    <row r="40" spans="1:79" ht="15" x14ac:dyDescent="0.25">
      <c r="A40" s="7"/>
      <c r="B40" s="8"/>
      <c r="C40" s="8"/>
      <c r="D40" s="8"/>
      <c r="E40" s="8"/>
      <c r="F40" s="8"/>
      <c r="G40" s="83"/>
      <c r="H40" s="125"/>
      <c r="I40" s="8"/>
      <c r="J40" s="9"/>
      <c r="K40" s="8"/>
      <c r="L40" s="8"/>
      <c r="M40" s="83"/>
      <c r="N40" s="8"/>
      <c r="O40" s="83"/>
      <c r="P40" s="125"/>
      <c r="Q40" s="8"/>
      <c r="R40" s="8"/>
      <c r="S40" s="8"/>
      <c r="T40" s="83"/>
      <c r="U40" s="8"/>
      <c r="V40" s="8"/>
      <c r="W40" s="8"/>
      <c r="X40" s="8"/>
      <c r="Y40" s="8"/>
      <c r="Z40" s="8"/>
      <c r="AA40" s="8"/>
      <c r="AB40" s="125"/>
      <c r="AC40" s="8"/>
      <c r="AD40" s="8"/>
      <c r="AE40" s="8"/>
      <c r="AF40" s="83"/>
      <c r="AG40" s="125"/>
      <c r="AH40" s="8"/>
      <c r="AI40" s="8"/>
      <c r="AJ40" s="8"/>
      <c r="AK40" s="83"/>
      <c r="AL40" s="125"/>
      <c r="AM40" s="8"/>
      <c r="AN40" s="8"/>
      <c r="AO40" s="8"/>
      <c r="AP40" s="83"/>
      <c r="AQ40" s="125"/>
      <c r="AR40" s="8"/>
      <c r="AS40" s="8"/>
      <c r="AT40" s="8"/>
      <c r="AU40" s="8"/>
      <c r="AV40" s="8"/>
      <c r="AW40" s="8"/>
      <c r="AX40" s="8"/>
      <c r="AY40" s="8"/>
      <c r="AZ40" s="8"/>
      <c r="BA40" s="8"/>
      <c r="BB40" s="8"/>
      <c r="BC40" s="83"/>
      <c r="BD40" s="125"/>
      <c r="BE40" s="8"/>
      <c r="BF40" s="8"/>
      <c r="BG40" s="8"/>
      <c r="BH40" s="8"/>
      <c r="BI40" s="8"/>
      <c r="BJ40" s="8"/>
      <c r="BK40" s="8"/>
      <c r="BL40" s="8"/>
      <c r="BM40" s="8"/>
      <c r="BN40" s="8"/>
      <c r="BO40" s="8"/>
      <c r="BP40" s="8"/>
      <c r="BQ40" s="8"/>
      <c r="BR40" s="8"/>
      <c r="BS40" s="8"/>
      <c r="BT40" s="8"/>
      <c r="BU40" s="8"/>
      <c r="BV40" s="8"/>
      <c r="BW40" s="8"/>
      <c r="BX40" s="8"/>
      <c r="BY40" s="8"/>
      <c r="BZ40" s="8"/>
      <c r="CA40" s="83"/>
    </row>
    <row r="41" spans="1:79" ht="15.6" customHeight="1" x14ac:dyDescent="0.25">
      <c r="A41" s="7"/>
      <c r="B41" s="8"/>
      <c r="C41" s="8"/>
      <c r="D41" s="8"/>
      <c r="E41" s="8"/>
      <c r="F41" s="8"/>
      <c r="G41" s="83"/>
      <c r="H41" s="125"/>
      <c r="I41" s="8"/>
      <c r="J41" s="9"/>
      <c r="K41" s="8"/>
      <c r="L41" s="8"/>
      <c r="M41" s="83"/>
      <c r="N41" s="8"/>
      <c r="O41" s="83"/>
      <c r="P41" s="125"/>
      <c r="Q41" s="8"/>
      <c r="R41" s="8"/>
      <c r="S41" s="8"/>
      <c r="T41" s="83"/>
      <c r="U41" s="8"/>
      <c r="V41" s="8"/>
      <c r="W41" s="8"/>
      <c r="X41" s="8"/>
      <c r="Y41" s="8"/>
      <c r="Z41" s="8"/>
      <c r="AA41" s="8"/>
      <c r="AB41" s="125"/>
      <c r="AC41" s="8"/>
      <c r="AD41" s="8"/>
      <c r="AE41" s="8"/>
      <c r="AF41" s="83"/>
      <c r="AG41" s="125"/>
      <c r="AH41" s="8"/>
      <c r="AI41" s="8"/>
      <c r="AJ41" s="8"/>
      <c r="AK41" s="83"/>
      <c r="AL41" s="125"/>
      <c r="AM41" s="8"/>
      <c r="AN41" s="8"/>
      <c r="AO41" s="8"/>
      <c r="AP41" s="83"/>
      <c r="AQ41" s="125"/>
      <c r="AR41" s="8"/>
      <c r="AS41" s="8"/>
      <c r="AT41" s="8"/>
      <c r="AU41" s="8"/>
      <c r="AV41" s="8"/>
      <c r="AW41" s="8"/>
      <c r="AX41" s="8"/>
      <c r="AY41" s="8"/>
      <c r="AZ41" s="8"/>
      <c r="BA41" s="8"/>
      <c r="BB41" s="8"/>
      <c r="BC41" s="83"/>
      <c r="BD41" s="125"/>
      <c r="BE41" s="8"/>
      <c r="BF41" s="8"/>
      <c r="BG41" s="8"/>
      <c r="BH41" s="8"/>
      <c r="BI41" s="8"/>
      <c r="BJ41" s="8"/>
      <c r="BK41" s="8"/>
      <c r="BL41" s="8"/>
      <c r="BM41" s="8"/>
      <c r="BN41" s="8"/>
      <c r="BO41" s="8"/>
      <c r="BP41" s="8"/>
      <c r="BQ41" s="8"/>
      <c r="BR41" s="8"/>
      <c r="BS41" s="8"/>
      <c r="BT41" s="8"/>
      <c r="BU41" s="8"/>
      <c r="BV41" s="8"/>
      <c r="BW41" s="8"/>
      <c r="BX41" s="8"/>
      <c r="BY41" s="8"/>
      <c r="BZ41" s="8"/>
      <c r="CA41" s="83"/>
    </row>
    <row r="42" spans="1:79" ht="15.6" customHeight="1" x14ac:dyDescent="0.25">
      <c r="A42" s="7"/>
      <c r="B42" s="8"/>
      <c r="C42" s="8"/>
      <c r="D42" s="8"/>
      <c r="E42" s="8"/>
      <c r="F42" s="8"/>
      <c r="G42" s="83"/>
      <c r="H42" s="125"/>
      <c r="I42" s="8"/>
      <c r="J42" s="9"/>
      <c r="K42" s="8"/>
      <c r="L42" s="8"/>
      <c r="M42" s="83"/>
      <c r="N42" s="8"/>
      <c r="O42" s="83"/>
      <c r="P42" s="125"/>
      <c r="Q42" s="8"/>
      <c r="R42" s="8"/>
      <c r="S42" s="8"/>
      <c r="T42" s="83"/>
      <c r="U42" s="8"/>
      <c r="V42" s="8"/>
      <c r="W42" s="8"/>
      <c r="X42" s="8"/>
      <c r="Y42" s="8"/>
      <c r="Z42" s="8"/>
      <c r="AA42" s="8"/>
      <c r="AB42" s="125"/>
      <c r="AC42" s="8"/>
      <c r="AD42" s="8"/>
      <c r="AE42" s="8"/>
      <c r="AF42" s="83"/>
      <c r="AG42" s="125"/>
      <c r="AH42" s="8"/>
      <c r="AI42" s="8"/>
      <c r="AJ42" s="8"/>
      <c r="AK42" s="83"/>
      <c r="AL42" s="125"/>
      <c r="AM42" s="8"/>
      <c r="AN42" s="8"/>
      <c r="AO42" s="8"/>
      <c r="AP42" s="83"/>
      <c r="AQ42" s="125"/>
      <c r="AR42" s="8"/>
      <c r="AS42" s="8"/>
      <c r="AT42" s="8"/>
      <c r="AU42" s="8"/>
      <c r="AV42" s="8"/>
      <c r="AW42" s="8"/>
      <c r="AX42" s="8"/>
      <c r="AY42" s="8"/>
      <c r="AZ42" s="8"/>
      <c r="BA42" s="8"/>
      <c r="BB42" s="8"/>
      <c r="BC42" s="83"/>
      <c r="BD42" s="125"/>
      <c r="BE42" s="8"/>
      <c r="BF42" s="8"/>
      <c r="BG42" s="8"/>
      <c r="BH42" s="8"/>
      <c r="BI42" s="8"/>
      <c r="BJ42" s="8"/>
      <c r="BK42" s="8"/>
      <c r="BL42" s="8"/>
      <c r="BM42" s="8"/>
      <c r="BN42" s="8"/>
      <c r="BO42" s="8"/>
      <c r="BP42" s="8"/>
      <c r="BQ42" s="8"/>
      <c r="BR42" s="8"/>
      <c r="BS42" s="8"/>
      <c r="BT42" s="8"/>
      <c r="BU42" s="8"/>
      <c r="BV42" s="8"/>
      <c r="BW42" s="8"/>
      <c r="BX42" s="8"/>
      <c r="BY42" s="8"/>
      <c r="BZ42" s="8"/>
      <c r="CA42" s="83"/>
    </row>
    <row r="43" spans="1:79" ht="15.6" customHeight="1" x14ac:dyDescent="0.25">
      <c r="A43" s="7"/>
      <c r="B43" s="8"/>
      <c r="C43" s="8"/>
      <c r="D43" s="8"/>
      <c r="E43" s="8"/>
      <c r="F43" s="8"/>
      <c r="G43" s="83"/>
      <c r="H43" s="125"/>
      <c r="I43" s="8"/>
      <c r="J43" s="9"/>
      <c r="K43" s="8"/>
      <c r="L43" s="8"/>
      <c r="M43" s="83"/>
      <c r="N43" s="8"/>
      <c r="O43" s="83"/>
      <c r="P43" s="125"/>
      <c r="Q43" s="8"/>
      <c r="R43" s="8"/>
      <c r="S43" s="8"/>
      <c r="T43" s="83"/>
      <c r="U43" s="8"/>
      <c r="V43" s="8"/>
      <c r="W43" s="8"/>
      <c r="X43" s="8"/>
      <c r="Y43" s="8"/>
      <c r="Z43" s="8"/>
      <c r="AA43" s="8"/>
      <c r="AB43" s="125"/>
      <c r="AC43" s="8"/>
      <c r="AD43" s="8"/>
      <c r="AE43" s="8"/>
      <c r="AF43" s="83"/>
      <c r="AG43" s="125"/>
      <c r="AH43" s="8"/>
      <c r="AI43" s="8"/>
      <c r="AJ43" s="8"/>
      <c r="AK43" s="83"/>
      <c r="AL43" s="125"/>
      <c r="AM43" s="8"/>
      <c r="AN43" s="8"/>
      <c r="AO43" s="8"/>
      <c r="AP43" s="83"/>
      <c r="AQ43" s="125"/>
      <c r="AR43" s="8"/>
      <c r="AS43" s="8"/>
      <c r="AT43" s="8"/>
      <c r="AU43" s="8"/>
      <c r="AV43" s="8"/>
      <c r="AW43" s="8"/>
      <c r="AX43" s="8"/>
      <c r="AY43" s="8"/>
      <c r="AZ43" s="8"/>
      <c r="BA43" s="8"/>
      <c r="BB43" s="8"/>
      <c r="BC43" s="83"/>
      <c r="BD43" s="125"/>
      <c r="BE43" s="8"/>
      <c r="BF43" s="8"/>
      <c r="BG43" s="8"/>
      <c r="BH43" s="8"/>
      <c r="BI43" s="8"/>
      <c r="BJ43" s="8"/>
      <c r="BK43" s="8"/>
      <c r="BL43" s="8"/>
      <c r="BM43" s="8"/>
      <c r="BN43" s="8"/>
      <c r="BO43" s="8"/>
      <c r="BP43" s="8"/>
      <c r="BQ43" s="8"/>
      <c r="BR43" s="8"/>
      <c r="BS43" s="8"/>
      <c r="BT43" s="8"/>
      <c r="BU43" s="8"/>
      <c r="BV43" s="8"/>
      <c r="BW43" s="8"/>
      <c r="BX43" s="8"/>
      <c r="BY43" s="8"/>
      <c r="BZ43" s="8"/>
      <c r="CA43" s="83"/>
    </row>
    <row r="44" spans="1:79" ht="15.6" customHeight="1" x14ac:dyDescent="0.25">
      <c r="A44" s="7"/>
      <c r="B44" s="8"/>
      <c r="C44" s="8"/>
      <c r="D44" s="8"/>
      <c r="E44" s="8"/>
      <c r="F44" s="8"/>
      <c r="G44" s="83"/>
      <c r="H44" s="125"/>
      <c r="I44" s="8"/>
      <c r="J44" s="9"/>
      <c r="K44" s="8"/>
      <c r="L44" s="8"/>
      <c r="M44" s="83"/>
      <c r="N44" s="8"/>
      <c r="O44" s="83"/>
      <c r="P44" s="125"/>
      <c r="Q44" s="8"/>
      <c r="R44" s="8"/>
      <c r="S44" s="8"/>
      <c r="T44" s="83"/>
      <c r="U44" s="8"/>
      <c r="V44" s="8"/>
      <c r="W44" s="8"/>
      <c r="X44" s="8"/>
      <c r="Y44" s="8"/>
      <c r="Z44" s="8"/>
      <c r="AA44" s="8"/>
      <c r="AB44" s="125"/>
      <c r="AC44" s="8"/>
      <c r="AD44" s="8"/>
      <c r="AE44" s="8"/>
      <c r="AF44" s="83"/>
      <c r="AG44" s="125"/>
      <c r="AH44" s="8"/>
      <c r="AI44" s="8"/>
      <c r="AJ44" s="8"/>
      <c r="AK44" s="83"/>
      <c r="AL44" s="125"/>
      <c r="AM44" s="8"/>
      <c r="AN44" s="8"/>
      <c r="AO44" s="8"/>
      <c r="AP44" s="83"/>
      <c r="AQ44" s="125"/>
      <c r="AR44" s="8"/>
      <c r="AS44" s="8"/>
      <c r="AT44" s="8"/>
      <c r="AU44" s="8"/>
      <c r="AV44" s="8"/>
      <c r="AW44" s="8"/>
      <c r="AX44" s="8"/>
      <c r="AY44" s="8"/>
      <c r="AZ44" s="8"/>
      <c r="BA44" s="8"/>
      <c r="BB44" s="8"/>
      <c r="BC44" s="83"/>
      <c r="BD44" s="125"/>
      <c r="BE44" s="8"/>
      <c r="BF44" s="8"/>
      <c r="BG44" s="8"/>
      <c r="BH44" s="8"/>
      <c r="BI44" s="8"/>
      <c r="BJ44" s="8"/>
      <c r="BK44" s="8"/>
      <c r="BL44" s="8"/>
      <c r="BM44" s="8"/>
      <c r="BN44" s="8"/>
      <c r="BO44" s="8"/>
      <c r="BP44" s="8"/>
      <c r="BQ44" s="8"/>
      <c r="BR44" s="8"/>
      <c r="BS44" s="8"/>
      <c r="BT44" s="8"/>
      <c r="BU44" s="8"/>
      <c r="BV44" s="8"/>
      <c r="BW44" s="8"/>
      <c r="BX44" s="8"/>
      <c r="BY44" s="8"/>
      <c r="BZ44" s="8"/>
      <c r="CA44" s="83"/>
    </row>
    <row r="45" spans="1:79" ht="15.6" customHeight="1" x14ac:dyDescent="0.25">
      <c r="A45" s="7"/>
      <c r="B45" s="8"/>
      <c r="C45" s="8"/>
      <c r="D45" s="8"/>
      <c r="E45" s="8"/>
      <c r="F45" s="8"/>
      <c r="G45" s="83"/>
      <c r="H45" s="125"/>
      <c r="I45" s="8"/>
      <c r="J45" s="9"/>
      <c r="K45" s="8"/>
      <c r="L45" s="8"/>
      <c r="M45" s="83"/>
      <c r="N45" s="8"/>
      <c r="O45" s="83"/>
      <c r="P45" s="125"/>
      <c r="Q45" s="8"/>
      <c r="R45" s="8"/>
      <c r="S45" s="8"/>
      <c r="T45" s="83"/>
      <c r="U45" s="8"/>
      <c r="V45" s="8"/>
      <c r="W45" s="8"/>
      <c r="X45" s="8"/>
      <c r="Y45" s="8"/>
      <c r="Z45" s="8"/>
      <c r="AA45" s="8"/>
      <c r="AB45" s="125"/>
      <c r="AC45" s="8"/>
      <c r="AD45" s="8"/>
      <c r="AE45" s="8"/>
      <c r="AF45" s="83"/>
      <c r="AG45" s="125"/>
      <c r="AH45" s="8"/>
      <c r="AI45" s="8"/>
      <c r="AJ45" s="8"/>
      <c r="AK45" s="83"/>
      <c r="AL45" s="125"/>
      <c r="AM45" s="8"/>
      <c r="AN45" s="8"/>
      <c r="AO45" s="8"/>
      <c r="AP45" s="83"/>
      <c r="AQ45" s="125"/>
      <c r="AR45" s="8"/>
      <c r="AS45" s="8"/>
      <c r="AT45" s="8"/>
      <c r="AU45" s="8"/>
      <c r="AV45" s="8"/>
      <c r="AW45" s="8"/>
      <c r="AX45" s="8"/>
      <c r="AY45" s="8"/>
      <c r="AZ45" s="8"/>
      <c r="BA45" s="8"/>
      <c r="BB45" s="8"/>
      <c r="BC45" s="83"/>
      <c r="BD45" s="125"/>
      <c r="BE45" s="8"/>
      <c r="BF45" s="8"/>
      <c r="BG45" s="8"/>
      <c r="BH45" s="8"/>
      <c r="BI45" s="8"/>
      <c r="BJ45" s="8"/>
      <c r="BK45" s="8"/>
      <c r="BL45" s="8"/>
      <c r="BM45" s="8"/>
      <c r="BN45" s="8"/>
      <c r="BO45" s="8"/>
      <c r="BP45" s="8"/>
      <c r="BQ45" s="8"/>
      <c r="BR45" s="8"/>
      <c r="BS45" s="8"/>
      <c r="BT45" s="8"/>
      <c r="BU45" s="8"/>
      <c r="BV45" s="8"/>
      <c r="BW45" s="8"/>
      <c r="BX45" s="8"/>
      <c r="BY45" s="8"/>
      <c r="BZ45" s="8"/>
      <c r="CA45" s="83"/>
    </row>
    <row r="46" spans="1:79" ht="15.6" customHeight="1" x14ac:dyDescent="0.25">
      <c r="A46" s="7"/>
      <c r="B46" s="8"/>
      <c r="C46" s="8"/>
      <c r="D46" s="8"/>
      <c r="E46" s="8"/>
      <c r="F46" s="8"/>
      <c r="G46" s="83"/>
      <c r="H46" s="125"/>
      <c r="I46" s="8"/>
      <c r="J46" s="9"/>
      <c r="K46" s="8"/>
      <c r="L46" s="8"/>
      <c r="M46" s="83"/>
      <c r="N46" s="8"/>
      <c r="O46" s="83"/>
      <c r="P46" s="125"/>
      <c r="Q46" s="8"/>
      <c r="R46" s="8"/>
      <c r="S46" s="8"/>
      <c r="T46" s="83"/>
      <c r="U46" s="8"/>
      <c r="V46" s="8"/>
      <c r="W46" s="8"/>
      <c r="X46" s="8"/>
      <c r="Y46" s="8"/>
      <c r="Z46" s="8"/>
      <c r="AA46" s="8"/>
      <c r="AB46" s="125"/>
      <c r="AC46" s="8"/>
      <c r="AD46" s="8"/>
      <c r="AE46" s="8"/>
      <c r="AF46" s="83"/>
      <c r="AG46" s="125"/>
      <c r="AH46" s="8"/>
      <c r="AI46" s="8"/>
      <c r="AJ46" s="8"/>
      <c r="AK46" s="83"/>
      <c r="AL46" s="125"/>
      <c r="AM46" s="8"/>
      <c r="AN46" s="8"/>
      <c r="AO46" s="8"/>
      <c r="AP46" s="83"/>
      <c r="AQ46" s="125"/>
      <c r="AR46" s="8"/>
      <c r="AS46" s="8"/>
      <c r="AT46" s="8"/>
      <c r="AU46" s="8"/>
      <c r="AV46" s="8"/>
      <c r="AW46" s="8"/>
      <c r="AX46" s="8"/>
      <c r="AY46" s="8"/>
      <c r="AZ46" s="8"/>
      <c r="BA46" s="8"/>
      <c r="BB46" s="8"/>
      <c r="BC46" s="83"/>
      <c r="BD46" s="125"/>
      <c r="BE46" s="8"/>
      <c r="BF46" s="8"/>
      <c r="BG46" s="8"/>
      <c r="BH46" s="8"/>
      <c r="BI46" s="8"/>
      <c r="BJ46" s="8"/>
      <c r="BK46" s="8"/>
      <c r="BL46" s="8"/>
      <c r="BM46" s="8"/>
      <c r="BN46" s="8"/>
      <c r="BO46" s="8"/>
      <c r="BP46" s="8"/>
      <c r="BQ46" s="8"/>
      <c r="BR46" s="8"/>
      <c r="BS46" s="8"/>
      <c r="BT46" s="8"/>
      <c r="BU46" s="8"/>
      <c r="BV46" s="8"/>
      <c r="BW46" s="8"/>
      <c r="BX46" s="8"/>
      <c r="BY46" s="8"/>
      <c r="BZ46" s="8"/>
      <c r="CA46" s="83"/>
    </row>
    <row r="47" spans="1:79" ht="15.6" customHeight="1" x14ac:dyDescent="0.25">
      <c r="A47" s="7"/>
      <c r="B47" s="8"/>
      <c r="C47" s="8"/>
      <c r="D47" s="8"/>
      <c r="E47" s="8"/>
      <c r="F47" s="8"/>
      <c r="G47" s="83"/>
      <c r="H47" s="125"/>
      <c r="I47" s="8"/>
      <c r="J47" s="9"/>
      <c r="K47" s="8"/>
      <c r="L47" s="8"/>
      <c r="M47" s="83"/>
      <c r="N47" s="8"/>
      <c r="O47" s="83"/>
      <c r="P47" s="125"/>
      <c r="Q47" s="8"/>
      <c r="R47" s="8"/>
      <c r="S47" s="8"/>
      <c r="T47" s="83"/>
      <c r="U47" s="8"/>
      <c r="V47" s="8"/>
      <c r="W47" s="8"/>
      <c r="X47" s="8"/>
      <c r="Y47" s="8"/>
      <c r="Z47" s="8"/>
      <c r="AA47" s="8"/>
      <c r="AB47" s="125"/>
      <c r="AC47" s="8"/>
      <c r="AD47" s="8"/>
      <c r="AE47" s="8"/>
      <c r="AF47" s="83"/>
      <c r="AG47" s="125"/>
      <c r="AH47" s="8"/>
      <c r="AI47" s="8"/>
      <c r="AJ47" s="8"/>
      <c r="AK47" s="83"/>
      <c r="AL47" s="125"/>
      <c r="AM47" s="8"/>
      <c r="AN47" s="8"/>
      <c r="AO47" s="8"/>
      <c r="AP47" s="83"/>
      <c r="AQ47" s="125"/>
      <c r="AR47" s="8"/>
      <c r="AS47" s="8"/>
      <c r="AT47" s="8"/>
      <c r="AU47" s="8"/>
      <c r="AV47" s="8"/>
      <c r="AW47" s="8"/>
      <c r="AX47" s="8"/>
      <c r="AY47" s="8"/>
      <c r="AZ47" s="8"/>
      <c r="BA47" s="8"/>
      <c r="BB47" s="8"/>
      <c r="BC47" s="83"/>
      <c r="BD47" s="125"/>
      <c r="BE47" s="8"/>
      <c r="BF47" s="8"/>
      <c r="BG47" s="8"/>
      <c r="BH47" s="8"/>
      <c r="BI47" s="8"/>
      <c r="BJ47" s="8"/>
      <c r="BK47" s="8"/>
      <c r="BL47" s="8"/>
      <c r="BM47" s="8"/>
      <c r="BN47" s="8"/>
      <c r="BO47" s="8"/>
      <c r="BP47" s="8"/>
      <c r="BQ47" s="8"/>
      <c r="BR47" s="8"/>
      <c r="BS47" s="8"/>
      <c r="BT47" s="8"/>
      <c r="BU47" s="8"/>
      <c r="BV47" s="8"/>
      <c r="BW47" s="8"/>
      <c r="BX47" s="8"/>
      <c r="BY47" s="8"/>
      <c r="BZ47" s="8"/>
      <c r="CA47" s="83"/>
    </row>
    <row r="48" spans="1:79" ht="15.6" customHeight="1" x14ac:dyDescent="0.25">
      <c r="A48" s="7"/>
      <c r="B48" s="8"/>
      <c r="C48" s="8"/>
      <c r="D48" s="8"/>
      <c r="E48" s="8"/>
      <c r="F48" s="8"/>
      <c r="G48" s="83"/>
      <c r="H48" s="125"/>
      <c r="I48" s="8"/>
      <c r="J48" s="9"/>
      <c r="K48" s="8"/>
      <c r="L48" s="8"/>
      <c r="M48" s="83"/>
      <c r="N48" s="8"/>
      <c r="O48" s="83"/>
      <c r="P48" s="125"/>
      <c r="Q48" s="8"/>
      <c r="R48" s="8"/>
      <c r="S48" s="8"/>
      <c r="T48" s="83"/>
      <c r="U48" s="8"/>
      <c r="V48" s="8"/>
      <c r="W48" s="8"/>
      <c r="X48" s="8"/>
      <c r="Y48" s="8"/>
      <c r="Z48" s="8"/>
      <c r="AA48" s="8"/>
      <c r="AB48" s="125"/>
      <c r="AC48" s="8"/>
      <c r="AD48" s="8"/>
      <c r="AE48" s="8"/>
      <c r="AF48" s="83"/>
      <c r="AG48" s="125"/>
      <c r="AH48" s="8"/>
      <c r="AI48" s="8"/>
      <c r="AJ48" s="8"/>
      <c r="AK48" s="83"/>
      <c r="AL48" s="125"/>
      <c r="AM48" s="8"/>
      <c r="AN48" s="8"/>
      <c r="AO48" s="8"/>
      <c r="AP48" s="83"/>
      <c r="AQ48" s="125"/>
      <c r="AR48" s="8"/>
      <c r="AS48" s="8"/>
      <c r="AT48" s="8"/>
      <c r="AU48" s="8"/>
      <c r="AV48" s="8"/>
      <c r="AW48" s="8"/>
      <c r="AX48" s="8"/>
      <c r="AY48" s="8"/>
      <c r="AZ48" s="8"/>
      <c r="BA48" s="8"/>
      <c r="BB48" s="8"/>
      <c r="BC48" s="83"/>
      <c r="BD48" s="125"/>
      <c r="BE48" s="8"/>
      <c r="BF48" s="8"/>
      <c r="BG48" s="8"/>
      <c r="BH48" s="8"/>
      <c r="BI48" s="8"/>
      <c r="BJ48" s="8"/>
      <c r="BK48" s="8"/>
      <c r="BL48" s="8"/>
      <c r="BM48" s="8"/>
      <c r="BN48" s="8"/>
      <c r="BO48" s="8"/>
      <c r="BP48" s="8"/>
      <c r="BQ48" s="8"/>
      <c r="BR48" s="8"/>
      <c r="BS48" s="8"/>
      <c r="BT48" s="8"/>
      <c r="BU48" s="8"/>
      <c r="BV48" s="8"/>
      <c r="BW48" s="8"/>
      <c r="BX48" s="8"/>
      <c r="BY48" s="8"/>
      <c r="BZ48" s="8"/>
      <c r="CA48" s="83"/>
    </row>
    <row r="49" spans="1:79" ht="15.6" customHeight="1" x14ac:dyDescent="0.25">
      <c r="A49" s="7"/>
      <c r="B49" s="8"/>
      <c r="C49" s="8"/>
      <c r="D49" s="8"/>
      <c r="E49" s="8"/>
      <c r="F49" s="8"/>
      <c r="G49" s="83"/>
      <c r="H49" s="125"/>
      <c r="I49" s="8"/>
      <c r="J49" s="9"/>
      <c r="K49" s="8"/>
      <c r="L49" s="8"/>
      <c r="M49" s="83"/>
      <c r="N49" s="8"/>
      <c r="O49" s="83"/>
      <c r="P49" s="125"/>
      <c r="Q49" s="8"/>
      <c r="R49" s="8"/>
      <c r="S49" s="8"/>
      <c r="T49" s="83"/>
      <c r="U49" s="8"/>
      <c r="V49" s="8"/>
      <c r="W49" s="8"/>
      <c r="X49" s="8"/>
      <c r="Y49" s="8"/>
      <c r="Z49" s="8"/>
      <c r="AA49" s="8"/>
      <c r="AB49" s="125"/>
      <c r="AC49" s="8"/>
      <c r="AD49" s="8"/>
      <c r="AE49" s="8"/>
      <c r="AF49" s="83"/>
      <c r="AG49" s="125"/>
      <c r="AH49" s="8"/>
      <c r="AI49" s="8"/>
      <c r="AJ49" s="8"/>
      <c r="AK49" s="83"/>
      <c r="AL49" s="125"/>
      <c r="AM49" s="8"/>
      <c r="AN49" s="8"/>
      <c r="AO49" s="8"/>
      <c r="AP49" s="83"/>
      <c r="AQ49" s="125"/>
      <c r="AR49" s="8"/>
      <c r="AS49" s="8"/>
      <c r="AT49" s="8"/>
      <c r="AU49" s="8"/>
      <c r="AV49" s="8"/>
      <c r="AW49" s="8"/>
      <c r="AX49" s="8"/>
      <c r="AY49" s="8"/>
      <c r="AZ49" s="8"/>
      <c r="BA49" s="8"/>
      <c r="BB49" s="8"/>
      <c r="BC49" s="83"/>
      <c r="BD49" s="125"/>
      <c r="BE49" s="8"/>
      <c r="BF49" s="8"/>
      <c r="BG49" s="8"/>
      <c r="BH49" s="8"/>
      <c r="BI49" s="8"/>
      <c r="BJ49" s="8"/>
      <c r="BK49" s="8"/>
      <c r="BL49" s="8"/>
      <c r="BM49" s="8"/>
      <c r="BN49" s="8"/>
      <c r="BO49" s="8"/>
      <c r="BP49" s="8"/>
      <c r="BQ49" s="8"/>
      <c r="BR49" s="8"/>
      <c r="BS49" s="8"/>
      <c r="BT49" s="8"/>
      <c r="BU49" s="8"/>
      <c r="BV49" s="8"/>
      <c r="BW49" s="8"/>
      <c r="BX49" s="8"/>
      <c r="BY49" s="8"/>
      <c r="BZ49" s="8"/>
      <c r="CA49" s="83"/>
    </row>
    <row r="50" spans="1:79" ht="15.6" customHeight="1" x14ac:dyDescent="0.25">
      <c r="A50" s="7"/>
      <c r="B50" s="8"/>
      <c r="C50" s="8"/>
      <c r="D50" s="8"/>
      <c r="E50" s="8"/>
      <c r="F50" s="8"/>
      <c r="G50" s="83"/>
      <c r="H50" s="125"/>
      <c r="I50" s="8"/>
      <c r="J50" s="9"/>
      <c r="K50" s="8"/>
      <c r="L50" s="8"/>
      <c r="M50" s="83"/>
      <c r="N50" s="8"/>
      <c r="O50" s="83"/>
      <c r="P50" s="125"/>
      <c r="Q50" s="8"/>
      <c r="R50" s="8"/>
      <c r="S50" s="8"/>
      <c r="T50" s="83"/>
      <c r="U50" s="8"/>
      <c r="V50" s="8"/>
      <c r="W50" s="8"/>
      <c r="X50" s="8"/>
      <c r="Y50" s="8"/>
      <c r="Z50" s="8"/>
      <c r="AA50" s="8"/>
      <c r="AB50" s="125"/>
      <c r="AC50" s="8"/>
      <c r="AD50" s="8"/>
      <c r="AE50" s="8"/>
      <c r="AF50" s="83"/>
      <c r="AG50" s="125"/>
      <c r="AH50" s="8"/>
      <c r="AI50" s="8"/>
      <c r="AJ50" s="8"/>
      <c r="AK50" s="83"/>
      <c r="AL50" s="125"/>
      <c r="AM50" s="8"/>
      <c r="AN50" s="8"/>
      <c r="AO50" s="8"/>
      <c r="AP50" s="83"/>
      <c r="AQ50" s="125"/>
      <c r="AR50" s="8"/>
      <c r="AS50" s="8"/>
      <c r="AT50" s="8"/>
      <c r="AU50" s="8"/>
      <c r="AV50" s="8"/>
      <c r="AW50" s="8"/>
      <c r="AX50" s="8"/>
      <c r="AY50" s="8"/>
      <c r="AZ50" s="8"/>
      <c r="BA50" s="8"/>
      <c r="BB50" s="8"/>
      <c r="BC50" s="83"/>
      <c r="BD50" s="125"/>
      <c r="BE50" s="8"/>
      <c r="BF50" s="8"/>
      <c r="BG50" s="8"/>
      <c r="BH50" s="8"/>
      <c r="BI50" s="8"/>
      <c r="BJ50" s="8"/>
      <c r="BK50" s="8"/>
      <c r="BL50" s="8"/>
      <c r="BM50" s="8"/>
      <c r="BN50" s="8"/>
      <c r="BO50" s="8"/>
      <c r="BP50" s="8"/>
      <c r="BQ50" s="8"/>
      <c r="BR50" s="8"/>
      <c r="BS50" s="8"/>
      <c r="BT50" s="8"/>
      <c r="BU50" s="8"/>
      <c r="BV50" s="8"/>
      <c r="BW50" s="8"/>
      <c r="BX50" s="8"/>
      <c r="BY50" s="8"/>
      <c r="BZ50" s="8"/>
      <c r="CA50" s="83"/>
    </row>
    <row r="51" spans="1:79" ht="15.6" customHeight="1" x14ac:dyDescent="0.25">
      <c r="A51" s="7"/>
      <c r="B51" s="8"/>
      <c r="C51" s="8"/>
      <c r="D51" s="8"/>
      <c r="E51" s="8"/>
      <c r="F51" s="8"/>
      <c r="G51" s="83"/>
      <c r="H51" s="125"/>
      <c r="I51" s="8"/>
      <c r="J51" s="9"/>
      <c r="K51" s="8"/>
      <c r="L51" s="8"/>
      <c r="M51" s="83"/>
      <c r="N51" s="8"/>
      <c r="O51" s="83"/>
      <c r="P51" s="125"/>
      <c r="Q51" s="8"/>
      <c r="R51" s="8"/>
      <c r="S51" s="8"/>
      <c r="T51" s="83"/>
      <c r="U51" s="8"/>
      <c r="V51" s="8"/>
      <c r="W51" s="8"/>
      <c r="X51" s="8"/>
      <c r="Y51" s="8"/>
      <c r="Z51" s="8"/>
      <c r="AA51" s="8"/>
      <c r="AB51" s="125"/>
      <c r="AC51" s="8"/>
      <c r="AD51" s="8"/>
      <c r="AE51" s="8"/>
      <c r="AF51" s="83"/>
      <c r="AG51" s="125"/>
      <c r="AH51" s="8"/>
      <c r="AI51" s="8"/>
      <c r="AJ51" s="8"/>
      <c r="AK51" s="83"/>
      <c r="AL51" s="125"/>
      <c r="AM51" s="8"/>
      <c r="AN51" s="8"/>
      <c r="AO51" s="8"/>
      <c r="AP51" s="83"/>
      <c r="AQ51" s="125"/>
      <c r="AR51" s="8"/>
      <c r="AS51" s="8"/>
      <c r="AT51" s="8"/>
      <c r="AU51" s="8"/>
      <c r="AV51" s="8"/>
      <c r="AW51" s="8"/>
      <c r="AX51" s="8"/>
      <c r="AY51" s="8"/>
      <c r="AZ51" s="8"/>
      <c r="BA51" s="8"/>
      <c r="BB51" s="8"/>
      <c r="BC51" s="83"/>
      <c r="BD51" s="125"/>
      <c r="BE51" s="8"/>
      <c r="BF51" s="8"/>
      <c r="BG51" s="8"/>
      <c r="BH51" s="8"/>
      <c r="BI51" s="8"/>
      <c r="BJ51" s="8"/>
      <c r="BK51" s="8"/>
      <c r="BL51" s="8"/>
      <c r="BM51" s="8"/>
      <c r="BN51" s="8"/>
      <c r="BO51" s="8"/>
      <c r="BP51" s="8"/>
      <c r="BQ51" s="8"/>
      <c r="BR51" s="8"/>
      <c r="BS51" s="8"/>
      <c r="BT51" s="8"/>
      <c r="BU51" s="8"/>
      <c r="BV51" s="8"/>
      <c r="BW51" s="8"/>
      <c r="BX51" s="8"/>
      <c r="BY51" s="8"/>
      <c r="BZ51" s="8"/>
      <c r="CA51" s="83"/>
    </row>
    <row r="52" spans="1:79" ht="15.6" customHeight="1" x14ac:dyDescent="0.25">
      <c r="A52" s="7"/>
      <c r="B52" s="8"/>
      <c r="C52" s="8"/>
      <c r="D52" s="8"/>
      <c r="E52" s="8"/>
      <c r="F52" s="8"/>
      <c r="G52" s="83"/>
      <c r="H52" s="125"/>
      <c r="I52" s="8"/>
      <c r="J52" s="9"/>
      <c r="K52" s="8"/>
      <c r="L52" s="8"/>
      <c r="M52" s="83"/>
      <c r="N52" s="8"/>
      <c r="O52" s="83"/>
      <c r="P52" s="125"/>
      <c r="Q52" s="8"/>
      <c r="R52" s="8"/>
      <c r="S52" s="8"/>
      <c r="T52" s="83"/>
      <c r="U52" s="8"/>
      <c r="V52" s="8"/>
      <c r="W52" s="8"/>
      <c r="X52" s="8"/>
      <c r="Y52" s="8"/>
      <c r="Z52" s="8"/>
      <c r="AA52" s="8"/>
      <c r="AB52" s="125"/>
      <c r="AC52" s="8"/>
      <c r="AD52" s="8"/>
      <c r="AE52" s="8"/>
      <c r="AF52" s="83"/>
      <c r="AG52" s="125"/>
      <c r="AH52" s="8"/>
      <c r="AI52" s="8"/>
      <c r="AJ52" s="8"/>
      <c r="AK52" s="83"/>
      <c r="AL52" s="125"/>
      <c r="AM52" s="8"/>
      <c r="AN52" s="8"/>
      <c r="AO52" s="8"/>
      <c r="AP52" s="83"/>
      <c r="AQ52" s="125"/>
      <c r="AR52" s="8"/>
      <c r="AS52" s="8"/>
      <c r="AT52" s="8"/>
      <c r="AU52" s="8"/>
      <c r="AV52" s="8"/>
      <c r="AW52" s="8"/>
      <c r="AX52" s="8"/>
      <c r="AY52" s="8"/>
      <c r="AZ52" s="8"/>
      <c r="BA52" s="8"/>
      <c r="BB52" s="8"/>
      <c r="BC52" s="83"/>
      <c r="BD52" s="125"/>
      <c r="BE52" s="8"/>
      <c r="BF52" s="8"/>
      <c r="BG52" s="8"/>
      <c r="BH52" s="8"/>
      <c r="BI52" s="8"/>
      <c r="BJ52" s="8"/>
      <c r="BK52" s="8"/>
      <c r="BL52" s="8"/>
      <c r="BM52" s="8"/>
      <c r="BN52" s="8"/>
      <c r="BO52" s="8"/>
      <c r="BP52" s="8"/>
      <c r="BQ52" s="8"/>
      <c r="BR52" s="8"/>
      <c r="BS52" s="8"/>
      <c r="BT52" s="8"/>
      <c r="BU52" s="8"/>
      <c r="BV52" s="8"/>
      <c r="BW52" s="8"/>
      <c r="BX52" s="8"/>
      <c r="BY52" s="8"/>
      <c r="BZ52" s="8"/>
      <c r="CA52" s="83"/>
    </row>
    <row r="53" spans="1:79" ht="15.6" customHeight="1" x14ac:dyDescent="0.25">
      <c r="A53" s="7"/>
      <c r="B53" s="8"/>
      <c r="C53" s="8"/>
      <c r="D53" s="8"/>
      <c r="E53" s="8"/>
      <c r="F53" s="8"/>
      <c r="G53" s="83"/>
      <c r="H53" s="125"/>
      <c r="I53" s="8"/>
      <c r="J53" s="9"/>
      <c r="K53" s="8"/>
      <c r="L53" s="8"/>
      <c r="M53" s="83"/>
      <c r="N53" s="8"/>
      <c r="O53" s="83"/>
      <c r="P53" s="125"/>
      <c r="Q53" s="8"/>
      <c r="R53" s="8"/>
      <c r="S53" s="8"/>
      <c r="T53" s="83"/>
      <c r="U53" s="8"/>
      <c r="V53" s="8"/>
      <c r="W53" s="8"/>
      <c r="X53" s="8"/>
      <c r="Y53" s="8"/>
      <c r="Z53" s="8"/>
      <c r="AA53" s="8"/>
      <c r="AB53" s="125"/>
      <c r="AC53" s="8"/>
      <c r="AD53" s="8"/>
      <c r="AE53" s="8"/>
      <c r="AF53" s="83"/>
      <c r="AG53" s="125"/>
      <c r="AH53" s="8"/>
      <c r="AI53" s="8"/>
      <c r="AJ53" s="8"/>
      <c r="AK53" s="83"/>
      <c r="AL53" s="125"/>
      <c r="AM53" s="8"/>
      <c r="AN53" s="8"/>
      <c r="AO53" s="8"/>
      <c r="AP53" s="83"/>
      <c r="AQ53" s="125"/>
      <c r="AR53" s="8"/>
      <c r="AS53" s="8"/>
      <c r="AT53" s="8"/>
      <c r="AU53" s="8"/>
      <c r="AV53" s="8"/>
      <c r="AW53" s="8"/>
      <c r="AX53" s="8"/>
      <c r="AY53" s="8"/>
      <c r="AZ53" s="8"/>
      <c r="BA53" s="8"/>
      <c r="BB53" s="8"/>
      <c r="BC53" s="83"/>
      <c r="BD53" s="125"/>
      <c r="BE53" s="8"/>
      <c r="BF53" s="8"/>
      <c r="BG53" s="8"/>
      <c r="BH53" s="8"/>
      <c r="BI53" s="8"/>
      <c r="BJ53" s="8"/>
      <c r="BK53" s="8"/>
      <c r="BL53" s="8"/>
      <c r="BM53" s="8"/>
      <c r="BN53" s="8"/>
      <c r="BO53" s="8"/>
      <c r="BP53" s="8"/>
      <c r="BQ53" s="8"/>
      <c r="BR53" s="8"/>
      <c r="BS53" s="8"/>
      <c r="BT53" s="8"/>
      <c r="BU53" s="8"/>
      <c r="BV53" s="8"/>
      <c r="BW53" s="8"/>
      <c r="BX53" s="8"/>
      <c r="BY53" s="8"/>
      <c r="BZ53" s="8"/>
      <c r="CA53" s="83"/>
    </row>
    <row r="54" spans="1:79" ht="15.6" customHeight="1" x14ac:dyDescent="0.25">
      <c r="A54" s="7"/>
      <c r="B54" s="8"/>
      <c r="C54" s="8"/>
      <c r="D54" s="8"/>
      <c r="E54" s="8"/>
      <c r="F54" s="8"/>
      <c r="G54" s="83"/>
      <c r="H54" s="125"/>
      <c r="I54" s="8"/>
      <c r="J54" s="9"/>
      <c r="K54" s="8"/>
      <c r="L54" s="8"/>
      <c r="M54" s="83"/>
      <c r="N54" s="8"/>
      <c r="O54" s="83"/>
      <c r="P54" s="125"/>
      <c r="Q54" s="8"/>
      <c r="R54" s="8"/>
      <c r="S54" s="8"/>
      <c r="T54" s="83"/>
      <c r="U54" s="8"/>
      <c r="V54" s="8"/>
      <c r="W54" s="8"/>
      <c r="X54" s="8"/>
      <c r="Y54" s="8"/>
      <c r="Z54" s="8"/>
      <c r="AA54" s="8"/>
      <c r="AB54" s="125"/>
      <c r="AC54" s="8"/>
      <c r="AD54" s="8"/>
      <c r="AE54" s="8"/>
      <c r="AF54" s="83"/>
      <c r="AG54" s="125"/>
      <c r="AH54" s="8"/>
      <c r="AI54" s="8"/>
      <c r="AJ54" s="8"/>
      <c r="AK54" s="83"/>
      <c r="AL54" s="125"/>
      <c r="AM54" s="8"/>
      <c r="AN54" s="8"/>
      <c r="AO54" s="8"/>
      <c r="AP54" s="83"/>
      <c r="AQ54" s="125"/>
      <c r="AR54" s="8"/>
      <c r="AS54" s="8"/>
      <c r="AT54" s="8"/>
      <c r="AU54" s="8"/>
      <c r="AV54" s="8"/>
      <c r="AW54" s="8"/>
      <c r="AX54" s="8"/>
      <c r="AY54" s="8"/>
      <c r="AZ54" s="8"/>
      <c r="BA54" s="8"/>
      <c r="BB54" s="8"/>
      <c r="BC54" s="83"/>
      <c r="BD54" s="125"/>
      <c r="BE54" s="8"/>
      <c r="BF54" s="8"/>
      <c r="BG54" s="8"/>
      <c r="BH54" s="8"/>
      <c r="BI54" s="8"/>
      <c r="BJ54" s="8"/>
      <c r="BK54" s="8"/>
      <c r="BL54" s="8"/>
      <c r="BM54" s="8"/>
      <c r="BN54" s="8"/>
      <c r="BO54" s="8"/>
      <c r="BP54" s="8"/>
      <c r="BQ54" s="8"/>
      <c r="BR54" s="8"/>
      <c r="BS54" s="8"/>
      <c r="BT54" s="8"/>
      <c r="BU54" s="8"/>
      <c r="BV54" s="8"/>
      <c r="BW54" s="8"/>
      <c r="BX54" s="8"/>
      <c r="BY54" s="8"/>
      <c r="BZ54" s="8"/>
      <c r="CA54" s="83"/>
    </row>
    <row r="55" spans="1:79" ht="15.6" customHeight="1" x14ac:dyDescent="0.25">
      <c r="A55" s="7"/>
      <c r="B55" s="8"/>
      <c r="C55" s="8"/>
      <c r="D55" s="8"/>
      <c r="E55" s="8"/>
      <c r="F55" s="8"/>
      <c r="G55" s="83"/>
      <c r="H55" s="125"/>
      <c r="I55" s="8"/>
      <c r="J55" s="9"/>
      <c r="K55" s="8"/>
      <c r="L55" s="8"/>
      <c r="M55" s="83"/>
      <c r="N55" s="8"/>
      <c r="O55" s="83"/>
      <c r="P55" s="125"/>
      <c r="Q55" s="8"/>
      <c r="R55" s="8"/>
      <c r="S55" s="8"/>
      <c r="T55" s="83"/>
      <c r="U55" s="8"/>
      <c r="V55" s="8"/>
      <c r="W55" s="8"/>
      <c r="X55" s="8"/>
      <c r="Y55" s="8"/>
      <c r="Z55" s="8"/>
      <c r="AA55" s="8"/>
      <c r="AB55" s="125"/>
      <c r="AC55" s="8"/>
      <c r="AD55" s="8"/>
      <c r="AE55" s="8"/>
      <c r="AF55" s="83"/>
      <c r="AG55" s="125"/>
      <c r="AH55" s="8"/>
      <c r="AI55" s="8"/>
      <c r="AJ55" s="8"/>
      <c r="AK55" s="83"/>
      <c r="AL55" s="125"/>
      <c r="AM55" s="8"/>
      <c r="AN55" s="8"/>
      <c r="AO55" s="8"/>
      <c r="AP55" s="83"/>
      <c r="AQ55" s="125"/>
      <c r="AR55" s="8"/>
      <c r="AS55" s="8"/>
      <c r="AT55" s="8"/>
      <c r="AU55" s="8"/>
      <c r="AV55" s="8"/>
      <c r="AW55" s="8"/>
      <c r="AX55" s="8"/>
      <c r="AY55" s="8"/>
      <c r="AZ55" s="8"/>
      <c r="BA55" s="8"/>
      <c r="BB55" s="8"/>
      <c r="BC55" s="83"/>
      <c r="BD55" s="125"/>
      <c r="BE55" s="8"/>
      <c r="BF55" s="8"/>
      <c r="BG55" s="8"/>
      <c r="BH55" s="8"/>
      <c r="BI55" s="8"/>
      <c r="BJ55" s="8"/>
      <c r="BK55" s="8"/>
      <c r="BL55" s="8"/>
      <c r="BM55" s="8"/>
      <c r="BN55" s="8"/>
      <c r="BO55" s="8"/>
      <c r="BP55" s="8"/>
      <c r="BQ55" s="8"/>
      <c r="BR55" s="8"/>
      <c r="BS55" s="8"/>
      <c r="BT55" s="8"/>
      <c r="BU55" s="8"/>
      <c r="BV55" s="8"/>
      <c r="BW55" s="8"/>
      <c r="BX55" s="8"/>
      <c r="BY55" s="8"/>
      <c r="BZ55" s="8"/>
      <c r="CA55" s="83"/>
    </row>
    <row r="56" spans="1:79" ht="15.6" customHeight="1" x14ac:dyDescent="0.25">
      <c r="A56" s="7"/>
      <c r="B56" s="8"/>
      <c r="C56" s="8"/>
      <c r="D56" s="8"/>
      <c r="E56" s="8"/>
      <c r="F56" s="8"/>
      <c r="G56" s="83"/>
      <c r="H56" s="125"/>
      <c r="I56" s="8"/>
      <c r="J56" s="9"/>
      <c r="K56" s="8"/>
      <c r="L56" s="8"/>
      <c r="M56" s="83"/>
      <c r="N56" s="8"/>
      <c r="O56" s="83"/>
      <c r="P56" s="125"/>
      <c r="Q56" s="8"/>
      <c r="R56" s="8"/>
      <c r="S56" s="8"/>
      <c r="T56" s="83"/>
      <c r="U56" s="8"/>
      <c r="V56" s="8"/>
      <c r="W56" s="8"/>
      <c r="X56" s="8"/>
      <c r="Y56" s="8"/>
      <c r="Z56" s="8"/>
      <c r="AA56" s="8"/>
      <c r="AB56" s="125"/>
      <c r="AC56" s="8"/>
      <c r="AD56" s="8"/>
      <c r="AE56" s="8"/>
      <c r="AF56" s="83"/>
      <c r="AG56" s="125"/>
      <c r="AH56" s="8"/>
      <c r="AI56" s="8"/>
      <c r="AJ56" s="8"/>
      <c r="AK56" s="83"/>
      <c r="AL56" s="125"/>
      <c r="AM56" s="8"/>
      <c r="AN56" s="8"/>
      <c r="AO56" s="8"/>
      <c r="AP56" s="83"/>
      <c r="AQ56" s="125"/>
      <c r="AR56" s="8"/>
      <c r="AS56" s="8"/>
      <c r="AT56" s="8"/>
      <c r="AU56" s="8"/>
      <c r="AV56" s="8"/>
      <c r="AW56" s="8"/>
      <c r="AX56" s="8"/>
      <c r="AY56" s="8"/>
      <c r="AZ56" s="8"/>
      <c r="BA56" s="8"/>
      <c r="BB56" s="8"/>
      <c r="BC56" s="83"/>
      <c r="BD56" s="125"/>
      <c r="BE56" s="8"/>
      <c r="BF56" s="8"/>
      <c r="BG56" s="8"/>
      <c r="BH56" s="8"/>
      <c r="BI56" s="8"/>
      <c r="BJ56" s="8"/>
      <c r="BK56" s="8"/>
      <c r="BL56" s="8"/>
      <c r="BM56" s="8"/>
      <c r="BN56" s="8"/>
      <c r="BO56" s="8"/>
      <c r="BP56" s="8"/>
      <c r="BQ56" s="8"/>
      <c r="BR56" s="8"/>
      <c r="BS56" s="8"/>
      <c r="BT56" s="8"/>
      <c r="BU56" s="8"/>
      <c r="BV56" s="8"/>
      <c r="BW56" s="8"/>
      <c r="BX56" s="8"/>
      <c r="BY56" s="8"/>
      <c r="BZ56" s="8"/>
      <c r="CA56" s="83"/>
    </row>
    <row r="57" spans="1:79" ht="15.6" customHeight="1" x14ac:dyDescent="0.25">
      <c r="A57" s="7"/>
      <c r="B57" s="8"/>
      <c r="C57" s="8"/>
      <c r="D57" s="8"/>
      <c r="E57" s="8"/>
      <c r="F57" s="8"/>
      <c r="G57" s="83"/>
      <c r="H57" s="125"/>
      <c r="I57" s="8"/>
      <c r="J57" s="9"/>
      <c r="K57" s="8"/>
      <c r="L57" s="8"/>
      <c r="M57" s="83"/>
      <c r="N57" s="8"/>
      <c r="O57" s="83"/>
      <c r="P57" s="125"/>
      <c r="Q57" s="8"/>
      <c r="R57" s="8"/>
      <c r="S57" s="8"/>
      <c r="T57" s="83"/>
      <c r="U57" s="8"/>
      <c r="V57" s="8"/>
      <c r="W57" s="8"/>
      <c r="X57" s="8"/>
      <c r="Y57" s="8"/>
      <c r="Z57" s="8"/>
      <c r="AA57" s="8"/>
      <c r="AB57" s="125"/>
      <c r="AC57" s="8"/>
      <c r="AD57" s="8"/>
      <c r="AE57" s="8"/>
      <c r="AF57" s="83"/>
      <c r="AG57" s="125"/>
      <c r="AH57" s="8"/>
      <c r="AI57" s="8"/>
      <c r="AJ57" s="8"/>
      <c r="AK57" s="83"/>
      <c r="AL57" s="125"/>
      <c r="AM57" s="8"/>
      <c r="AN57" s="8"/>
      <c r="AO57" s="8"/>
      <c r="AP57" s="83"/>
      <c r="AQ57" s="125"/>
      <c r="AR57" s="8"/>
      <c r="AS57" s="8"/>
      <c r="AT57" s="8"/>
      <c r="AU57" s="8"/>
      <c r="AV57" s="8"/>
      <c r="AW57" s="8"/>
      <c r="AX57" s="8"/>
      <c r="AY57" s="8"/>
      <c r="AZ57" s="8"/>
      <c r="BA57" s="8"/>
      <c r="BB57" s="8"/>
      <c r="BC57" s="83"/>
      <c r="BD57" s="125"/>
      <c r="BE57" s="8"/>
      <c r="BF57" s="8"/>
      <c r="BG57" s="8"/>
      <c r="BH57" s="8"/>
      <c r="BI57" s="8"/>
      <c r="BJ57" s="8"/>
      <c r="BK57" s="8"/>
      <c r="BL57" s="8"/>
      <c r="BM57" s="8"/>
      <c r="BN57" s="8"/>
      <c r="BO57" s="8"/>
      <c r="BP57" s="8"/>
      <c r="BQ57" s="8"/>
      <c r="BR57" s="8"/>
      <c r="BS57" s="8"/>
      <c r="BT57" s="8"/>
      <c r="BU57" s="8"/>
      <c r="BV57" s="8"/>
      <c r="BW57" s="8"/>
      <c r="BX57" s="8"/>
      <c r="BY57" s="8"/>
      <c r="BZ57" s="8"/>
      <c r="CA57" s="83"/>
    </row>
    <row r="58" spans="1:79" ht="15.6" customHeight="1" x14ac:dyDescent="0.25">
      <c r="A58" s="7"/>
      <c r="B58" s="8"/>
      <c r="C58" s="8"/>
      <c r="D58" s="8"/>
      <c r="E58" s="8"/>
      <c r="F58" s="8"/>
      <c r="G58" s="83"/>
      <c r="H58" s="125"/>
      <c r="I58" s="8"/>
      <c r="J58" s="9"/>
      <c r="K58" s="8"/>
      <c r="L58" s="8"/>
      <c r="M58" s="83"/>
      <c r="N58" s="8"/>
      <c r="O58" s="83"/>
      <c r="P58" s="125"/>
      <c r="Q58" s="8"/>
      <c r="R58" s="8"/>
      <c r="S58" s="8"/>
      <c r="T58" s="83"/>
      <c r="U58" s="8"/>
      <c r="V58" s="8"/>
      <c r="W58" s="8"/>
      <c r="X58" s="8"/>
      <c r="Y58" s="8"/>
      <c r="Z58" s="8"/>
      <c r="AA58" s="8"/>
      <c r="AB58" s="125"/>
      <c r="AC58" s="8"/>
      <c r="AD58" s="8"/>
      <c r="AE58" s="8"/>
      <c r="AF58" s="83"/>
      <c r="AG58" s="125"/>
      <c r="AH58" s="8"/>
      <c r="AI58" s="8"/>
      <c r="AJ58" s="8"/>
      <c r="AK58" s="83"/>
      <c r="AL58" s="125"/>
      <c r="AM58" s="8"/>
      <c r="AN58" s="8"/>
      <c r="AO58" s="8"/>
      <c r="AP58" s="83"/>
      <c r="AQ58" s="125"/>
      <c r="AR58" s="8"/>
      <c r="AS58" s="8"/>
      <c r="AT58" s="8"/>
      <c r="AU58" s="8"/>
      <c r="AV58" s="8"/>
      <c r="AW58" s="8"/>
      <c r="AX58" s="8"/>
      <c r="AY58" s="8"/>
      <c r="AZ58" s="8"/>
      <c r="BA58" s="8"/>
      <c r="BB58" s="8"/>
      <c r="BC58" s="83"/>
      <c r="BD58" s="125"/>
      <c r="BE58" s="8"/>
      <c r="BF58" s="8"/>
      <c r="BG58" s="8"/>
      <c r="BH58" s="8"/>
      <c r="BI58" s="8"/>
      <c r="BJ58" s="8"/>
      <c r="BK58" s="8"/>
      <c r="BL58" s="8"/>
      <c r="BM58" s="8"/>
      <c r="BN58" s="8"/>
      <c r="BO58" s="8"/>
      <c r="BP58" s="8"/>
      <c r="BQ58" s="8"/>
      <c r="BR58" s="8"/>
      <c r="BS58" s="8"/>
      <c r="BT58" s="8"/>
      <c r="BU58" s="8"/>
      <c r="BV58" s="8"/>
      <c r="BW58" s="8"/>
      <c r="BX58" s="8"/>
      <c r="BY58" s="8"/>
      <c r="BZ58" s="8"/>
      <c r="CA58" s="83"/>
    </row>
    <row r="59" spans="1:79" ht="15.6" customHeight="1" x14ac:dyDescent="0.25">
      <c r="A59" s="7"/>
      <c r="B59" s="8"/>
      <c r="C59" s="8"/>
      <c r="D59" s="8"/>
      <c r="E59" s="8"/>
      <c r="F59" s="8"/>
      <c r="G59" s="83"/>
      <c r="H59" s="125"/>
      <c r="I59" s="8"/>
      <c r="J59" s="9"/>
      <c r="K59" s="8"/>
      <c r="L59" s="8"/>
      <c r="M59" s="83"/>
      <c r="N59" s="8"/>
      <c r="O59" s="83"/>
      <c r="P59" s="125"/>
      <c r="Q59" s="8"/>
      <c r="R59" s="8"/>
      <c r="S59" s="8"/>
      <c r="T59" s="83"/>
      <c r="U59" s="8"/>
      <c r="V59" s="8"/>
      <c r="W59" s="8"/>
      <c r="X59" s="8"/>
      <c r="Y59" s="8"/>
      <c r="Z59" s="8"/>
      <c r="AA59" s="8"/>
      <c r="AB59" s="125"/>
      <c r="AC59" s="8"/>
      <c r="AD59" s="8"/>
      <c r="AE59" s="8"/>
      <c r="AF59" s="83"/>
      <c r="AG59" s="125"/>
      <c r="AH59" s="8"/>
      <c r="AI59" s="8"/>
      <c r="AJ59" s="8"/>
      <c r="AK59" s="83"/>
      <c r="AL59" s="125"/>
      <c r="AM59" s="8"/>
      <c r="AN59" s="8"/>
      <c r="AO59" s="8"/>
      <c r="AP59" s="83"/>
      <c r="AQ59" s="125"/>
      <c r="AR59" s="8"/>
      <c r="AS59" s="8"/>
      <c r="AT59" s="8"/>
      <c r="AU59" s="8"/>
      <c r="AV59" s="8"/>
      <c r="AW59" s="8"/>
      <c r="AX59" s="8"/>
      <c r="AY59" s="8"/>
      <c r="AZ59" s="8"/>
      <c r="BA59" s="8"/>
      <c r="BB59" s="8"/>
      <c r="BC59" s="83"/>
      <c r="BD59" s="125"/>
      <c r="BE59" s="8"/>
      <c r="BF59" s="8"/>
      <c r="BG59" s="8"/>
      <c r="BH59" s="8"/>
      <c r="BI59" s="8"/>
      <c r="BJ59" s="8"/>
      <c r="BK59" s="8"/>
      <c r="BL59" s="8"/>
      <c r="BM59" s="8"/>
      <c r="BN59" s="8"/>
      <c r="BO59" s="8"/>
      <c r="BP59" s="8"/>
      <c r="BQ59" s="8"/>
      <c r="BR59" s="8"/>
      <c r="BS59" s="8"/>
      <c r="BT59" s="8"/>
      <c r="BU59" s="8"/>
      <c r="BV59" s="8"/>
      <c r="BW59" s="8"/>
      <c r="BX59" s="8"/>
      <c r="BY59" s="8"/>
      <c r="BZ59" s="8"/>
      <c r="CA59" s="83"/>
    </row>
    <row r="60" spans="1:79" ht="15.6" customHeight="1" x14ac:dyDescent="0.25">
      <c r="A60" s="7"/>
      <c r="B60" s="8"/>
      <c r="C60" s="8"/>
      <c r="D60" s="8"/>
      <c r="E60" s="8"/>
      <c r="F60" s="8"/>
      <c r="G60" s="83"/>
      <c r="H60" s="125"/>
      <c r="I60" s="8"/>
      <c r="J60" s="9"/>
      <c r="K60" s="8"/>
      <c r="L60" s="8"/>
      <c r="M60" s="83"/>
      <c r="N60" s="8"/>
      <c r="O60" s="83"/>
      <c r="P60" s="125"/>
      <c r="Q60" s="8"/>
      <c r="R60" s="8"/>
      <c r="S60" s="8"/>
      <c r="T60" s="83"/>
      <c r="U60" s="8"/>
      <c r="V60" s="8"/>
      <c r="W60" s="8"/>
      <c r="X60" s="8"/>
      <c r="Y60" s="8"/>
      <c r="Z60" s="8"/>
      <c r="AA60" s="8"/>
      <c r="AB60" s="125"/>
      <c r="AC60" s="8"/>
      <c r="AD60" s="8"/>
      <c r="AE60" s="8"/>
      <c r="AF60" s="83"/>
      <c r="AG60" s="125"/>
      <c r="AH60" s="8"/>
      <c r="AI60" s="8"/>
      <c r="AJ60" s="8"/>
      <c r="AK60" s="83"/>
      <c r="AL60" s="125"/>
      <c r="AM60" s="8"/>
      <c r="AN60" s="8"/>
      <c r="AO60" s="8"/>
      <c r="AP60" s="83"/>
      <c r="AQ60" s="125"/>
      <c r="AR60" s="8"/>
      <c r="AS60" s="8"/>
      <c r="AT60" s="8"/>
      <c r="AU60" s="8"/>
      <c r="AV60" s="8"/>
      <c r="AW60" s="8"/>
      <c r="AX60" s="8"/>
      <c r="AY60" s="8"/>
      <c r="AZ60" s="8"/>
      <c r="BA60" s="8"/>
      <c r="BB60" s="8"/>
      <c r="BC60" s="83"/>
      <c r="BD60" s="125"/>
      <c r="BE60" s="8"/>
      <c r="BF60" s="8"/>
      <c r="BG60" s="8"/>
      <c r="BH60" s="8"/>
      <c r="BI60" s="8"/>
      <c r="BJ60" s="8"/>
      <c r="BK60" s="8"/>
      <c r="BL60" s="8"/>
      <c r="BM60" s="8"/>
      <c r="BN60" s="8"/>
      <c r="BO60" s="8"/>
      <c r="BP60" s="8"/>
      <c r="BQ60" s="8"/>
      <c r="BR60" s="8"/>
      <c r="BS60" s="8"/>
      <c r="BT60" s="8"/>
      <c r="BU60" s="8"/>
      <c r="BV60" s="8"/>
      <c r="BW60" s="8"/>
      <c r="BX60" s="8"/>
      <c r="BY60" s="8"/>
      <c r="BZ60" s="8"/>
      <c r="CA60" s="83"/>
    </row>
    <row r="61" spans="1:79" ht="15.6" customHeight="1" x14ac:dyDescent="0.25">
      <c r="A61" s="7"/>
      <c r="B61" s="8"/>
      <c r="C61" s="8"/>
      <c r="D61" s="8"/>
      <c r="E61" s="8"/>
      <c r="F61" s="8"/>
      <c r="G61" s="83"/>
      <c r="H61" s="125"/>
      <c r="I61" s="8"/>
      <c r="J61" s="9"/>
      <c r="K61" s="8"/>
      <c r="L61" s="8"/>
      <c r="M61" s="83"/>
      <c r="N61" s="8"/>
      <c r="O61" s="83"/>
      <c r="P61" s="125"/>
      <c r="Q61" s="8"/>
      <c r="R61" s="8"/>
      <c r="S61" s="8"/>
      <c r="T61" s="83"/>
      <c r="U61" s="8"/>
      <c r="V61" s="8"/>
      <c r="W61" s="8"/>
      <c r="X61" s="8"/>
      <c r="Y61" s="8"/>
      <c r="Z61" s="8"/>
      <c r="AA61" s="8"/>
      <c r="AB61" s="125"/>
      <c r="AC61" s="8"/>
      <c r="AD61" s="8"/>
      <c r="AE61" s="8"/>
      <c r="AF61" s="83"/>
      <c r="AG61" s="125"/>
      <c r="AH61" s="8"/>
      <c r="AI61" s="8"/>
      <c r="AJ61" s="8"/>
      <c r="AK61" s="83"/>
      <c r="AL61" s="125"/>
      <c r="AM61" s="8"/>
      <c r="AN61" s="8"/>
      <c r="AO61" s="8"/>
      <c r="AP61" s="83"/>
      <c r="AQ61" s="125"/>
      <c r="AR61" s="8"/>
      <c r="AS61" s="8"/>
      <c r="AT61" s="8"/>
      <c r="AU61" s="8"/>
      <c r="AV61" s="8"/>
      <c r="AW61" s="8"/>
      <c r="AX61" s="8"/>
      <c r="AY61" s="8"/>
      <c r="AZ61" s="8"/>
      <c r="BA61" s="8"/>
      <c r="BB61" s="8"/>
      <c r="BC61" s="83"/>
      <c r="BD61" s="125"/>
      <c r="BE61" s="8"/>
      <c r="BF61" s="8"/>
      <c r="BG61" s="8"/>
      <c r="BH61" s="8"/>
      <c r="BI61" s="8"/>
      <c r="BJ61" s="8"/>
      <c r="BK61" s="8"/>
      <c r="BL61" s="8"/>
      <c r="BM61" s="8"/>
      <c r="BN61" s="8"/>
      <c r="BO61" s="8"/>
      <c r="BP61" s="8"/>
      <c r="BQ61" s="8"/>
      <c r="BR61" s="8"/>
      <c r="BS61" s="8"/>
      <c r="BT61" s="8"/>
      <c r="BU61" s="8"/>
      <c r="BV61" s="8"/>
      <c r="BW61" s="8"/>
      <c r="BX61" s="8"/>
      <c r="BY61" s="8"/>
      <c r="BZ61" s="8"/>
      <c r="CA61" s="83"/>
    </row>
    <row r="62" spans="1:79" ht="15.6" customHeight="1" x14ac:dyDescent="0.25">
      <c r="A62" s="7"/>
      <c r="B62" s="8"/>
      <c r="C62" s="8"/>
      <c r="D62" s="8"/>
      <c r="E62" s="8"/>
      <c r="F62" s="8"/>
      <c r="G62" s="83"/>
      <c r="H62" s="125"/>
      <c r="I62" s="8"/>
      <c r="J62" s="9"/>
      <c r="K62" s="8"/>
      <c r="L62" s="8"/>
      <c r="M62" s="83"/>
      <c r="N62" s="8"/>
      <c r="O62" s="83"/>
      <c r="P62" s="125"/>
      <c r="Q62" s="8"/>
      <c r="R62" s="8"/>
      <c r="S62" s="8"/>
      <c r="T62" s="83"/>
      <c r="U62" s="8"/>
      <c r="V62" s="8"/>
      <c r="W62" s="8"/>
      <c r="X62" s="8"/>
      <c r="Y62" s="8"/>
      <c r="Z62" s="8"/>
      <c r="AA62" s="8"/>
      <c r="AB62" s="125"/>
      <c r="AC62" s="8"/>
      <c r="AD62" s="8"/>
      <c r="AE62" s="8"/>
      <c r="AF62" s="83"/>
      <c r="AG62" s="125"/>
      <c r="AH62" s="8"/>
      <c r="AI62" s="8"/>
      <c r="AJ62" s="8"/>
      <c r="AK62" s="83"/>
      <c r="AL62" s="125"/>
      <c r="AM62" s="8"/>
      <c r="AN62" s="8"/>
      <c r="AO62" s="8"/>
      <c r="AP62" s="83"/>
      <c r="AQ62" s="125"/>
      <c r="AR62" s="8"/>
      <c r="AS62" s="8"/>
      <c r="AT62" s="8"/>
      <c r="AU62" s="8"/>
      <c r="AV62" s="8"/>
      <c r="AW62" s="8"/>
      <c r="AX62" s="8"/>
      <c r="AY62" s="8"/>
      <c r="AZ62" s="8"/>
      <c r="BA62" s="8"/>
      <c r="BB62" s="8"/>
      <c r="BC62" s="83"/>
      <c r="BD62" s="125"/>
      <c r="BE62" s="8"/>
      <c r="BF62" s="8"/>
      <c r="BG62" s="8"/>
      <c r="BH62" s="8"/>
      <c r="BI62" s="8"/>
      <c r="BJ62" s="8"/>
      <c r="BK62" s="8"/>
      <c r="BL62" s="8"/>
      <c r="BM62" s="8"/>
      <c r="BN62" s="8"/>
      <c r="BO62" s="8"/>
      <c r="BP62" s="8"/>
      <c r="BQ62" s="8"/>
      <c r="BR62" s="8"/>
      <c r="BS62" s="8"/>
      <c r="BT62" s="8"/>
      <c r="BU62" s="8"/>
      <c r="BV62" s="8"/>
      <c r="BW62" s="8"/>
      <c r="BX62" s="8"/>
      <c r="BY62" s="8"/>
      <c r="BZ62" s="8"/>
      <c r="CA62" s="83"/>
    </row>
    <row r="63" spans="1:79" ht="15.6" customHeight="1" x14ac:dyDescent="0.25">
      <c r="A63" s="7"/>
      <c r="B63" s="8"/>
      <c r="C63" s="8"/>
      <c r="D63" s="8"/>
      <c r="E63" s="8"/>
      <c r="F63" s="8"/>
      <c r="G63" s="83"/>
      <c r="H63" s="125"/>
      <c r="I63" s="8"/>
      <c r="J63" s="9"/>
      <c r="K63" s="8"/>
      <c r="L63" s="8"/>
      <c r="M63" s="83"/>
      <c r="N63" s="8"/>
      <c r="O63" s="83"/>
      <c r="P63" s="125"/>
      <c r="Q63" s="8"/>
      <c r="R63" s="8"/>
      <c r="S63" s="8"/>
      <c r="T63" s="83"/>
      <c r="U63" s="8"/>
      <c r="V63" s="8"/>
      <c r="W63" s="8"/>
      <c r="X63" s="8"/>
      <c r="Y63" s="8"/>
      <c r="Z63" s="8"/>
      <c r="AA63" s="8"/>
      <c r="AB63" s="125"/>
      <c r="AC63" s="8"/>
      <c r="AD63" s="8"/>
      <c r="AE63" s="8"/>
      <c r="AF63" s="83"/>
      <c r="AG63" s="125"/>
      <c r="AH63" s="8"/>
      <c r="AI63" s="8"/>
      <c r="AJ63" s="8"/>
      <c r="AK63" s="83"/>
      <c r="AL63" s="125"/>
      <c r="AM63" s="8"/>
      <c r="AN63" s="8"/>
      <c r="AO63" s="8"/>
      <c r="AP63" s="83"/>
      <c r="AQ63" s="125"/>
      <c r="AR63" s="8"/>
      <c r="AS63" s="8"/>
      <c r="AT63" s="8"/>
      <c r="AU63" s="8"/>
      <c r="AV63" s="8"/>
      <c r="AW63" s="8"/>
      <c r="AX63" s="8"/>
      <c r="AY63" s="8"/>
      <c r="AZ63" s="8"/>
      <c r="BA63" s="8"/>
      <c r="BB63" s="8"/>
      <c r="BC63" s="83"/>
      <c r="BD63" s="125"/>
      <c r="BE63" s="8"/>
      <c r="BF63" s="8"/>
      <c r="BG63" s="8"/>
      <c r="BH63" s="8"/>
      <c r="BI63" s="8"/>
      <c r="BJ63" s="8"/>
      <c r="BK63" s="8"/>
      <c r="BL63" s="8"/>
      <c r="BM63" s="8"/>
      <c r="BN63" s="8"/>
      <c r="BO63" s="8"/>
      <c r="BP63" s="8"/>
      <c r="BQ63" s="8"/>
      <c r="BR63" s="8"/>
      <c r="BS63" s="8"/>
      <c r="BT63" s="8"/>
      <c r="BU63" s="8"/>
      <c r="BV63" s="8"/>
      <c r="BW63" s="8"/>
      <c r="BX63" s="8"/>
      <c r="BY63" s="8"/>
      <c r="BZ63" s="8"/>
      <c r="CA63" s="83"/>
    </row>
    <row r="64" spans="1:79" ht="15.6" customHeight="1" x14ac:dyDescent="0.25">
      <c r="A64" s="7"/>
      <c r="B64" s="8"/>
      <c r="C64" s="8"/>
      <c r="D64" s="8"/>
      <c r="E64" s="8"/>
      <c r="F64" s="8"/>
      <c r="G64" s="83"/>
      <c r="H64" s="125"/>
      <c r="I64" s="8"/>
      <c r="J64" s="9"/>
      <c r="K64" s="8"/>
      <c r="L64" s="8"/>
      <c r="M64" s="83"/>
      <c r="N64" s="8"/>
      <c r="O64" s="83"/>
      <c r="P64" s="125"/>
      <c r="Q64" s="8"/>
      <c r="R64" s="8"/>
      <c r="S64" s="8"/>
      <c r="T64" s="83"/>
      <c r="U64" s="8"/>
      <c r="V64" s="8"/>
      <c r="W64" s="8"/>
      <c r="X64" s="8"/>
      <c r="Y64" s="8"/>
      <c r="Z64" s="8"/>
      <c r="AA64" s="8"/>
      <c r="AB64" s="125"/>
      <c r="AC64" s="8"/>
      <c r="AD64" s="8"/>
      <c r="AE64" s="8"/>
      <c r="AF64" s="83"/>
      <c r="AG64" s="125"/>
      <c r="AH64" s="8"/>
      <c r="AI64" s="8"/>
      <c r="AJ64" s="8"/>
      <c r="AK64" s="83"/>
      <c r="AL64" s="125"/>
      <c r="AM64" s="8"/>
      <c r="AN64" s="8"/>
      <c r="AO64" s="8"/>
      <c r="AP64" s="83"/>
      <c r="AQ64" s="125"/>
      <c r="AR64" s="8"/>
      <c r="AS64" s="8"/>
      <c r="AT64" s="8"/>
      <c r="AU64" s="8"/>
      <c r="AV64" s="8"/>
      <c r="AW64" s="8"/>
      <c r="AX64" s="8"/>
      <c r="AY64" s="8"/>
      <c r="AZ64" s="8"/>
      <c r="BA64" s="8"/>
      <c r="BB64" s="8"/>
      <c r="BC64" s="83"/>
      <c r="BD64" s="125"/>
      <c r="BE64" s="8"/>
      <c r="BF64" s="8"/>
      <c r="BG64" s="8"/>
      <c r="BH64" s="8"/>
      <c r="BI64" s="8"/>
      <c r="BJ64" s="8"/>
      <c r="BK64" s="8"/>
      <c r="BL64" s="8"/>
      <c r="BM64" s="8"/>
      <c r="BN64" s="8"/>
      <c r="BO64" s="8"/>
      <c r="BP64" s="8"/>
      <c r="BQ64" s="8"/>
      <c r="BR64" s="8"/>
      <c r="BS64" s="8"/>
      <c r="BT64" s="8"/>
      <c r="BU64" s="8"/>
      <c r="BV64" s="8"/>
      <c r="BW64" s="8"/>
      <c r="BX64" s="8"/>
      <c r="BY64" s="8"/>
      <c r="BZ64" s="8"/>
      <c r="CA64" s="83"/>
    </row>
    <row r="65" spans="1:79" ht="15.6" customHeight="1" x14ac:dyDescent="0.25">
      <c r="A65" s="7"/>
      <c r="B65" s="8"/>
      <c r="C65" s="8"/>
      <c r="D65" s="8"/>
      <c r="E65" s="8"/>
      <c r="F65" s="8"/>
      <c r="G65" s="83"/>
      <c r="H65" s="125"/>
      <c r="I65" s="8"/>
      <c r="J65" s="9"/>
      <c r="K65" s="8"/>
      <c r="L65" s="8"/>
      <c r="M65" s="83"/>
      <c r="N65" s="8"/>
      <c r="O65" s="83"/>
      <c r="P65" s="125"/>
      <c r="Q65" s="8"/>
      <c r="R65" s="8"/>
      <c r="S65" s="8"/>
      <c r="T65" s="83"/>
      <c r="U65" s="8"/>
      <c r="V65" s="8"/>
      <c r="W65" s="8"/>
      <c r="X65" s="8"/>
      <c r="Y65" s="8"/>
      <c r="Z65" s="8"/>
      <c r="AA65" s="8"/>
      <c r="AB65" s="125"/>
      <c r="AC65" s="8"/>
      <c r="AD65" s="8"/>
      <c r="AE65" s="8"/>
      <c r="AF65" s="83"/>
      <c r="AG65" s="125"/>
      <c r="AH65" s="8"/>
      <c r="AI65" s="8"/>
      <c r="AJ65" s="8"/>
      <c r="AK65" s="83"/>
      <c r="AL65" s="125"/>
      <c r="AM65" s="8"/>
      <c r="AN65" s="8"/>
      <c r="AO65" s="8"/>
      <c r="AP65" s="83"/>
      <c r="AQ65" s="125"/>
      <c r="AR65" s="8"/>
      <c r="AS65" s="8"/>
      <c r="AT65" s="8"/>
      <c r="AU65" s="8"/>
      <c r="AV65" s="8"/>
      <c r="AW65" s="8"/>
      <c r="AX65" s="8"/>
      <c r="AY65" s="8"/>
      <c r="AZ65" s="8"/>
      <c r="BA65" s="8"/>
      <c r="BB65" s="8"/>
      <c r="BC65" s="83"/>
      <c r="BD65" s="125"/>
      <c r="BE65" s="8"/>
      <c r="BF65" s="8"/>
      <c r="BG65" s="8"/>
      <c r="BH65" s="8"/>
      <c r="BI65" s="8"/>
      <c r="BJ65" s="8"/>
      <c r="BK65" s="8"/>
      <c r="BL65" s="8"/>
      <c r="BM65" s="8"/>
      <c r="BN65" s="8"/>
      <c r="BO65" s="8"/>
      <c r="BP65" s="8"/>
      <c r="BQ65" s="8"/>
      <c r="BR65" s="8"/>
      <c r="BS65" s="8"/>
      <c r="BT65" s="8"/>
      <c r="BU65" s="8"/>
      <c r="BV65" s="8"/>
      <c r="BW65" s="8"/>
      <c r="BX65" s="8"/>
      <c r="BY65" s="8"/>
      <c r="BZ65" s="8"/>
      <c r="CA65" s="83"/>
    </row>
    <row r="66" spans="1:79" ht="15.6" customHeight="1" x14ac:dyDescent="0.25">
      <c r="A66" s="7"/>
      <c r="B66" s="8"/>
      <c r="C66" s="8"/>
      <c r="D66" s="8"/>
      <c r="E66" s="8"/>
      <c r="F66" s="8"/>
      <c r="G66" s="83"/>
      <c r="H66" s="125"/>
      <c r="I66" s="8"/>
      <c r="J66" s="9"/>
      <c r="K66" s="8"/>
      <c r="L66" s="8"/>
      <c r="M66" s="83"/>
      <c r="N66" s="8"/>
      <c r="O66" s="83"/>
      <c r="P66" s="125"/>
      <c r="Q66" s="8"/>
      <c r="R66" s="8"/>
      <c r="S66" s="8"/>
      <c r="T66" s="83"/>
      <c r="U66" s="8"/>
      <c r="V66" s="8"/>
      <c r="W66" s="8"/>
      <c r="X66" s="8"/>
      <c r="Y66" s="8"/>
      <c r="Z66" s="8"/>
      <c r="AA66" s="8"/>
      <c r="AB66" s="125"/>
      <c r="AC66" s="8"/>
      <c r="AD66" s="8"/>
      <c r="AE66" s="8"/>
      <c r="AF66" s="83"/>
      <c r="AG66" s="125"/>
      <c r="AH66" s="8"/>
      <c r="AI66" s="8"/>
      <c r="AJ66" s="8"/>
      <c r="AK66" s="83"/>
      <c r="AL66" s="125"/>
      <c r="AM66" s="8"/>
      <c r="AN66" s="8"/>
      <c r="AO66" s="8"/>
      <c r="AP66" s="83"/>
      <c r="AQ66" s="125"/>
      <c r="AR66" s="8"/>
      <c r="AS66" s="8"/>
      <c r="AT66" s="8"/>
      <c r="AU66" s="8"/>
      <c r="AV66" s="8"/>
      <c r="AW66" s="8"/>
      <c r="AX66" s="8"/>
      <c r="AY66" s="8"/>
      <c r="AZ66" s="8"/>
      <c r="BA66" s="8"/>
      <c r="BB66" s="8"/>
      <c r="BC66" s="83"/>
      <c r="BD66" s="125"/>
      <c r="BE66" s="8"/>
      <c r="BF66" s="8"/>
      <c r="BG66" s="8"/>
      <c r="BH66" s="8"/>
      <c r="BI66" s="8"/>
      <c r="BJ66" s="8"/>
      <c r="BK66" s="8"/>
      <c r="BL66" s="8"/>
      <c r="BM66" s="8"/>
      <c r="BN66" s="8"/>
      <c r="BO66" s="8"/>
      <c r="BP66" s="8"/>
      <c r="BQ66" s="8"/>
      <c r="BR66" s="8"/>
      <c r="BS66" s="8"/>
      <c r="BT66" s="8"/>
      <c r="BU66" s="8"/>
      <c r="BV66" s="8"/>
      <c r="BW66" s="8"/>
      <c r="BX66" s="8"/>
      <c r="BY66" s="8"/>
      <c r="BZ66" s="8"/>
      <c r="CA66" s="83"/>
    </row>
    <row r="67" spans="1:79" ht="15.6" customHeight="1" x14ac:dyDescent="0.25">
      <c r="A67" s="7"/>
      <c r="B67" s="8"/>
      <c r="C67" s="8"/>
      <c r="D67" s="8"/>
      <c r="E67" s="8"/>
      <c r="F67" s="8"/>
      <c r="G67" s="83"/>
      <c r="H67" s="125"/>
      <c r="I67" s="8"/>
      <c r="J67" s="9"/>
      <c r="K67" s="8"/>
      <c r="L67" s="8"/>
      <c r="M67" s="83"/>
      <c r="N67" s="8"/>
      <c r="O67" s="83"/>
      <c r="P67" s="125"/>
      <c r="Q67" s="8"/>
      <c r="R67" s="8"/>
      <c r="S67" s="8"/>
      <c r="T67" s="83"/>
      <c r="U67" s="8"/>
      <c r="V67" s="8"/>
      <c r="W67" s="8"/>
      <c r="X67" s="8"/>
      <c r="Y67" s="8"/>
      <c r="Z67" s="8"/>
      <c r="AA67" s="8"/>
      <c r="AB67" s="125"/>
      <c r="AC67" s="8"/>
      <c r="AD67" s="8"/>
      <c r="AE67" s="8"/>
      <c r="AF67" s="83"/>
      <c r="AG67" s="125"/>
      <c r="AH67" s="8"/>
      <c r="AI67" s="8"/>
      <c r="AJ67" s="8"/>
      <c r="AK67" s="83"/>
      <c r="AL67" s="125"/>
      <c r="AM67" s="8"/>
      <c r="AN67" s="8"/>
      <c r="AO67" s="8"/>
      <c r="AP67" s="83"/>
      <c r="AQ67" s="125"/>
      <c r="AR67" s="8"/>
      <c r="AS67" s="8"/>
      <c r="AT67" s="8"/>
      <c r="AU67" s="8"/>
      <c r="AV67" s="8"/>
      <c r="AW67" s="8"/>
      <c r="AX67" s="8"/>
      <c r="AY67" s="8"/>
      <c r="AZ67" s="8"/>
      <c r="BA67" s="8"/>
      <c r="BB67" s="8"/>
      <c r="BC67" s="83"/>
      <c r="BD67" s="125"/>
      <c r="BE67" s="8"/>
      <c r="BF67" s="8"/>
      <c r="BG67" s="8"/>
      <c r="BH67" s="8"/>
      <c r="BI67" s="8"/>
      <c r="BJ67" s="8"/>
      <c r="BK67" s="8"/>
      <c r="BL67" s="8"/>
      <c r="BM67" s="8"/>
      <c r="BN67" s="8"/>
      <c r="BO67" s="8"/>
      <c r="BP67" s="8"/>
      <c r="BQ67" s="8"/>
      <c r="BR67" s="8"/>
      <c r="BS67" s="8"/>
      <c r="BT67" s="8"/>
      <c r="BU67" s="8"/>
      <c r="BV67" s="8"/>
      <c r="BW67" s="8"/>
      <c r="BX67" s="8"/>
      <c r="BY67" s="8"/>
      <c r="BZ67" s="8"/>
      <c r="CA67" s="83"/>
    </row>
    <row r="68" spans="1:79" ht="15.6" customHeight="1" x14ac:dyDescent="0.25">
      <c r="A68" s="7"/>
      <c r="B68" s="8"/>
      <c r="C68" s="8"/>
      <c r="D68" s="8"/>
      <c r="E68" s="8"/>
      <c r="F68" s="8"/>
      <c r="G68" s="83"/>
      <c r="H68" s="125"/>
      <c r="I68" s="8"/>
      <c r="J68" s="9"/>
      <c r="K68" s="8"/>
      <c r="L68" s="8"/>
      <c r="M68" s="83"/>
      <c r="N68" s="8"/>
      <c r="O68" s="83"/>
      <c r="P68" s="125"/>
      <c r="Q68" s="8"/>
      <c r="R68" s="8"/>
      <c r="S68" s="8"/>
      <c r="T68" s="83"/>
      <c r="U68" s="8"/>
      <c r="V68" s="8"/>
      <c r="W68" s="8"/>
      <c r="X68" s="8"/>
      <c r="Y68" s="8"/>
      <c r="Z68" s="8"/>
      <c r="AA68" s="8"/>
      <c r="AB68" s="125"/>
      <c r="AC68" s="8"/>
      <c r="AD68" s="8"/>
      <c r="AE68" s="8"/>
      <c r="AF68" s="83"/>
      <c r="AG68" s="125"/>
      <c r="AH68" s="8"/>
      <c r="AI68" s="8"/>
      <c r="AJ68" s="8"/>
      <c r="AK68" s="83"/>
      <c r="AL68" s="125"/>
      <c r="AM68" s="8"/>
      <c r="AN68" s="8"/>
      <c r="AO68" s="8"/>
      <c r="AP68" s="83"/>
      <c r="AQ68" s="125"/>
      <c r="AR68" s="8"/>
      <c r="AS68" s="8"/>
      <c r="AT68" s="8"/>
      <c r="AU68" s="8"/>
      <c r="AV68" s="8"/>
      <c r="AW68" s="8"/>
      <c r="AX68" s="8"/>
      <c r="AY68" s="8"/>
      <c r="AZ68" s="8"/>
      <c r="BA68" s="8"/>
      <c r="BB68" s="8"/>
      <c r="BC68" s="83"/>
      <c r="BD68" s="125"/>
      <c r="BE68" s="8"/>
      <c r="BF68" s="8"/>
      <c r="BG68" s="8"/>
      <c r="BH68" s="8"/>
      <c r="BI68" s="8"/>
      <c r="BJ68" s="8"/>
      <c r="BK68" s="8"/>
      <c r="BL68" s="8"/>
      <c r="BM68" s="8"/>
      <c r="BN68" s="8"/>
      <c r="BO68" s="8"/>
      <c r="BP68" s="8"/>
      <c r="BQ68" s="8"/>
      <c r="BR68" s="8"/>
      <c r="BS68" s="8"/>
      <c r="BT68" s="8"/>
      <c r="BU68" s="8"/>
      <c r="BV68" s="8"/>
      <c r="BW68" s="8"/>
      <c r="BX68" s="8"/>
      <c r="BY68" s="8"/>
      <c r="BZ68" s="8"/>
      <c r="CA68" s="83"/>
    </row>
    <row r="69" spans="1:79" ht="15.6" customHeight="1" x14ac:dyDescent="0.25">
      <c r="A69" s="7"/>
      <c r="B69" s="8"/>
      <c r="C69" s="8"/>
      <c r="D69" s="8"/>
      <c r="E69" s="8"/>
      <c r="F69" s="8"/>
      <c r="G69" s="83"/>
      <c r="H69" s="125"/>
      <c r="I69" s="8"/>
      <c r="J69" s="9"/>
      <c r="K69" s="8"/>
      <c r="L69" s="8"/>
      <c r="M69" s="83"/>
      <c r="N69" s="8"/>
      <c r="O69" s="83"/>
      <c r="P69" s="125"/>
      <c r="Q69" s="8"/>
      <c r="R69" s="8"/>
      <c r="S69" s="8"/>
      <c r="T69" s="83"/>
      <c r="U69" s="8"/>
      <c r="V69" s="8"/>
      <c r="W69" s="8"/>
      <c r="X69" s="8"/>
      <c r="Y69" s="8"/>
      <c r="Z69" s="8"/>
      <c r="AA69" s="8"/>
      <c r="AB69" s="125"/>
      <c r="AC69" s="8"/>
      <c r="AD69" s="8"/>
      <c r="AE69" s="8"/>
      <c r="AF69" s="83"/>
      <c r="AG69" s="125"/>
      <c r="AH69" s="8"/>
      <c r="AI69" s="8"/>
      <c r="AJ69" s="8"/>
      <c r="AK69" s="83"/>
      <c r="AL69" s="125"/>
      <c r="AM69" s="8"/>
      <c r="AN69" s="8"/>
      <c r="AO69" s="8"/>
      <c r="AP69" s="83"/>
      <c r="AQ69" s="125"/>
      <c r="AR69" s="8"/>
      <c r="AS69" s="8"/>
      <c r="AT69" s="8"/>
      <c r="AU69" s="8"/>
      <c r="AV69" s="8"/>
      <c r="AW69" s="8"/>
      <c r="AX69" s="8"/>
      <c r="AY69" s="8"/>
      <c r="AZ69" s="8"/>
      <c r="BA69" s="8"/>
      <c r="BB69" s="8"/>
      <c r="BC69" s="83"/>
      <c r="BD69" s="125"/>
      <c r="BE69" s="8"/>
      <c r="BF69" s="8"/>
      <c r="BG69" s="8"/>
      <c r="BH69" s="8"/>
      <c r="BI69" s="8"/>
      <c r="BJ69" s="8"/>
      <c r="BK69" s="8"/>
      <c r="BL69" s="8"/>
      <c r="BM69" s="8"/>
      <c r="BN69" s="8"/>
      <c r="BO69" s="8"/>
      <c r="BP69" s="8"/>
      <c r="BQ69" s="8"/>
      <c r="BR69" s="8"/>
      <c r="BS69" s="8"/>
      <c r="BT69" s="8"/>
      <c r="BU69" s="8"/>
      <c r="BV69" s="8"/>
      <c r="BW69" s="8"/>
      <c r="BX69" s="8"/>
      <c r="BY69" s="8"/>
      <c r="BZ69" s="8"/>
      <c r="CA69" s="83"/>
    </row>
    <row r="70" spans="1:79" ht="15.6" customHeight="1" x14ac:dyDescent="0.25">
      <c r="A70" s="7"/>
      <c r="B70" s="8"/>
      <c r="C70" s="8"/>
      <c r="D70" s="8"/>
      <c r="E70" s="8"/>
      <c r="F70" s="8"/>
      <c r="G70" s="83"/>
      <c r="H70" s="125"/>
      <c r="I70" s="8"/>
      <c r="J70" s="9"/>
      <c r="K70" s="8"/>
      <c r="L70" s="8"/>
      <c r="M70" s="83"/>
      <c r="N70" s="8"/>
      <c r="O70" s="83"/>
      <c r="P70" s="125"/>
      <c r="Q70" s="8"/>
      <c r="R70" s="8"/>
      <c r="S70" s="8"/>
      <c r="T70" s="83"/>
      <c r="U70" s="8"/>
      <c r="V70" s="8"/>
      <c r="W70" s="8"/>
      <c r="X70" s="8"/>
      <c r="Y70" s="8"/>
      <c r="Z70" s="8"/>
      <c r="AA70" s="8"/>
      <c r="AB70" s="125"/>
      <c r="AC70" s="8"/>
      <c r="AD70" s="8"/>
      <c r="AE70" s="8"/>
      <c r="AF70" s="83"/>
      <c r="AG70" s="125"/>
      <c r="AH70" s="8"/>
      <c r="AI70" s="8"/>
      <c r="AJ70" s="8"/>
      <c r="AK70" s="83"/>
      <c r="AL70" s="125"/>
      <c r="AM70" s="8"/>
      <c r="AN70" s="8"/>
      <c r="AO70" s="8"/>
      <c r="AP70" s="83"/>
      <c r="AQ70" s="125"/>
      <c r="AR70" s="8"/>
      <c r="AS70" s="8"/>
      <c r="AT70" s="8"/>
      <c r="AU70" s="8"/>
      <c r="AV70" s="8"/>
      <c r="AW70" s="8"/>
      <c r="AX70" s="8"/>
      <c r="AY70" s="8"/>
      <c r="AZ70" s="8"/>
      <c r="BA70" s="8"/>
      <c r="BB70" s="8"/>
      <c r="BC70" s="83"/>
      <c r="BD70" s="125"/>
      <c r="BE70" s="8"/>
      <c r="BF70" s="8"/>
      <c r="BG70" s="8"/>
      <c r="BH70" s="8"/>
      <c r="BI70" s="8"/>
      <c r="BJ70" s="8"/>
      <c r="BK70" s="8"/>
      <c r="BL70" s="8"/>
      <c r="BM70" s="8"/>
      <c r="BN70" s="8"/>
      <c r="BO70" s="8"/>
      <c r="BP70" s="8"/>
      <c r="BQ70" s="8"/>
      <c r="BR70" s="8"/>
      <c r="BS70" s="8"/>
      <c r="BT70" s="8"/>
      <c r="BU70" s="8"/>
      <c r="BV70" s="8"/>
      <c r="BW70" s="8"/>
      <c r="BX70" s="8"/>
      <c r="BY70" s="8"/>
      <c r="BZ70" s="8"/>
      <c r="CA70" s="83"/>
    </row>
    <row r="71" spans="1:79" ht="15.6" customHeight="1" x14ac:dyDescent="0.25">
      <c r="A71" s="7"/>
      <c r="B71" s="8"/>
      <c r="C71" s="8"/>
      <c r="D71" s="8"/>
      <c r="E71" s="8"/>
      <c r="F71" s="8"/>
      <c r="G71" s="83"/>
      <c r="H71" s="125"/>
      <c r="I71" s="8"/>
      <c r="J71" s="9"/>
      <c r="K71" s="8"/>
      <c r="L71" s="8"/>
      <c r="M71" s="83"/>
      <c r="N71" s="8"/>
      <c r="O71" s="83"/>
      <c r="P71" s="125"/>
      <c r="Q71" s="8"/>
      <c r="R71" s="8"/>
      <c r="S71" s="8"/>
      <c r="T71" s="83"/>
      <c r="U71" s="8"/>
      <c r="V71" s="8"/>
      <c r="W71" s="8"/>
      <c r="X71" s="8"/>
      <c r="Y71" s="8"/>
      <c r="Z71" s="8"/>
      <c r="AA71" s="8"/>
      <c r="AB71" s="125"/>
      <c r="AC71" s="8"/>
      <c r="AD71" s="8"/>
      <c r="AE71" s="8"/>
      <c r="AF71" s="83"/>
      <c r="AG71" s="125"/>
      <c r="AH71" s="8"/>
      <c r="AI71" s="8"/>
      <c r="AJ71" s="8"/>
      <c r="AK71" s="83"/>
      <c r="AL71" s="125"/>
      <c r="AM71" s="8"/>
      <c r="AN71" s="8"/>
      <c r="AO71" s="8"/>
      <c r="AP71" s="83"/>
      <c r="AQ71" s="125"/>
      <c r="AR71" s="8"/>
      <c r="AS71" s="8"/>
      <c r="AT71" s="8"/>
      <c r="AU71" s="8"/>
      <c r="AV71" s="8"/>
      <c r="AW71" s="8"/>
      <c r="AX71" s="8"/>
      <c r="AY71" s="8"/>
      <c r="AZ71" s="8"/>
      <c r="BA71" s="8"/>
      <c r="BB71" s="8"/>
      <c r="BC71" s="83"/>
      <c r="BD71" s="125"/>
      <c r="BE71" s="8"/>
      <c r="BF71" s="8"/>
      <c r="BG71" s="8"/>
      <c r="BH71" s="8"/>
      <c r="BI71" s="8"/>
      <c r="BJ71" s="8"/>
      <c r="BK71" s="8"/>
      <c r="BL71" s="8"/>
      <c r="BM71" s="8"/>
      <c r="BN71" s="8"/>
      <c r="BO71" s="8"/>
      <c r="BP71" s="8"/>
      <c r="BQ71" s="8"/>
      <c r="BR71" s="8"/>
      <c r="BS71" s="8"/>
      <c r="BT71" s="8"/>
      <c r="BU71" s="8"/>
      <c r="BV71" s="8"/>
      <c r="BW71" s="8"/>
      <c r="BX71" s="8"/>
      <c r="BY71" s="8"/>
      <c r="BZ71" s="8"/>
      <c r="CA71" s="83"/>
    </row>
    <row r="72" spans="1:79" ht="15.6" customHeight="1" x14ac:dyDescent="0.25">
      <c r="A72" s="7"/>
      <c r="B72" s="8"/>
      <c r="C72" s="8"/>
      <c r="D72" s="8"/>
      <c r="E72" s="8"/>
      <c r="F72" s="8"/>
      <c r="G72" s="83"/>
      <c r="H72" s="125"/>
      <c r="I72" s="8"/>
      <c r="J72" s="9"/>
      <c r="K72" s="8"/>
      <c r="L72" s="8"/>
      <c r="M72" s="83"/>
      <c r="N72" s="8"/>
      <c r="O72" s="83"/>
      <c r="P72" s="125"/>
      <c r="Q72" s="8"/>
      <c r="R72" s="8"/>
      <c r="S72" s="8"/>
      <c r="T72" s="83"/>
      <c r="U72" s="8"/>
      <c r="V72" s="8"/>
      <c r="W72" s="8"/>
      <c r="X72" s="8"/>
      <c r="Y72" s="8"/>
      <c r="Z72" s="8"/>
      <c r="AA72" s="8"/>
      <c r="AB72" s="125"/>
      <c r="AC72" s="8"/>
      <c r="AD72" s="8"/>
      <c r="AE72" s="8"/>
      <c r="AF72" s="83"/>
      <c r="AG72" s="125"/>
      <c r="AH72" s="8"/>
      <c r="AI72" s="8"/>
      <c r="AJ72" s="8"/>
      <c r="AK72" s="83"/>
      <c r="AL72" s="125"/>
      <c r="AM72" s="8"/>
      <c r="AN72" s="8"/>
      <c r="AO72" s="8"/>
      <c r="AP72" s="83"/>
      <c r="AQ72" s="125"/>
      <c r="AR72" s="8"/>
      <c r="AS72" s="8"/>
      <c r="AT72" s="8"/>
      <c r="AU72" s="8"/>
      <c r="AV72" s="8"/>
      <c r="AW72" s="8"/>
      <c r="AX72" s="8"/>
      <c r="AY72" s="8"/>
      <c r="AZ72" s="8"/>
      <c r="BA72" s="8"/>
      <c r="BB72" s="8"/>
      <c r="BC72" s="83"/>
      <c r="BD72" s="125"/>
      <c r="BE72" s="8"/>
      <c r="BF72" s="8"/>
      <c r="BG72" s="8"/>
      <c r="BH72" s="8"/>
      <c r="BI72" s="8"/>
      <c r="BJ72" s="8"/>
      <c r="BK72" s="8"/>
      <c r="BL72" s="8"/>
      <c r="BM72" s="8"/>
      <c r="BN72" s="8"/>
      <c r="BO72" s="8"/>
      <c r="BP72" s="8"/>
      <c r="BQ72" s="8"/>
      <c r="BR72" s="8"/>
      <c r="BS72" s="8"/>
      <c r="BT72" s="8"/>
      <c r="BU72" s="8"/>
      <c r="BV72" s="8"/>
      <c r="BW72" s="8"/>
      <c r="BX72" s="8"/>
      <c r="BY72" s="8"/>
      <c r="BZ72" s="8"/>
      <c r="CA72" s="83"/>
    </row>
    <row r="73" spans="1:79" ht="15.6" customHeight="1" x14ac:dyDescent="0.25">
      <c r="A73" s="7"/>
      <c r="B73" s="8"/>
      <c r="C73" s="8"/>
      <c r="D73" s="8"/>
      <c r="E73" s="8"/>
      <c r="F73" s="8"/>
      <c r="G73" s="83"/>
      <c r="H73" s="125"/>
      <c r="I73" s="8"/>
      <c r="J73" s="9"/>
      <c r="K73" s="8"/>
      <c r="L73" s="8"/>
      <c r="M73" s="83"/>
      <c r="N73" s="8"/>
      <c r="O73" s="83"/>
      <c r="P73" s="125"/>
      <c r="Q73" s="8"/>
      <c r="R73" s="8"/>
      <c r="S73" s="8"/>
      <c r="T73" s="83"/>
      <c r="U73" s="8"/>
      <c r="V73" s="8"/>
      <c r="W73" s="8"/>
      <c r="X73" s="8"/>
      <c r="Y73" s="8"/>
      <c r="Z73" s="8"/>
      <c r="AA73" s="8"/>
      <c r="AB73" s="125"/>
      <c r="AC73" s="8"/>
      <c r="AD73" s="8"/>
      <c r="AE73" s="8"/>
      <c r="AF73" s="83"/>
      <c r="AG73" s="125"/>
      <c r="AH73" s="8"/>
      <c r="AI73" s="8"/>
      <c r="AJ73" s="8"/>
      <c r="AK73" s="83"/>
      <c r="AL73" s="125"/>
      <c r="AM73" s="8"/>
      <c r="AN73" s="8"/>
      <c r="AO73" s="8"/>
      <c r="AP73" s="83"/>
      <c r="AQ73" s="125"/>
      <c r="AR73" s="8"/>
      <c r="AS73" s="8"/>
      <c r="AT73" s="8"/>
      <c r="AU73" s="8"/>
      <c r="AV73" s="8"/>
      <c r="AW73" s="8"/>
      <c r="AX73" s="8"/>
      <c r="AY73" s="8"/>
      <c r="AZ73" s="8"/>
      <c r="BA73" s="8"/>
      <c r="BB73" s="8"/>
      <c r="BC73" s="83"/>
      <c r="BD73" s="125"/>
      <c r="BE73" s="8"/>
      <c r="BF73" s="8"/>
      <c r="BG73" s="8"/>
      <c r="BH73" s="8"/>
      <c r="BI73" s="8"/>
      <c r="BJ73" s="8"/>
      <c r="BK73" s="8"/>
      <c r="BL73" s="8"/>
      <c r="BM73" s="8"/>
      <c r="BN73" s="8"/>
      <c r="BO73" s="8"/>
      <c r="BP73" s="8"/>
      <c r="BQ73" s="8"/>
      <c r="BR73" s="8"/>
      <c r="BS73" s="8"/>
      <c r="BT73" s="8"/>
      <c r="BU73" s="8"/>
      <c r="BV73" s="8"/>
      <c r="BW73" s="8"/>
      <c r="BX73" s="8"/>
      <c r="BY73" s="8"/>
      <c r="BZ73" s="8"/>
      <c r="CA73" s="83"/>
    </row>
    <row r="74" spans="1:79" ht="15.6" customHeight="1" x14ac:dyDescent="0.25">
      <c r="A74" s="7"/>
      <c r="B74" s="8"/>
      <c r="C74" s="8"/>
      <c r="D74" s="8"/>
      <c r="E74" s="8"/>
      <c r="F74" s="8"/>
      <c r="G74" s="83"/>
      <c r="H74" s="125"/>
      <c r="I74" s="8"/>
      <c r="J74" s="9"/>
      <c r="K74" s="8"/>
      <c r="L74" s="8"/>
      <c r="M74" s="83"/>
      <c r="N74" s="8"/>
      <c r="O74" s="83"/>
      <c r="P74" s="125"/>
      <c r="Q74" s="8"/>
      <c r="R74" s="8"/>
      <c r="S74" s="8"/>
      <c r="T74" s="83"/>
      <c r="U74" s="8"/>
      <c r="V74" s="8"/>
      <c r="W74" s="8"/>
      <c r="X74" s="8"/>
      <c r="Y74" s="8"/>
      <c r="Z74" s="8"/>
      <c r="AA74" s="8"/>
      <c r="AB74" s="125"/>
      <c r="AC74" s="8"/>
      <c r="AD74" s="8"/>
      <c r="AE74" s="8"/>
      <c r="AF74" s="83"/>
      <c r="AG74" s="125"/>
      <c r="AH74" s="8"/>
      <c r="AI74" s="8"/>
      <c r="AJ74" s="8"/>
      <c r="AK74" s="83"/>
      <c r="AL74" s="125"/>
      <c r="AM74" s="8"/>
      <c r="AN74" s="8"/>
      <c r="AO74" s="8"/>
      <c r="AP74" s="83"/>
      <c r="AQ74" s="125"/>
      <c r="AR74" s="8"/>
      <c r="AS74" s="8"/>
      <c r="AT74" s="8"/>
      <c r="AU74" s="8"/>
      <c r="AV74" s="8"/>
      <c r="AW74" s="8"/>
      <c r="AX74" s="8"/>
      <c r="AY74" s="8"/>
      <c r="AZ74" s="8"/>
      <c r="BA74" s="8"/>
      <c r="BB74" s="8"/>
      <c r="BC74" s="83"/>
      <c r="BD74" s="125"/>
      <c r="BE74" s="8"/>
      <c r="BF74" s="8"/>
      <c r="BG74" s="8"/>
      <c r="BH74" s="8"/>
      <c r="BI74" s="8"/>
      <c r="BJ74" s="8"/>
      <c r="BK74" s="8"/>
      <c r="BL74" s="8"/>
      <c r="BM74" s="8"/>
      <c r="BN74" s="8"/>
      <c r="BO74" s="8"/>
      <c r="BP74" s="8"/>
      <c r="BQ74" s="8"/>
      <c r="BR74" s="8"/>
      <c r="BS74" s="8"/>
      <c r="BT74" s="8"/>
      <c r="BU74" s="8"/>
      <c r="BV74" s="8"/>
      <c r="BW74" s="8"/>
      <c r="BX74" s="8"/>
      <c r="BY74" s="8"/>
      <c r="BZ74" s="8"/>
      <c r="CA74" s="83"/>
    </row>
    <row r="75" spans="1:79" ht="15.6" customHeight="1" x14ac:dyDescent="0.25">
      <c r="A75" s="7"/>
      <c r="B75" s="8"/>
      <c r="C75" s="8"/>
      <c r="D75" s="8"/>
      <c r="E75" s="8"/>
      <c r="F75" s="8"/>
      <c r="G75" s="83"/>
      <c r="H75" s="125"/>
      <c r="I75" s="8"/>
      <c r="J75" s="9"/>
      <c r="K75" s="8"/>
      <c r="L75" s="8"/>
      <c r="M75" s="83"/>
      <c r="N75" s="8"/>
      <c r="O75" s="83"/>
      <c r="P75" s="125"/>
      <c r="Q75" s="8"/>
      <c r="R75" s="8"/>
      <c r="S75" s="8"/>
      <c r="T75" s="83"/>
      <c r="U75" s="8"/>
      <c r="V75" s="8"/>
      <c r="W75" s="8"/>
      <c r="X75" s="8"/>
      <c r="Y75" s="8"/>
      <c r="Z75" s="8"/>
      <c r="AA75" s="8"/>
      <c r="AB75" s="125"/>
      <c r="AC75" s="8"/>
      <c r="AD75" s="8"/>
      <c r="AE75" s="8"/>
      <c r="AF75" s="83"/>
      <c r="AG75" s="125"/>
      <c r="AH75" s="8"/>
      <c r="AI75" s="8"/>
      <c r="AJ75" s="8"/>
      <c r="AK75" s="83"/>
      <c r="AL75" s="125"/>
      <c r="AM75" s="8"/>
      <c r="AN75" s="8"/>
      <c r="AO75" s="8"/>
      <c r="AP75" s="83"/>
      <c r="AQ75" s="125"/>
      <c r="AR75" s="8"/>
      <c r="AS75" s="8"/>
      <c r="AT75" s="8"/>
      <c r="AU75" s="8"/>
      <c r="AV75" s="8"/>
      <c r="AW75" s="8"/>
      <c r="AX75" s="8"/>
      <c r="AY75" s="8"/>
      <c r="AZ75" s="8"/>
      <c r="BA75" s="8"/>
      <c r="BB75" s="8"/>
      <c r="BC75" s="83"/>
      <c r="BD75" s="125"/>
      <c r="BE75" s="8"/>
      <c r="BF75" s="8"/>
      <c r="BG75" s="8"/>
      <c r="BH75" s="8"/>
      <c r="BI75" s="8"/>
      <c r="BJ75" s="8"/>
      <c r="BK75" s="8"/>
      <c r="BL75" s="8"/>
      <c r="BM75" s="8"/>
      <c r="BN75" s="8"/>
      <c r="BO75" s="8"/>
      <c r="BP75" s="8"/>
      <c r="BQ75" s="8"/>
      <c r="BR75" s="8"/>
      <c r="BS75" s="8"/>
      <c r="BT75" s="8"/>
      <c r="BU75" s="8"/>
      <c r="BV75" s="8"/>
      <c r="BW75" s="8"/>
      <c r="BX75" s="8"/>
      <c r="BY75" s="8"/>
      <c r="BZ75" s="8"/>
      <c r="CA75" s="83"/>
    </row>
    <row r="76" spans="1:79" ht="15.6" customHeight="1" x14ac:dyDescent="0.25">
      <c r="A76" s="7"/>
      <c r="B76" s="8"/>
      <c r="C76" s="8"/>
      <c r="D76" s="8"/>
      <c r="E76" s="8"/>
      <c r="F76" s="8"/>
      <c r="G76" s="83"/>
      <c r="H76" s="125"/>
      <c r="I76" s="8"/>
      <c r="J76" s="9"/>
      <c r="K76" s="8"/>
      <c r="L76" s="8"/>
      <c r="M76" s="83"/>
      <c r="N76" s="8"/>
      <c r="O76" s="83"/>
      <c r="P76" s="125"/>
      <c r="Q76" s="8"/>
      <c r="R76" s="8"/>
      <c r="S76" s="8"/>
      <c r="T76" s="83"/>
      <c r="U76" s="8"/>
      <c r="V76" s="8"/>
      <c r="W76" s="8"/>
      <c r="X76" s="8"/>
      <c r="Y76" s="8"/>
      <c r="Z76" s="8"/>
      <c r="AA76" s="8"/>
      <c r="AB76" s="125"/>
      <c r="AC76" s="8"/>
      <c r="AD76" s="8"/>
      <c r="AE76" s="8"/>
      <c r="AF76" s="83"/>
      <c r="AG76" s="125"/>
      <c r="AH76" s="8"/>
      <c r="AI76" s="8"/>
      <c r="AJ76" s="8"/>
      <c r="AK76" s="83"/>
      <c r="AL76" s="125"/>
      <c r="AM76" s="8"/>
      <c r="AN76" s="8"/>
      <c r="AO76" s="8"/>
      <c r="AP76" s="83"/>
      <c r="AQ76" s="125"/>
      <c r="AR76" s="8"/>
      <c r="AS76" s="8"/>
      <c r="AT76" s="8"/>
      <c r="AU76" s="8"/>
      <c r="AV76" s="8"/>
      <c r="AW76" s="8"/>
      <c r="AX76" s="8"/>
      <c r="AY76" s="8"/>
      <c r="AZ76" s="8"/>
      <c r="BA76" s="8"/>
      <c r="BB76" s="8"/>
      <c r="BC76" s="83"/>
      <c r="BD76" s="125"/>
      <c r="BE76" s="8"/>
      <c r="BF76" s="8"/>
      <c r="BG76" s="8"/>
      <c r="BH76" s="8"/>
      <c r="BI76" s="8"/>
      <c r="BJ76" s="8"/>
      <c r="BK76" s="8"/>
      <c r="BL76" s="8"/>
      <c r="BM76" s="8"/>
      <c r="BN76" s="8"/>
      <c r="BO76" s="8"/>
      <c r="BP76" s="8"/>
      <c r="BQ76" s="8"/>
      <c r="BR76" s="8"/>
      <c r="BS76" s="8"/>
      <c r="BT76" s="8"/>
      <c r="BU76" s="8"/>
      <c r="BV76" s="8"/>
      <c r="BW76" s="8"/>
      <c r="BX76" s="8"/>
      <c r="BY76" s="8"/>
      <c r="BZ76" s="8"/>
      <c r="CA76" s="83"/>
    </row>
    <row r="77" spans="1:79" ht="15.6" customHeight="1" x14ac:dyDescent="0.25">
      <c r="A77" s="7"/>
      <c r="B77" s="8"/>
      <c r="C77" s="8"/>
      <c r="D77" s="8"/>
      <c r="E77" s="8"/>
      <c r="F77" s="8"/>
      <c r="G77" s="83"/>
      <c r="H77" s="125"/>
      <c r="I77" s="8"/>
      <c r="J77" s="9"/>
      <c r="K77" s="8"/>
      <c r="L77" s="8"/>
      <c r="M77" s="83"/>
      <c r="N77" s="8"/>
      <c r="O77" s="83"/>
      <c r="P77" s="125"/>
      <c r="Q77" s="8"/>
      <c r="R77" s="8"/>
      <c r="S77" s="8"/>
      <c r="T77" s="83"/>
      <c r="U77" s="8"/>
      <c r="V77" s="8"/>
      <c r="W77" s="8"/>
      <c r="X77" s="8"/>
      <c r="Y77" s="8"/>
      <c r="Z77" s="8"/>
      <c r="AA77" s="8"/>
      <c r="AB77" s="125"/>
      <c r="AC77" s="8"/>
      <c r="AD77" s="8"/>
      <c r="AE77" s="8"/>
      <c r="AF77" s="83"/>
      <c r="AG77" s="125"/>
      <c r="AH77" s="8"/>
      <c r="AI77" s="8"/>
      <c r="AJ77" s="8"/>
      <c r="AK77" s="83"/>
      <c r="AL77" s="125"/>
      <c r="AM77" s="8"/>
      <c r="AN77" s="8"/>
      <c r="AO77" s="8"/>
      <c r="AP77" s="83"/>
      <c r="AQ77" s="125"/>
      <c r="AR77" s="8"/>
      <c r="AS77" s="8"/>
      <c r="AT77" s="8"/>
      <c r="AU77" s="8"/>
      <c r="AV77" s="8"/>
      <c r="AW77" s="8"/>
      <c r="AX77" s="8"/>
      <c r="AY77" s="8"/>
      <c r="AZ77" s="8"/>
      <c r="BA77" s="8"/>
      <c r="BB77" s="8"/>
      <c r="BC77" s="83"/>
      <c r="BD77" s="125"/>
      <c r="BE77" s="8"/>
      <c r="BF77" s="8"/>
      <c r="BG77" s="8"/>
      <c r="BH77" s="8"/>
      <c r="BI77" s="8"/>
      <c r="BJ77" s="8"/>
      <c r="BK77" s="8"/>
      <c r="BL77" s="8"/>
      <c r="BM77" s="8"/>
      <c r="BN77" s="8"/>
      <c r="BO77" s="8"/>
      <c r="BP77" s="8"/>
      <c r="BQ77" s="8"/>
      <c r="BR77" s="8"/>
      <c r="BS77" s="8"/>
      <c r="BT77" s="8"/>
      <c r="BU77" s="8"/>
      <c r="BV77" s="8"/>
      <c r="BW77" s="8"/>
      <c r="BX77" s="8"/>
      <c r="BY77" s="8"/>
      <c r="BZ77" s="8"/>
      <c r="CA77" s="83"/>
    </row>
    <row r="78" spans="1:79" ht="15.6" customHeight="1" x14ac:dyDescent="0.25">
      <c r="A78" s="7"/>
      <c r="B78" s="8"/>
      <c r="C78" s="8"/>
      <c r="D78" s="8"/>
      <c r="E78" s="8"/>
      <c r="F78" s="8"/>
      <c r="G78" s="83"/>
      <c r="H78" s="125"/>
      <c r="I78" s="8"/>
      <c r="J78" s="9"/>
      <c r="K78" s="8"/>
      <c r="L78" s="8"/>
      <c r="M78" s="83"/>
      <c r="N78" s="8"/>
      <c r="O78" s="83"/>
      <c r="P78" s="125"/>
      <c r="Q78" s="8"/>
      <c r="R78" s="8"/>
      <c r="S78" s="8"/>
      <c r="T78" s="83"/>
      <c r="U78" s="8"/>
      <c r="V78" s="8"/>
      <c r="W78" s="8"/>
      <c r="X78" s="8"/>
      <c r="Y78" s="8"/>
      <c r="Z78" s="8"/>
      <c r="AA78" s="8"/>
      <c r="AB78" s="125"/>
      <c r="AC78" s="8"/>
      <c r="AD78" s="8"/>
      <c r="AE78" s="8"/>
      <c r="AF78" s="83"/>
      <c r="AG78" s="125"/>
      <c r="AH78" s="8"/>
      <c r="AI78" s="8"/>
      <c r="AJ78" s="8"/>
      <c r="AK78" s="83"/>
      <c r="AL78" s="125"/>
      <c r="AM78" s="8"/>
      <c r="AN78" s="8"/>
      <c r="AO78" s="8"/>
      <c r="AP78" s="83"/>
      <c r="AQ78" s="125"/>
      <c r="AR78" s="8"/>
      <c r="AS78" s="8"/>
      <c r="AT78" s="8"/>
      <c r="AU78" s="8"/>
      <c r="AV78" s="8"/>
      <c r="AW78" s="8"/>
      <c r="AX78" s="8"/>
      <c r="AY78" s="8"/>
      <c r="AZ78" s="8"/>
      <c r="BA78" s="8"/>
      <c r="BB78" s="8"/>
      <c r="BC78" s="83"/>
      <c r="BD78" s="125"/>
      <c r="BE78" s="8"/>
      <c r="BF78" s="8"/>
      <c r="BG78" s="8"/>
      <c r="BH78" s="8"/>
      <c r="BI78" s="8"/>
      <c r="BJ78" s="8"/>
      <c r="BK78" s="8"/>
      <c r="BL78" s="8"/>
      <c r="BM78" s="8"/>
      <c r="BN78" s="8"/>
      <c r="BO78" s="8"/>
      <c r="BP78" s="8"/>
      <c r="BQ78" s="8"/>
      <c r="BR78" s="8"/>
      <c r="BS78" s="8"/>
      <c r="BT78" s="8"/>
      <c r="BU78" s="8"/>
      <c r="BV78" s="8"/>
      <c r="BW78" s="8"/>
      <c r="BX78" s="8"/>
      <c r="BY78" s="8"/>
      <c r="BZ78" s="8"/>
      <c r="CA78" s="83"/>
    </row>
    <row r="79" spans="1:79" ht="15.6" customHeight="1" x14ac:dyDescent="0.25">
      <c r="A79" s="7"/>
      <c r="B79" s="8"/>
      <c r="C79" s="8"/>
      <c r="D79" s="8"/>
      <c r="E79" s="8"/>
      <c r="F79" s="8"/>
      <c r="G79" s="83"/>
      <c r="H79" s="125"/>
      <c r="I79" s="8"/>
      <c r="J79" s="9"/>
      <c r="K79" s="8"/>
      <c r="L79" s="8"/>
      <c r="M79" s="83"/>
      <c r="N79" s="8"/>
      <c r="O79" s="83"/>
      <c r="P79" s="125"/>
      <c r="Q79" s="8"/>
      <c r="R79" s="8"/>
      <c r="S79" s="8"/>
      <c r="T79" s="83"/>
      <c r="U79" s="8"/>
      <c r="V79" s="8"/>
      <c r="W79" s="8"/>
      <c r="X79" s="8"/>
      <c r="Y79" s="8"/>
      <c r="Z79" s="8"/>
      <c r="AA79" s="8"/>
      <c r="AB79" s="125"/>
      <c r="AC79" s="8"/>
      <c r="AD79" s="8"/>
      <c r="AE79" s="8"/>
      <c r="AF79" s="83"/>
      <c r="AG79" s="125"/>
      <c r="AH79" s="8"/>
      <c r="AI79" s="8"/>
      <c r="AJ79" s="8"/>
      <c r="AK79" s="83"/>
      <c r="AL79" s="125"/>
      <c r="AM79" s="8"/>
      <c r="AN79" s="8"/>
      <c r="AO79" s="8"/>
      <c r="AP79" s="83"/>
      <c r="AQ79" s="125"/>
      <c r="AR79" s="8"/>
      <c r="AS79" s="8"/>
      <c r="AT79" s="8"/>
      <c r="AU79" s="8"/>
      <c r="AV79" s="8"/>
      <c r="AW79" s="8"/>
      <c r="AX79" s="8"/>
      <c r="AY79" s="8"/>
      <c r="AZ79" s="8"/>
      <c r="BA79" s="8"/>
      <c r="BB79" s="8"/>
      <c r="BC79" s="83"/>
      <c r="BD79" s="125"/>
      <c r="BE79" s="8"/>
      <c r="BF79" s="8"/>
      <c r="BG79" s="8"/>
      <c r="BH79" s="8"/>
      <c r="BI79" s="8"/>
      <c r="BJ79" s="8"/>
      <c r="BK79" s="8"/>
      <c r="BL79" s="8"/>
      <c r="BM79" s="8"/>
      <c r="BN79" s="8"/>
      <c r="BO79" s="8"/>
      <c r="BP79" s="8"/>
      <c r="BQ79" s="8"/>
      <c r="BR79" s="8"/>
      <c r="BS79" s="8"/>
      <c r="BT79" s="8"/>
      <c r="BU79" s="8"/>
      <c r="BV79" s="8"/>
      <c r="BW79" s="8"/>
      <c r="BX79" s="8"/>
      <c r="BY79" s="8"/>
      <c r="BZ79" s="8"/>
      <c r="CA79" s="83"/>
    </row>
    <row r="80" spans="1:79" ht="15.6" customHeight="1" x14ac:dyDescent="0.25">
      <c r="A80" s="7"/>
      <c r="B80" s="8"/>
      <c r="C80" s="8"/>
      <c r="D80" s="8"/>
      <c r="E80" s="8"/>
      <c r="F80" s="8"/>
      <c r="G80" s="83"/>
      <c r="H80" s="125"/>
      <c r="I80" s="8"/>
      <c r="J80" s="9"/>
      <c r="K80" s="8"/>
      <c r="L80" s="8"/>
      <c r="M80" s="83"/>
      <c r="N80" s="8"/>
      <c r="O80" s="83"/>
      <c r="P80" s="125"/>
      <c r="Q80" s="8"/>
      <c r="R80" s="8"/>
      <c r="S80" s="8"/>
      <c r="T80" s="83"/>
      <c r="U80" s="8"/>
      <c r="V80" s="8"/>
      <c r="W80" s="8"/>
      <c r="X80" s="8"/>
      <c r="Y80" s="8"/>
      <c r="Z80" s="8"/>
      <c r="AA80" s="8"/>
      <c r="AB80" s="125"/>
      <c r="AC80" s="8"/>
      <c r="AD80" s="8"/>
      <c r="AE80" s="8"/>
      <c r="AF80" s="83"/>
      <c r="AG80" s="125"/>
      <c r="AH80" s="8"/>
      <c r="AI80" s="8"/>
      <c r="AJ80" s="8"/>
      <c r="AK80" s="83"/>
      <c r="AL80" s="125"/>
      <c r="AM80" s="8"/>
      <c r="AN80" s="8"/>
      <c r="AO80" s="8"/>
      <c r="AP80" s="83"/>
      <c r="AQ80" s="125"/>
      <c r="AR80" s="8"/>
      <c r="AS80" s="8"/>
      <c r="AT80" s="8"/>
      <c r="AU80" s="8"/>
      <c r="AV80" s="8"/>
      <c r="AW80" s="8"/>
      <c r="AX80" s="8"/>
      <c r="AY80" s="8"/>
      <c r="AZ80" s="8"/>
      <c r="BA80" s="8"/>
      <c r="BB80" s="8"/>
      <c r="BC80" s="83"/>
      <c r="BD80" s="125"/>
      <c r="BE80" s="8"/>
      <c r="BF80" s="8"/>
      <c r="BG80" s="8"/>
      <c r="BH80" s="8"/>
      <c r="BI80" s="8"/>
      <c r="BJ80" s="8"/>
      <c r="BK80" s="8"/>
      <c r="BL80" s="8"/>
      <c r="BM80" s="8"/>
      <c r="BN80" s="8"/>
      <c r="BO80" s="8"/>
      <c r="BP80" s="8"/>
      <c r="BQ80" s="8"/>
      <c r="BR80" s="8"/>
      <c r="BS80" s="8"/>
      <c r="BT80" s="8"/>
      <c r="BU80" s="8"/>
      <c r="BV80" s="8"/>
      <c r="BW80" s="8"/>
      <c r="BX80" s="8"/>
      <c r="BY80" s="8"/>
      <c r="BZ80" s="8"/>
      <c r="CA80" s="83"/>
    </row>
    <row r="81" spans="1:220" ht="15.6" customHeight="1" x14ac:dyDescent="0.25">
      <c r="A81" s="7"/>
      <c r="B81" s="8"/>
      <c r="C81" s="8"/>
      <c r="D81" s="8"/>
      <c r="E81" s="8"/>
      <c r="F81" s="8"/>
      <c r="G81" s="83"/>
      <c r="H81" s="125"/>
      <c r="I81" s="8"/>
      <c r="J81" s="9"/>
      <c r="K81" s="8"/>
      <c r="L81" s="8"/>
      <c r="M81" s="83"/>
      <c r="N81" s="8"/>
      <c r="O81" s="83"/>
      <c r="P81" s="125"/>
      <c r="Q81" s="8"/>
      <c r="R81" s="8"/>
      <c r="S81" s="8"/>
      <c r="T81" s="83"/>
      <c r="U81" s="8"/>
      <c r="V81" s="8"/>
      <c r="W81" s="8"/>
      <c r="X81" s="8"/>
      <c r="Y81" s="8"/>
      <c r="Z81" s="8"/>
      <c r="AA81" s="8"/>
      <c r="AB81" s="125"/>
      <c r="AC81" s="8"/>
      <c r="AD81" s="8"/>
      <c r="AE81" s="8"/>
      <c r="AF81" s="83"/>
      <c r="AG81" s="125"/>
      <c r="AH81" s="8"/>
      <c r="AI81" s="8"/>
      <c r="AJ81" s="8"/>
      <c r="AK81" s="83"/>
      <c r="AL81" s="125"/>
      <c r="AM81" s="8"/>
      <c r="AN81" s="8"/>
      <c r="AO81" s="8"/>
      <c r="AP81" s="83"/>
      <c r="AQ81" s="125"/>
      <c r="AR81" s="8"/>
      <c r="AS81" s="8"/>
      <c r="AT81" s="8"/>
      <c r="AU81" s="8"/>
      <c r="AV81" s="8"/>
      <c r="AW81" s="8"/>
      <c r="AX81" s="8"/>
      <c r="AY81" s="8"/>
      <c r="AZ81" s="8"/>
      <c r="BA81" s="8"/>
      <c r="BB81" s="8"/>
      <c r="BC81" s="83"/>
      <c r="BD81" s="125"/>
      <c r="BE81" s="8"/>
      <c r="BF81" s="8"/>
      <c r="BG81" s="8"/>
      <c r="BH81" s="8"/>
      <c r="BI81" s="8"/>
      <c r="BJ81" s="8"/>
      <c r="BK81" s="8"/>
      <c r="BL81" s="8"/>
      <c r="BM81" s="8"/>
      <c r="BN81" s="8"/>
      <c r="BO81" s="8"/>
      <c r="BP81" s="8"/>
      <c r="BQ81" s="8"/>
      <c r="BR81" s="8"/>
      <c r="BS81" s="8"/>
      <c r="BT81" s="8"/>
      <c r="BU81" s="8"/>
      <c r="BV81" s="8"/>
      <c r="BW81" s="8"/>
      <c r="BX81" s="8"/>
      <c r="BY81" s="8"/>
      <c r="BZ81" s="8"/>
      <c r="CA81" s="83"/>
    </row>
    <row r="82" spans="1:220" ht="15.6" customHeight="1" x14ac:dyDescent="0.25">
      <c r="A82" s="7"/>
      <c r="B82" s="8"/>
      <c r="C82" s="8"/>
      <c r="D82" s="8"/>
      <c r="E82" s="8"/>
      <c r="F82" s="8"/>
      <c r="G82" s="83"/>
      <c r="H82" s="125"/>
      <c r="I82" s="8"/>
      <c r="J82" s="9"/>
      <c r="K82" s="8"/>
      <c r="L82" s="8"/>
      <c r="M82" s="83"/>
      <c r="N82" s="8"/>
      <c r="O82" s="83"/>
      <c r="P82" s="125"/>
      <c r="Q82" s="8"/>
      <c r="R82" s="8"/>
      <c r="S82" s="8"/>
      <c r="T82" s="83"/>
      <c r="U82" s="8"/>
      <c r="V82" s="8"/>
      <c r="W82" s="8"/>
      <c r="X82" s="8"/>
      <c r="Y82" s="8"/>
      <c r="Z82" s="8"/>
      <c r="AA82" s="8"/>
      <c r="AB82" s="125"/>
      <c r="AC82" s="8"/>
      <c r="AD82" s="8"/>
      <c r="AE82" s="8"/>
      <c r="AF82" s="83"/>
      <c r="AG82" s="125"/>
      <c r="AH82" s="8"/>
      <c r="AI82" s="8"/>
      <c r="AJ82" s="8"/>
      <c r="AK82" s="83"/>
      <c r="AL82" s="125"/>
      <c r="AM82" s="8"/>
      <c r="AN82" s="8"/>
      <c r="AO82" s="8"/>
      <c r="AP82" s="83"/>
      <c r="AQ82" s="125"/>
      <c r="AR82" s="8"/>
      <c r="AS82" s="8"/>
      <c r="AT82" s="8"/>
      <c r="AU82" s="8"/>
      <c r="AV82" s="8"/>
      <c r="AW82" s="8"/>
      <c r="AX82" s="8"/>
      <c r="AY82" s="8"/>
      <c r="AZ82" s="8"/>
      <c r="BA82" s="8"/>
      <c r="BB82" s="8"/>
      <c r="BC82" s="83"/>
      <c r="BD82" s="125"/>
      <c r="BE82" s="8"/>
      <c r="BF82" s="8"/>
      <c r="BG82" s="8"/>
      <c r="BH82" s="8"/>
      <c r="BI82" s="8"/>
      <c r="BJ82" s="8"/>
      <c r="BK82" s="8"/>
      <c r="BL82" s="8"/>
      <c r="BM82" s="8"/>
      <c r="BN82" s="8"/>
      <c r="BO82" s="8"/>
      <c r="BP82" s="8"/>
      <c r="BQ82" s="8"/>
      <c r="BR82" s="8"/>
      <c r="BS82" s="8"/>
      <c r="BT82" s="8"/>
      <c r="BU82" s="8"/>
      <c r="BV82" s="8"/>
      <c r="BW82" s="8"/>
      <c r="BX82" s="8"/>
      <c r="BY82" s="8"/>
      <c r="BZ82" s="8"/>
      <c r="CA82" s="83"/>
    </row>
    <row r="83" spans="1:220" ht="15.6" customHeight="1" x14ac:dyDescent="0.25">
      <c r="A83" s="7"/>
      <c r="B83" s="8"/>
      <c r="C83" s="8"/>
      <c r="D83" s="8"/>
      <c r="E83" s="8"/>
      <c r="F83" s="8"/>
      <c r="G83" s="83"/>
      <c r="H83" s="125"/>
      <c r="I83" s="8"/>
      <c r="J83" s="9"/>
      <c r="K83" s="8"/>
      <c r="L83" s="8"/>
      <c r="M83" s="83"/>
      <c r="N83" s="8"/>
      <c r="O83" s="83"/>
      <c r="P83" s="125"/>
      <c r="Q83" s="8"/>
      <c r="R83" s="8"/>
      <c r="S83" s="8"/>
      <c r="T83" s="83"/>
      <c r="U83" s="8"/>
      <c r="V83" s="8"/>
      <c r="W83" s="8"/>
      <c r="X83" s="8"/>
      <c r="Y83" s="8"/>
      <c r="Z83" s="8"/>
      <c r="AA83" s="8"/>
      <c r="AB83" s="125"/>
      <c r="AC83" s="8"/>
      <c r="AD83" s="8"/>
      <c r="AE83" s="8"/>
      <c r="AF83" s="83"/>
      <c r="AG83" s="125"/>
      <c r="AH83" s="8"/>
      <c r="AI83" s="8"/>
      <c r="AJ83" s="8"/>
      <c r="AK83" s="83"/>
      <c r="AL83" s="125"/>
      <c r="AM83" s="8"/>
      <c r="AN83" s="8"/>
      <c r="AO83" s="8"/>
      <c r="AP83" s="83"/>
      <c r="AQ83" s="125"/>
      <c r="AR83" s="8"/>
      <c r="AS83" s="8"/>
      <c r="AT83" s="8"/>
      <c r="AU83" s="8"/>
      <c r="AV83" s="8"/>
      <c r="AW83" s="8"/>
      <c r="AX83" s="8"/>
      <c r="AY83" s="8"/>
      <c r="AZ83" s="8"/>
      <c r="BA83" s="8"/>
      <c r="BB83" s="8"/>
      <c r="BC83" s="83"/>
      <c r="BD83" s="125"/>
      <c r="BE83" s="8"/>
      <c r="BF83" s="8"/>
      <c r="BG83" s="8"/>
      <c r="BH83" s="8"/>
      <c r="BI83" s="8"/>
      <c r="BJ83" s="8"/>
      <c r="BK83" s="8"/>
      <c r="BL83" s="8"/>
      <c r="BM83" s="8"/>
      <c r="BN83" s="8"/>
      <c r="BO83" s="8"/>
      <c r="BP83" s="8"/>
      <c r="BQ83" s="8"/>
      <c r="BR83" s="8"/>
      <c r="BS83" s="8"/>
      <c r="BT83" s="8"/>
      <c r="BU83" s="8"/>
      <c r="BV83" s="8"/>
      <c r="BW83" s="8"/>
      <c r="BX83" s="8"/>
      <c r="BY83" s="8"/>
      <c r="BZ83" s="8"/>
      <c r="CA83" s="83"/>
    </row>
    <row r="84" spans="1:220" ht="15.6" customHeight="1" x14ac:dyDescent="0.25">
      <c r="A84" s="7"/>
      <c r="B84" s="8"/>
      <c r="C84" s="8"/>
      <c r="D84" s="8"/>
      <c r="E84" s="8"/>
      <c r="F84" s="8"/>
      <c r="G84" s="83"/>
      <c r="H84" s="125"/>
      <c r="I84" s="8"/>
      <c r="J84" s="9"/>
      <c r="K84" s="8"/>
      <c r="L84" s="8"/>
      <c r="M84" s="83"/>
      <c r="N84" s="8"/>
      <c r="O84" s="83"/>
      <c r="P84" s="125"/>
      <c r="Q84" s="8"/>
      <c r="R84" s="8"/>
      <c r="S84" s="8"/>
      <c r="T84" s="83"/>
      <c r="U84" s="8"/>
      <c r="V84" s="8"/>
      <c r="W84" s="8"/>
      <c r="X84" s="8"/>
      <c r="Y84" s="8"/>
      <c r="Z84" s="8"/>
      <c r="AA84" s="8"/>
      <c r="AB84" s="125"/>
      <c r="AC84" s="8"/>
      <c r="AD84" s="8"/>
      <c r="AE84" s="8"/>
      <c r="AF84" s="83"/>
      <c r="AG84" s="125"/>
      <c r="AH84" s="8"/>
      <c r="AI84" s="8"/>
      <c r="AJ84" s="8"/>
      <c r="AK84" s="83"/>
      <c r="AL84" s="125"/>
      <c r="AM84" s="8"/>
      <c r="AN84" s="8"/>
      <c r="AO84" s="8"/>
      <c r="AP84" s="83"/>
      <c r="AQ84" s="125"/>
      <c r="AR84" s="8"/>
      <c r="AS84" s="8"/>
      <c r="AT84" s="8"/>
      <c r="AU84" s="8"/>
      <c r="AV84" s="8"/>
      <c r="AW84" s="8"/>
      <c r="AX84" s="8"/>
      <c r="AY84" s="8"/>
      <c r="AZ84" s="8"/>
      <c r="BA84" s="8"/>
      <c r="BB84" s="8"/>
      <c r="BC84" s="83"/>
      <c r="BD84" s="125"/>
      <c r="BE84" s="8"/>
      <c r="BF84" s="8"/>
      <c r="BG84" s="8"/>
      <c r="BH84" s="8"/>
      <c r="BI84" s="8"/>
      <c r="BJ84" s="8"/>
      <c r="BK84" s="8"/>
      <c r="BL84" s="8"/>
      <c r="BM84" s="8"/>
      <c r="BN84" s="8"/>
      <c r="BO84" s="8"/>
      <c r="BP84" s="8"/>
      <c r="BQ84" s="8"/>
      <c r="BR84" s="8"/>
      <c r="BS84" s="8"/>
      <c r="BT84" s="8"/>
      <c r="BU84" s="8"/>
      <c r="BV84" s="8"/>
      <c r="BW84" s="8"/>
      <c r="BX84" s="8"/>
      <c r="BY84" s="8"/>
      <c r="BZ84" s="8"/>
      <c r="CA84" s="83"/>
    </row>
    <row r="85" spans="1:220" ht="15.6" customHeight="1" x14ac:dyDescent="0.25">
      <c r="A85" s="107"/>
      <c r="B85" s="8"/>
      <c r="C85" s="8"/>
      <c r="D85" s="8"/>
      <c r="E85" s="8"/>
      <c r="F85" s="8"/>
      <c r="G85" s="83"/>
      <c r="H85" s="125"/>
      <c r="I85" s="8"/>
      <c r="J85" s="9"/>
      <c r="K85" s="8"/>
      <c r="L85" s="8"/>
      <c r="M85" s="83"/>
      <c r="N85" s="8"/>
      <c r="O85" s="83"/>
      <c r="P85" s="125"/>
      <c r="Q85" s="8"/>
      <c r="R85" s="8"/>
      <c r="S85" s="8"/>
      <c r="T85" s="83"/>
      <c r="U85" s="8"/>
      <c r="V85" s="8"/>
      <c r="W85" s="8"/>
      <c r="X85" s="8"/>
      <c r="Y85" s="8"/>
      <c r="Z85" s="8"/>
      <c r="AA85" s="8"/>
      <c r="AB85" s="125"/>
      <c r="AC85" s="8"/>
      <c r="AD85" s="8"/>
      <c r="AE85" s="8"/>
      <c r="AF85" s="83"/>
      <c r="AG85" s="125"/>
      <c r="AH85" s="8"/>
      <c r="AI85" s="8"/>
      <c r="AJ85" s="8"/>
      <c r="AK85" s="83"/>
      <c r="AL85" s="125"/>
      <c r="AM85" s="8"/>
      <c r="AN85" s="8"/>
      <c r="AO85" s="8"/>
      <c r="AP85" s="83"/>
      <c r="AQ85" s="125"/>
      <c r="AR85" s="8"/>
      <c r="AS85" s="8"/>
      <c r="AT85" s="8"/>
      <c r="AU85" s="8"/>
      <c r="AV85" s="8"/>
      <c r="AW85" s="8"/>
      <c r="AX85" s="8"/>
      <c r="AY85" s="8"/>
      <c r="AZ85" s="8"/>
      <c r="BA85" s="8"/>
      <c r="BB85" s="8"/>
      <c r="BC85" s="83"/>
      <c r="BD85" s="125"/>
      <c r="BE85" s="8"/>
      <c r="BF85" s="8"/>
      <c r="BG85" s="8"/>
      <c r="BH85" s="8"/>
      <c r="BI85" s="8"/>
      <c r="BJ85" s="8"/>
      <c r="BK85" s="8"/>
      <c r="BL85" s="8"/>
      <c r="BM85" s="8"/>
      <c r="BN85" s="8"/>
      <c r="BO85" s="8"/>
      <c r="BP85" s="8"/>
      <c r="BQ85" s="8"/>
      <c r="BR85" s="8"/>
      <c r="BS85" s="8"/>
      <c r="BT85" s="8"/>
      <c r="BU85" s="8"/>
      <c r="BV85" s="8"/>
      <c r="BW85" s="8"/>
      <c r="BX85" s="8"/>
      <c r="BY85" s="8"/>
      <c r="BZ85" s="8"/>
      <c r="CA85" s="83"/>
    </row>
    <row r="86" spans="1:220" ht="15.6" customHeight="1" x14ac:dyDescent="0.25">
      <c r="A86" s="107">
        <v>1</v>
      </c>
      <c r="B86" s="108">
        <v>1</v>
      </c>
      <c r="C86" s="108">
        <v>1</v>
      </c>
      <c r="D86" s="108">
        <v>1</v>
      </c>
      <c r="E86" s="108">
        <v>1</v>
      </c>
      <c r="F86" s="108">
        <v>1</v>
      </c>
      <c r="G86" s="109">
        <v>1</v>
      </c>
      <c r="H86" s="126">
        <v>1</v>
      </c>
      <c r="I86" s="108">
        <v>1</v>
      </c>
      <c r="J86" s="149">
        <v>1</v>
      </c>
      <c r="K86" s="108">
        <v>1</v>
      </c>
      <c r="L86" s="108">
        <v>1</v>
      </c>
      <c r="M86" s="108">
        <v>1</v>
      </c>
      <c r="N86" s="108">
        <v>1</v>
      </c>
      <c r="O86" s="109">
        <v>1</v>
      </c>
      <c r="P86" s="126">
        <v>1</v>
      </c>
      <c r="Q86" s="108">
        <v>1</v>
      </c>
      <c r="R86" s="108">
        <v>1</v>
      </c>
      <c r="S86" s="108">
        <v>1</v>
      </c>
      <c r="T86" s="109">
        <v>1</v>
      </c>
      <c r="U86" s="108">
        <v>1</v>
      </c>
      <c r="V86" s="108">
        <v>1</v>
      </c>
      <c r="W86" s="108">
        <v>1</v>
      </c>
      <c r="X86" s="108">
        <v>1</v>
      </c>
      <c r="Y86" s="108">
        <v>1</v>
      </c>
      <c r="Z86" s="108">
        <v>1</v>
      </c>
      <c r="AA86" s="108">
        <v>1</v>
      </c>
      <c r="AB86" s="126">
        <v>1</v>
      </c>
      <c r="AC86" s="108">
        <v>1</v>
      </c>
      <c r="AD86" s="108">
        <v>1</v>
      </c>
      <c r="AE86" s="108">
        <v>1</v>
      </c>
      <c r="AF86" s="109">
        <v>1</v>
      </c>
      <c r="AG86" s="126">
        <v>1</v>
      </c>
      <c r="AH86" s="108">
        <v>1</v>
      </c>
      <c r="AI86" s="108">
        <v>1</v>
      </c>
      <c r="AJ86" s="108">
        <v>1</v>
      </c>
      <c r="AK86" s="109">
        <v>1</v>
      </c>
      <c r="AL86" s="126">
        <v>1</v>
      </c>
      <c r="AM86" s="108">
        <v>1</v>
      </c>
      <c r="AN86" s="108">
        <v>1</v>
      </c>
      <c r="AO86" s="108">
        <v>1</v>
      </c>
      <c r="AP86" s="109">
        <v>1</v>
      </c>
      <c r="AQ86" s="126">
        <v>1</v>
      </c>
      <c r="AR86" s="108">
        <v>1</v>
      </c>
      <c r="AS86" s="108">
        <v>1</v>
      </c>
      <c r="AT86" s="108">
        <v>1</v>
      </c>
      <c r="AU86" s="108">
        <v>1</v>
      </c>
      <c r="AV86" s="108">
        <v>1</v>
      </c>
      <c r="AW86" s="108">
        <v>1</v>
      </c>
      <c r="AX86" s="108">
        <v>1</v>
      </c>
      <c r="AY86" s="108">
        <v>1</v>
      </c>
      <c r="AZ86" s="108">
        <v>1</v>
      </c>
      <c r="BA86" s="108">
        <v>1</v>
      </c>
      <c r="BB86" s="108">
        <v>1</v>
      </c>
      <c r="BC86" s="109">
        <v>1</v>
      </c>
      <c r="BD86" s="126">
        <v>1</v>
      </c>
      <c r="BE86" s="108">
        <v>1</v>
      </c>
      <c r="BF86" s="108">
        <v>1</v>
      </c>
      <c r="BG86" s="108">
        <v>1</v>
      </c>
      <c r="BH86" s="108">
        <v>1</v>
      </c>
      <c r="BI86" s="108">
        <v>1</v>
      </c>
      <c r="BJ86" s="108">
        <v>1</v>
      </c>
      <c r="BK86" s="108">
        <v>1</v>
      </c>
      <c r="BL86" s="108">
        <v>1</v>
      </c>
      <c r="BM86" s="108">
        <v>1</v>
      </c>
      <c r="BN86" s="108">
        <v>1</v>
      </c>
      <c r="BO86" s="108">
        <v>1</v>
      </c>
      <c r="BP86" s="108">
        <v>1</v>
      </c>
      <c r="BQ86" s="108">
        <v>1</v>
      </c>
      <c r="BR86" s="108">
        <v>1</v>
      </c>
      <c r="BS86" s="108">
        <v>1</v>
      </c>
      <c r="BT86" s="108">
        <v>1</v>
      </c>
      <c r="BU86" s="108">
        <v>1</v>
      </c>
      <c r="BV86" s="108">
        <v>1</v>
      </c>
      <c r="BW86" s="108">
        <v>1</v>
      </c>
      <c r="BX86" s="108">
        <v>1</v>
      </c>
      <c r="BY86" s="108">
        <v>1</v>
      </c>
      <c r="BZ86" s="108">
        <v>1</v>
      </c>
      <c r="CA86" s="109">
        <v>1</v>
      </c>
      <c r="CB86" s="110">
        <v>1</v>
      </c>
      <c r="CC86" s="110">
        <v>1</v>
      </c>
      <c r="CD86" s="110">
        <v>1</v>
      </c>
      <c r="CE86" s="110">
        <v>1</v>
      </c>
      <c r="CF86" s="110">
        <v>1</v>
      </c>
      <c r="CG86" s="110">
        <v>1</v>
      </c>
      <c r="CH86" s="110">
        <v>1</v>
      </c>
      <c r="CI86" s="110">
        <v>1</v>
      </c>
      <c r="CJ86" s="110">
        <v>1</v>
      </c>
      <c r="CK86" s="110">
        <v>1</v>
      </c>
      <c r="CL86" s="110">
        <v>1</v>
      </c>
      <c r="CM86" s="110">
        <v>1</v>
      </c>
      <c r="CN86" s="110">
        <v>1</v>
      </c>
      <c r="CO86" s="110">
        <v>1</v>
      </c>
      <c r="CP86" s="110">
        <v>1</v>
      </c>
      <c r="CQ86" s="110">
        <v>1</v>
      </c>
      <c r="CR86" s="110">
        <v>1</v>
      </c>
      <c r="CS86" s="110">
        <v>1</v>
      </c>
      <c r="CT86" s="110">
        <v>1</v>
      </c>
      <c r="CU86" s="110">
        <v>1</v>
      </c>
      <c r="CV86" s="110">
        <v>1</v>
      </c>
      <c r="CW86" s="110">
        <v>1</v>
      </c>
      <c r="CX86" s="110">
        <v>1</v>
      </c>
      <c r="CY86" s="110">
        <v>1</v>
      </c>
      <c r="CZ86" s="110">
        <v>1</v>
      </c>
      <c r="DA86" s="110">
        <v>1</v>
      </c>
      <c r="DB86" s="110">
        <v>1</v>
      </c>
      <c r="DC86" s="110">
        <v>1</v>
      </c>
      <c r="DD86" s="110">
        <v>1</v>
      </c>
      <c r="DE86" s="110">
        <v>1</v>
      </c>
      <c r="DF86" s="110">
        <v>1</v>
      </c>
      <c r="DG86" s="110"/>
      <c r="DH86" s="110">
        <v>1</v>
      </c>
      <c r="DI86" s="110">
        <v>1</v>
      </c>
      <c r="DJ86" s="110">
        <v>1</v>
      </c>
      <c r="DK86" s="110"/>
      <c r="DL86" s="110">
        <v>1</v>
      </c>
      <c r="DM86" s="110">
        <v>1</v>
      </c>
      <c r="DN86" s="110">
        <v>1</v>
      </c>
      <c r="DO86" s="110">
        <v>1</v>
      </c>
      <c r="DP86" s="110">
        <v>1</v>
      </c>
      <c r="DQ86" s="110">
        <v>1</v>
      </c>
      <c r="DR86" s="110">
        <v>1</v>
      </c>
      <c r="DS86" s="110">
        <v>1</v>
      </c>
      <c r="DT86" s="110">
        <v>1</v>
      </c>
      <c r="DU86" s="110">
        <v>1</v>
      </c>
      <c r="DV86" s="110">
        <v>1</v>
      </c>
      <c r="DW86" s="110">
        <v>1</v>
      </c>
      <c r="DX86" s="110">
        <v>1</v>
      </c>
      <c r="DY86" s="110">
        <v>1</v>
      </c>
      <c r="DZ86" s="110">
        <v>1</v>
      </c>
      <c r="EA86" s="110">
        <v>1</v>
      </c>
      <c r="EB86" s="110"/>
      <c r="EC86" s="110">
        <v>1</v>
      </c>
      <c r="ED86" s="110"/>
      <c r="EE86" s="110">
        <v>1</v>
      </c>
      <c r="EF86" s="110"/>
      <c r="EG86" s="110">
        <v>1</v>
      </c>
      <c r="EH86" s="110"/>
      <c r="EI86" s="110">
        <v>1</v>
      </c>
      <c r="EJ86" s="110">
        <v>1</v>
      </c>
      <c r="EK86" s="110">
        <v>1</v>
      </c>
      <c r="EL86" s="110">
        <v>1</v>
      </c>
      <c r="EM86" s="110">
        <v>1</v>
      </c>
      <c r="EN86" s="110">
        <v>1</v>
      </c>
      <c r="EO86" s="110">
        <v>1</v>
      </c>
      <c r="EP86" s="110">
        <v>1</v>
      </c>
      <c r="EQ86" s="110">
        <v>1</v>
      </c>
      <c r="ER86" s="110">
        <v>1</v>
      </c>
      <c r="ES86" s="110">
        <v>1</v>
      </c>
      <c r="ET86" s="110">
        <v>1</v>
      </c>
      <c r="EU86" s="110">
        <v>1</v>
      </c>
      <c r="EV86" s="110">
        <v>1</v>
      </c>
      <c r="EW86" s="110">
        <v>1</v>
      </c>
      <c r="EX86" s="110">
        <v>1</v>
      </c>
      <c r="EY86" s="110">
        <v>1</v>
      </c>
      <c r="EZ86" s="110">
        <v>1</v>
      </c>
      <c r="FA86" s="110">
        <v>1</v>
      </c>
      <c r="FB86" s="110">
        <v>1</v>
      </c>
      <c r="FC86" s="110">
        <v>1</v>
      </c>
      <c r="FD86" s="110">
        <v>1</v>
      </c>
      <c r="FE86" s="110">
        <v>1</v>
      </c>
      <c r="FF86" s="110">
        <v>1</v>
      </c>
      <c r="FG86" s="110">
        <v>1</v>
      </c>
      <c r="FH86" s="110">
        <v>1</v>
      </c>
      <c r="FI86" s="110">
        <v>1</v>
      </c>
      <c r="FJ86" s="110">
        <v>1</v>
      </c>
      <c r="FK86" s="110">
        <v>1</v>
      </c>
      <c r="FL86" s="110">
        <v>1</v>
      </c>
      <c r="FM86" s="110">
        <v>1</v>
      </c>
      <c r="FN86" s="110">
        <v>1</v>
      </c>
      <c r="FO86" s="110">
        <v>1</v>
      </c>
      <c r="FP86" s="110">
        <v>1</v>
      </c>
      <c r="FQ86" s="110">
        <v>1</v>
      </c>
      <c r="FR86" s="110">
        <v>1</v>
      </c>
      <c r="FS86" s="110">
        <v>1</v>
      </c>
      <c r="FT86" s="110">
        <v>1</v>
      </c>
      <c r="FU86" s="110">
        <v>1</v>
      </c>
      <c r="FV86" s="110">
        <v>1</v>
      </c>
      <c r="FW86" s="110">
        <v>1</v>
      </c>
      <c r="FX86" s="110">
        <v>1</v>
      </c>
      <c r="FY86" s="110">
        <v>1</v>
      </c>
      <c r="FZ86" s="110">
        <v>1</v>
      </c>
      <c r="GA86" s="110">
        <v>1</v>
      </c>
      <c r="GB86" s="110">
        <v>1</v>
      </c>
      <c r="GC86" s="110">
        <v>1</v>
      </c>
      <c r="GD86" s="110">
        <v>1</v>
      </c>
      <c r="GE86" s="110">
        <v>1</v>
      </c>
      <c r="GF86" s="110">
        <v>1</v>
      </c>
      <c r="GG86" s="110">
        <v>1</v>
      </c>
      <c r="GH86" s="110">
        <v>1</v>
      </c>
      <c r="GI86" s="110">
        <v>1</v>
      </c>
      <c r="GJ86" s="110">
        <v>1</v>
      </c>
      <c r="GK86" s="110">
        <v>1</v>
      </c>
      <c r="GL86" s="110">
        <v>1</v>
      </c>
      <c r="GM86" s="110">
        <v>1</v>
      </c>
      <c r="GN86" s="110">
        <v>1</v>
      </c>
      <c r="GO86" s="110">
        <v>1</v>
      </c>
      <c r="GP86" s="110">
        <v>1</v>
      </c>
      <c r="GQ86" s="110">
        <v>1</v>
      </c>
      <c r="GR86" s="110">
        <v>1</v>
      </c>
      <c r="GS86" s="110">
        <v>1</v>
      </c>
      <c r="GT86" s="110">
        <v>1</v>
      </c>
      <c r="GU86" s="110">
        <v>1</v>
      </c>
      <c r="GV86" s="110">
        <v>1</v>
      </c>
      <c r="GW86" s="110">
        <v>1</v>
      </c>
      <c r="GX86" s="110">
        <v>1</v>
      </c>
      <c r="GY86" s="110">
        <v>1</v>
      </c>
      <c r="GZ86" s="110">
        <v>1</v>
      </c>
      <c r="HA86" s="110">
        <v>1</v>
      </c>
      <c r="HB86" s="110">
        <v>1</v>
      </c>
      <c r="HC86" s="110">
        <v>1</v>
      </c>
      <c r="HD86" s="110">
        <v>1</v>
      </c>
      <c r="HE86" s="110">
        <v>1</v>
      </c>
      <c r="HF86" s="110">
        <v>1</v>
      </c>
      <c r="HG86" s="110">
        <v>1</v>
      </c>
      <c r="HH86" s="110">
        <v>1</v>
      </c>
      <c r="HI86" s="110">
        <v>1</v>
      </c>
      <c r="HJ86" s="110">
        <v>1</v>
      </c>
      <c r="HK86" s="110">
        <v>1</v>
      </c>
      <c r="HL86" s="110">
        <v>1</v>
      </c>
    </row>
    <row r="87" spans="1:220" ht="15.6" customHeight="1" x14ac:dyDescent="0.25">
      <c r="A87" s="7"/>
      <c r="B87" s="8"/>
      <c r="C87" s="8"/>
      <c r="D87" s="8"/>
      <c r="E87" s="8"/>
      <c r="F87" s="8"/>
      <c r="G87" s="83"/>
      <c r="H87" s="125"/>
      <c r="I87" s="83"/>
      <c r="J87" s="9"/>
      <c r="K87" s="8"/>
      <c r="L87" s="8"/>
      <c r="M87" s="83"/>
      <c r="N87" s="8"/>
      <c r="O87" s="83"/>
      <c r="P87" s="125"/>
      <c r="Q87" s="8"/>
      <c r="R87" s="8"/>
      <c r="S87" s="8"/>
      <c r="T87" s="83"/>
      <c r="U87" s="9"/>
      <c r="V87" s="8"/>
      <c r="W87" s="8"/>
      <c r="X87" s="8"/>
      <c r="Y87" s="8"/>
      <c r="Z87" s="8"/>
      <c r="AA87" s="8"/>
      <c r="AB87" s="121"/>
      <c r="AC87" s="8"/>
      <c r="AD87" s="8"/>
      <c r="AE87" s="8"/>
      <c r="AF87" s="83"/>
      <c r="AG87" s="125"/>
      <c r="AH87" s="8"/>
      <c r="AI87" s="8"/>
      <c r="AJ87" s="8"/>
      <c r="AK87" s="83"/>
      <c r="AL87" s="125"/>
      <c r="AM87" s="8"/>
      <c r="AN87" s="8"/>
      <c r="AO87" s="8"/>
      <c r="AP87" s="83"/>
      <c r="AQ87" s="125"/>
      <c r="AR87" s="8"/>
      <c r="AS87" s="8"/>
      <c r="AT87" s="8"/>
      <c r="AU87" s="8"/>
      <c r="AV87" s="8"/>
      <c r="AW87" s="8"/>
      <c r="AX87" s="8"/>
      <c r="AY87" s="8"/>
      <c r="AZ87" s="8"/>
      <c r="BA87" s="8"/>
      <c r="BB87" s="8"/>
      <c r="BC87" s="83"/>
      <c r="BD87" s="125"/>
      <c r="BE87" s="8"/>
      <c r="BF87" s="8"/>
      <c r="BG87" s="8"/>
      <c r="BH87" s="8"/>
      <c r="BI87" s="8"/>
      <c r="BJ87" s="8"/>
      <c r="BK87" s="8"/>
      <c r="BL87" s="8"/>
      <c r="BM87" s="8"/>
      <c r="BN87" s="8"/>
      <c r="BO87" s="8"/>
      <c r="BP87" s="8"/>
      <c r="BQ87" s="8"/>
      <c r="BR87" s="8"/>
      <c r="BS87" s="8"/>
      <c r="BT87" s="8"/>
      <c r="BU87" s="8"/>
      <c r="BV87" s="8"/>
      <c r="BW87" s="8"/>
      <c r="BX87" s="8"/>
      <c r="BY87" s="8"/>
      <c r="BZ87" s="8"/>
      <c r="CA87" s="83"/>
    </row>
    <row r="88" spans="1:220" ht="15.6" customHeight="1" x14ac:dyDescent="0.25">
      <c r="A88" s="7"/>
      <c r="B88" s="8"/>
      <c r="C88" s="8"/>
      <c r="D88" s="8"/>
      <c r="E88" s="8"/>
      <c r="F88" s="8"/>
      <c r="G88" s="83"/>
      <c r="H88" s="125"/>
      <c r="I88" s="83"/>
      <c r="J88" s="9"/>
      <c r="K88" s="8"/>
      <c r="L88" s="8"/>
      <c r="M88" s="83"/>
      <c r="N88" s="8"/>
      <c r="O88" s="83"/>
      <c r="P88" s="125"/>
      <c r="Q88" s="8"/>
      <c r="R88" s="8"/>
      <c r="S88" s="8"/>
      <c r="T88" s="83"/>
      <c r="U88" s="9"/>
      <c r="V88" s="8"/>
      <c r="W88" s="8"/>
      <c r="X88" s="8"/>
      <c r="Y88" s="8"/>
      <c r="Z88" s="8"/>
      <c r="AA88" s="8"/>
      <c r="AB88" s="121"/>
      <c r="AC88" s="8"/>
      <c r="AD88" s="8"/>
      <c r="AE88" s="8"/>
      <c r="AF88" s="83"/>
      <c r="AG88" s="125"/>
      <c r="AH88" s="8"/>
      <c r="AI88" s="8"/>
      <c r="AJ88" s="8"/>
      <c r="AK88" s="83"/>
      <c r="AL88" s="125"/>
      <c r="AM88" s="8"/>
      <c r="AN88" s="8"/>
      <c r="AO88" s="8"/>
      <c r="AP88" s="83"/>
      <c r="AQ88" s="125"/>
      <c r="AR88" s="8"/>
      <c r="AS88" s="8"/>
      <c r="AT88" s="8"/>
      <c r="AU88" s="8"/>
      <c r="AV88" s="8"/>
      <c r="AW88" s="8"/>
      <c r="AX88" s="8"/>
      <c r="AY88" s="8"/>
      <c r="AZ88" s="8"/>
      <c r="BA88" s="8"/>
      <c r="BB88" s="8"/>
      <c r="BC88" s="83"/>
      <c r="BD88" s="125"/>
      <c r="BE88" s="8"/>
      <c r="BF88" s="8"/>
      <c r="BG88" s="8"/>
      <c r="BH88" s="8"/>
      <c r="BI88" s="8"/>
      <c r="BJ88" s="8"/>
      <c r="BK88" s="8"/>
      <c r="BL88" s="8"/>
      <c r="BM88" s="8"/>
      <c r="BN88" s="8"/>
      <c r="BO88" s="8"/>
      <c r="BP88" s="8"/>
      <c r="BQ88" s="8"/>
      <c r="BR88" s="8"/>
      <c r="BS88" s="8"/>
      <c r="BT88" s="8"/>
      <c r="BU88" s="8"/>
      <c r="BV88" s="8"/>
      <c r="BW88" s="8"/>
      <c r="BX88" s="8"/>
      <c r="BY88" s="8"/>
      <c r="BZ88" s="8"/>
      <c r="CA88" s="83"/>
    </row>
    <row r="89" spans="1:220" ht="15.6" customHeight="1" x14ac:dyDescent="0.25">
      <c r="A89" s="7"/>
      <c r="B89" s="8"/>
      <c r="C89" s="8"/>
      <c r="D89" s="8"/>
      <c r="E89" s="8"/>
      <c r="F89" s="8"/>
      <c r="G89" s="83"/>
      <c r="H89" s="125"/>
      <c r="I89" s="83"/>
      <c r="J89" s="9"/>
      <c r="K89" s="8"/>
      <c r="L89" s="8"/>
      <c r="M89" s="83"/>
      <c r="N89" s="8"/>
      <c r="O89" s="83"/>
      <c r="P89" s="125"/>
      <c r="Q89" s="8"/>
      <c r="R89" s="8"/>
      <c r="S89" s="8"/>
      <c r="T89" s="83"/>
      <c r="U89" s="9"/>
      <c r="V89" s="8"/>
      <c r="W89" s="8"/>
      <c r="X89" s="8"/>
      <c r="Y89" s="8"/>
      <c r="Z89" s="8"/>
      <c r="AA89" s="8"/>
      <c r="AB89" s="121"/>
      <c r="AC89" s="8"/>
      <c r="AD89" s="8"/>
      <c r="AE89" s="8"/>
      <c r="AF89" s="83"/>
      <c r="AG89" s="125"/>
      <c r="AH89" s="8"/>
      <c r="AI89" s="8"/>
      <c r="AJ89" s="8"/>
      <c r="AK89" s="83"/>
      <c r="AL89" s="125"/>
      <c r="AM89" s="8"/>
      <c r="AN89" s="8"/>
      <c r="AO89" s="8"/>
      <c r="AP89" s="83"/>
      <c r="AQ89" s="125"/>
      <c r="AR89" s="8"/>
      <c r="AS89" s="8"/>
      <c r="AT89" s="8"/>
      <c r="AU89" s="8"/>
      <c r="AV89" s="8"/>
      <c r="AW89" s="8"/>
      <c r="AX89" s="8"/>
      <c r="AY89" s="8"/>
      <c r="AZ89" s="8"/>
      <c r="BA89" s="8"/>
      <c r="BB89" s="8"/>
      <c r="BC89" s="83"/>
      <c r="BD89" s="125"/>
      <c r="BE89" s="8"/>
      <c r="BF89" s="8"/>
      <c r="BG89" s="8"/>
      <c r="BH89" s="8"/>
      <c r="BI89" s="8"/>
      <c r="BJ89" s="8"/>
      <c r="BK89" s="8"/>
      <c r="BL89" s="8"/>
      <c r="BM89" s="8"/>
      <c r="BN89" s="8"/>
      <c r="BO89" s="8"/>
      <c r="BP89" s="8"/>
      <c r="BQ89" s="8"/>
      <c r="BR89" s="8"/>
      <c r="BS89" s="8"/>
      <c r="BT89" s="8"/>
      <c r="BU89" s="8"/>
      <c r="BV89" s="8"/>
      <c r="BW89" s="8"/>
      <c r="BX89" s="8"/>
      <c r="BY89" s="8"/>
      <c r="BZ89" s="8"/>
      <c r="CA89" s="83"/>
    </row>
    <row r="90" spans="1:220" ht="15.6" customHeight="1" x14ac:dyDescent="0.25">
      <c r="A90" s="7"/>
      <c r="B90" s="8"/>
      <c r="C90" s="8"/>
      <c r="D90" s="8"/>
      <c r="E90" s="8"/>
      <c r="F90" s="8"/>
      <c r="G90" s="83"/>
      <c r="H90" s="125"/>
      <c r="I90" s="83"/>
      <c r="J90" s="9"/>
      <c r="K90" s="8"/>
      <c r="L90" s="8"/>
      <c r="M90" s="83"/>
      <c r="N90" s="8"/>
      <c r="O90" s="83"/>
      <c r="P90" s="125"/>
      <c r="Q90" s="8"/>
      <c r="R90" s="8"/>
      <c r="S90" s="8"/>
      <c r="T90" s="83"/>
      <c r="U90" s="9"/>
      <c r="V90" s="8"/>
      <c r="W90" s="8"/>
      <c r="X90" s="8"/>
      <c r="Y90" s="8"/>
      <c r="Z90" s="8"/>
      <c r="AA90" s="8"/>
      <c r="AB90" s="121"/>
      <c r="AC90" s="8"/>
      <c r="AD90" s="8"/>
      <c r="AE90" s="8"/>
      <c r="AF90" s="83"/>
      <c r="AG90" s="125"/>
      <c r="AH90" s="8"/>
      <c r="AI90" s="8"/>
      <c r="AJ90" s="8"/>
      <c r="AK90" s="83"/>
      <c r="AL90" s="125"/>
      <c r="AM90" s="8"/>
      <c r="AN90" s="8"/>
      <c r="AO90" s="8"/>
      <c r="AP90" s="83"/>
      <c r="AQ90" s="125"/>
      <c r="AR90" s="8"/>
      <c r="AS90" s="8"/>
      <c r="AT90" s="8"/>
      <c r="AU90" s="8"/>
      <c r="AV90" s="8"/>
      <c r="AW90" s="8"/>
      <c r="AX90" s="8"/>
      <c r="AY90" s="8"/>
      <c r="AZ90" s="8"/>
      <c r="BA90" s="8"/>
      <c r="BB90" s="8"/>
      <c r="BC90" s="83"/>
      <c r="BD90" s="125"/>
      <c r="BE90" s="8"/>
      <c r="BF90" s="8"/>
      <c r="BG90" s="8"/>
      <c r="BH90" s="8"/>
      <c r="BI90" s="8"/>
      <c r="BJ90" s="8"/>
      <c r="BK90" s="8"/>
      <c r="BL90" s="8"/>
      <c r="BM90" s="8"/>
      <c r="BN90" s="8"/>
      <c r="BO90" s="8"/>
      <c r="BP90" s="8"/>
      <c r="BQ90" s="8"/>
      <c r="BR90" s="8"/>
      <c r="BS90" s="8"/>
      <c r="BT90" s="8"/>
      <c r="BU90" s="8"/>
      <c r="BV90" s="8"/>
      <c r="BW90" s="8"/>
      <c r="BX90" s="8"/>
      <c r="BY90" s="8"/>
      <c r="BZ90" s="8"/>
      <c r="CA90" s="83"/>
    </row>
    <row r="91" spans="1:220" ht="15.6" customHeight="1" x14ac:dyDescent="0.25">
      <c r="A91" s="7"/>
      <c r="B91" s="8"/>
      <c r="C91" s="8"/>
      <c r="D91" s="8"/>
      <c r="E91" s="8"/>
      <c r="F91" s="8"/>
      <c r="G91" s="83"/>
      <c r="H91" s="125"/>
      <c r="I91" s="83"/>
      <c r="J91" s="9"/>
      <c r="K91" s="8"/>
      <c r="L91" s="8"/>
      <c r="M91" s="83"/>
      <c r="N91" s="8"/>
      <c r="O91" s="83"/>
      <c r="P91" s="125"/>
      <c r="Q91" s="8"/>
      <c r="R91" s="8"/>
      <c r="S91" s="8"/>
      <c r="T91" s="83"/>
      <c r="U91" s="9"/>
      <c r="V91" s="8"/>
      <c r="W91" s="8"/>
      <c r="X91" s="8"/>
      <c r="Y91" s="8"/>
      <c r="Z91" s="8"/>
      <c r="AA91" s="8"/>
      <c r="AB91" s="121"/>
      <c r="AC91" s="8"/>
      <c r="AD91" s="8"/>
      <c r="AE91" s="8"/>
      <c r="AF91" s="83"/>
      <c r="AG91" s="125"/>
      <c r="AH91" s="8"/>
      <c r="AI91" s="8"/>
      <c r="AJ91" s="8"/>
      <c r="AK91" s="83"/>
      <c r="AL91" s="125"/>
      <c r="AM91" s="8"/>
      <c r="AN91" s="8"/>
      <c r="AO91" s="8"/>
      <c r="AP91" s="83"/>
      <c r="AQ91" s="125"/>
      <c r="AR91" s="8"/>
      <c r="AS91" s="8"/>
      <c r="AT91" s="8"/>
      <c r="AU91" s="8"/>
      <c r="AV91" s="8"/>
      <c r="AW91" s="8"/>
      <c r="AX91" s="8"/>
      <c r="AY91" s="8"/>
      <c r="AZ91" s="8"/>
      <c r="BA91" s="8"/>
      <c r="BB91" s="8"/>
      <c r="BC91" s="83"/>
      <c r="BD91" s="125"/>
      <c r="BE91" s="8"/>
      <c r="BF91" s="8"/>
      <c r="BG91" s="8"/>
      <c r="BH91" s="8"/>
      <c r="BI91" s="8"/>
      <c r="BJ91" s="8"/>
      <c r="BK91" s="8"/>
      <c r="BL91" s="8"/>
      <c r="BM91" s="8"/>
      <c r="BN91" s="8"/>
      <c r="BO91" s="8"/>
      <c r="BP91" s="8"/>
      <c r="BQ91" s="8"/>
      <c r="BR91" s="8"/>
      <c r="BS91" s="8"/>
      <c r="BT91" s="8"/>
      <c r="BU91" s="8"/>
      <c r="BV91" s="8"/>
      <c r="BW91" s="8"/>
      <c r="BX91" s="8"/>
      <c r="BY91" s="8"/>
      <c r="BZ91" s="8"/>
      <c r="CA91" s="83"/>
    </row>
    <row r="92" spans="1:220" ht="15.6" customHeight="1" x14ac:dyDescent="0.25">
      <c r="A92" s="7"/>
      <c r="B92" s="8"/>
      <c r="C92" s="8"/>
      <c r="D92" s="8"/>
      <c r="E92" s="8"/>
      <c r="F92" s="8"/>
      <c r="G92" s="83"/>
      <c r="H92" s="125"/>
      <c r="I92" s="83"/>
      <c r="J92" s="9"/>
      <c r="K92" s="8"/>
      <c r="L92" s="8"/>
      <c r="M92" s="83"/>
      <c r="N92" s="8"/>
      <c r="O92" s="83"/>
      <c r="P92" s="125"/>
      <c r="Q92" s="8"/>
      <c r="R92" s="8"/>
      <c r="S92" s="8"/>
      <c r="T92" s="83"/>
      <c r="U92" s="9"/>
      <c r="V92" s="8"/>
      <c r="W92" s="8"/>
      <c r="X92" s="8"/>
      <c r="Y92" s="8"/>
      <c r="Z92" s="8"/>
      <c r="AA92" s="8"/>
      <c r="AB92" s="121"/>
      <c r="AC92" s="8"/>
      <c r="AD92" s="8"/>
      <c r="AE92" s="8"/>
      <c r="AF92" s="83"/>
      <c r="AG92" s="125"/>
      <c r="AH92" s="8"/>
      <c r="AI92" s="8"/>
      <c r="AJ92" s="8"/>
      <c r="AK92" s="83"/>
      <c r="AL92" s="125"/>
      <c r="AM92" s="8"/>
      <c r="AN92" s="8"/>
      <c r="AO92" s="8"/>
      <c r="AP92" s="83"/>
      <c r="AQ92" s="125"/>
      <c r="AR92" s="8"/>
      <c r="AS92" s="8"/>
      <c r="AT92" s="8"/>
      <c r="AU92" s="8"/>
      <c r="AV92" s="8"/>
      <c r="AW92" s="8"/>
      <c r="AX92" s="8"/>
      <c r="AY92" s="8"/>
      <c r="AZ92" s="8"/>
      <c r="BA92" s="8"/>
      <c r="BB92" s="8"/>
      <c r="BC92" s="83"/>
      <c r="BD92" s="125"/>
      <c r="BE92" s="8"/>
      <c r="BF92" s="8"/>
      <c r="BG92" s="8"/>
      <c r="BH92" s="8"/>
      <c r="BI92" s="8"/>
      <c r="BJ92" s="8"/>
      <c r="BK92" s="8"/>
      <c r="BL92" s="8"/>
      <c r="BM92" s="8"/>
      <c r="BN92" s="8"/>
      <c r="BO92" s="8"/>
      <c r="BP92" s="8"/>
      <c r="BQ92" s="8"/>
      <c r="BR92" s="8"/>
      <c r="BS92" s="8"/>
      <c r="BT92" s="8"/>
      <c r="BU92" s="8"/>
      <c r="BV92" s="8"/>
      <c r="BW92" s="8"/>
      <c r="BX92" s="8"/>
      <c r="BY92" s="8"/>
      <c r="BZ92" s="8"/>
      <c r="CA92" s="83"/>
    </row>
    <row r="93" spans="1:220" ht="15.6" customHeight="1" x14ac:dyDescent="0.25">
      <c r="A93" s="7"/>
      <c r="B93" s="8"/>
      <c r="C93" s="8"/>
      <c r="D93" s="8"/>
      <c r="E93" s="8"/>
      <c r="F93" s="8"/>
      <c r="G93" s="83"/>
      <c r="H93" s="125"/>
      <c r="I93" s="83"/>
      <c r="J93" s="9"/>
      <c r="K93" s="8"/>
      <c r="L93" s="8"/>
      <c r="M93" s="83"/>
      <c r="N93" s="8"/>
      <c r="O93" s="83"/>
      <c r="P93" s="125"/>
      <c r="Q93" s="8"/>
      <c r="R93" s="8"/>
      <c r="S93" s="8"/>
      <c r="T93" s="83"/>
      <c r="U93" s="9"/>
      <c r="V93" s="8"/>
      <c r="W93" s="8"/>
      <c r="X93" s="8"/>
      <c r="Y93" s="8"/>
      <c r="Z93" s="8"/>
      <c r="AA93" s="8"/>
      <c r="AB93" s="121"/>
      <c r="AC93" s="8"/>
      <c r="AD93" s="8"/>
      <c r="AE93" s="8"/>
      <c r="AF93" s="83"/>
      <c r="AG93" s="125"/>
      <c r="AH93" s="8"/>
      <c r="AI93" s="8"/>
      <c r="AJ93" s="8"/>
      <c r="AK93" s="83"/>
      <c r="AL93" s="125"/>
      <c r="AM93" s="8"/>
      <c r="AN93" s="8"/>
      <c r="AO93" s="8"/>
      <c r="AP93" s="83"/>
      <c r="AQ93" s="125"/>
      <c r="AR93" s="8"/>
      <c r="AS93" s="8"/>
      <c r="AT93" s="8"/>
      <c r="AU93" s="8"/>
      <c r="AV93" s="8"/>
      <c r="AW93" s="8"/>
      <c r="AX93" s="8"/>
      <c r="AY93" s="8"/>
      <c r="AZ93" s="8"/>
      <c r="BA93" s="8"/>
      <c r="BB93" s="8"/>
      <c r="BC93" s="83"/>
      <c r="BD93" s="125"/>
      <c r="BE93" s="8"/>
      <c r="BF93" s="8"/>
      <c r="BG93" s="8"/>
      <c r="BH93" s="8"/>
      <c r="BI93" s="8"/>
      <c r="BJ93" s="8"/>
      <c r="BK93" s="8"/>
      <c r="BL93" s="8"/>
      <c r="BM93" s="8"/>
      <c r="BN93" s="8"/>
      <c r="BO93" s="8"/>
      <c r="BP93" s="8"/>
      <c r="BQ93" s="8"/>
      <c r="BR93" s="8"/>
      <c r="BS93" s="8"/>
      <c r="BT93" s="8"/>
      <c r="BU93" s="8"/>
      <c r="BV93" s="8"/>
      <c r="BW93" s="8"/>
      <c r="BX93" s="8"/>
      <c r="BY93" s="8"/>
      <c r="BZ93" s="8"/>
      <c r="CA93" s="83"/>
    </row>
    <row r="94" spans="1:220" ht="15.6" customHeight="1" x14ac:dyDescent="0.25">
      <c r="A94" s="7"/>
      <c r="B94" s="8"/>
      <c r="C94" s="8"/>
      <c r="D94" s="8"/>
      <c r="E94" s="8"/>
      <c r="F94" s="8"/>
      <c r="G94" s="83"/>
      <c r="H94" s="125"/>
      <c r="I94" s="83"/>
      <c r="J94" s="9"/>
      <c r="K94" s="8"/>
      <c r="L94" s="8"/>
      <c r="M94" s="83"/>
      <c r="N94" s="8"/>
      <c r="O94" s="83"/>
      <c r="P94" s="125"/>
      <c r="Q94" s="8"/>
      <c r="R94" s="8"/>
      <c r="S94" s="8"/>
      <c r="T94" s="83"/>
      <c r="U94" s="9"/>
      <c r="V94" s="8"/>
      <c r="W94" s="8"/>
      <c r="X94" s="8"/>
      <c r="Y94" s="8"/>
      <c r="Z94" s="8"/>
      <c r="AA94" s="8"/>
      <c r="AB94" s="121"/>
      <c r="AC94" s="8"/>
      <c r="AD94" s="8"/>
      <c r="AE94" s="8"/>
      <c r="AF94" s="83"/>
      <c r="AG94" s="125"/>
      <c r="AH94" s="8"/>
      <c r="AI94" s="8"/>
      <c r="AJ94" s="8"/>
      <c r="AK94" s="83"/>
      <c r="AL94" s="125"/>
      <c r="AM94" s="8"/>
      <c r="AN94" s="8"/>
      <c r="AO94" s="8"/>
      <c r="AP94" s="83"/>
      <c r="AQ94" s="125"/>
      <c r="AR94" s="8"/>
      <c r="AS94" s="8"/>
      <c r="AT94" s="8"/>
      <c r="AU94" s="8"/>
      <c r="AV94" s="8"/>
      <c r="AW94" s="8"/>
      <c r="AX94" s="8"/>
      <c r="AY94" s="8"/>
      <c r="AZ94" s="8"/>
      <c r="BA94" s="8"/>
      <c r="BB94" s="8"/>
      <c r="BC94" s="83"/>
      <c r="BD94" s="125"/>
      <c r="BE94" s="8"/>
      <c r="BF94" s="8"/>
      <c r="BG94" s="8"/>
      <c r="BH94" s="8"/>
      <c r="BI94" s="8"/>
      <c r="BJ94" s="8"/>
      <c r="BK94" s="8"/>
      <c r="BL94" s="8"/>
      <c r="BM94" s="8"/>
      <c r="BN94" s="8"/>
      <c r="BO94" s="8"/>
      <c r="BP94" s="8"/>
      <c r="BQ94" s="8"/>
      <c r="BR94" s="8"/>
      <c r="BS94" s="8"/>
      <c r="BT94" s="8"/>
      <c r="BU94" s="8"/>
      <c r="BV94" s="8"/>
      <c r="BW94" s="8"/>
      <c r="BX94" s="8"/>
      <c r="BY94" s="8"/>
      <c r="BZ94" s="8"/>
      <c r="CA94" s="83"/>
    </row>
    <row r="95" spans="1:220" ht="15.6" customHeight="1" x14ac:dyDescent="0.25">
      <c r="A95" s="7"/>
      <c r="B95" s="8"/>
      <c r="C95" s="8"/>
      <c r="D95" s="8"/>
      <c r="E95" s="8"/>
      <c r="F95" s="8"/>
      <c r="G95" s="83"/>
      <c r="H95" s="125"/>
      <c r="I95" s="83"/>
      <c r="J95" s="9"/>
      <c r="K95" s="8"/>
      <c r="L95" s="8"/>
      <c r="M95" s="83"/>
      <c r="N95" s="8"/>
      <c r="O95" s="83"/>
      <c r="P95" s="125"/>
      <c r="Q95" s="8"/>
      <c r="R95" s="8"/>
      <c r="S95" s="8"/>
      <c r="T95" s="83"/>
      <c r="U95" s="9"/>
      <c r="V95" s="8"/>
      <c r="W95" s="8"/>
      <c r="X95" s="8"/>
      <c r="Y95" s="8"/>
      <c r="Z95" s="8"/>
      <c r="AA95" s="8"/>
      <c r="AB95" s="121"/>
      <c r="AC95" s="8"/>
      <c r="AD95" s="8"/>
      <c r="AE95" s="8"/>
      <c r="AF95" s="83"/>
      <c r="AG95" s="125"/>
      <c r="AH95" s="8"/>
      <c r="AI95" s="8"/>
      <c r="AJ95" s="8"/>
      <c r="AK95" s="83"/>
      <c r="AL95" s="125"/>
      <c r="AM95" s="8"/>
      <c r="AN95" s="8"/>
      <c r="AO95" s="8"/>
      <c r="AP95" s="83"/>
      <c r="AQ95" s="125"/>
      <c r="AR95" s="8"/>
      <c r="AS95" s="8"/>
      <c r="AT95" s="8"/>
      <c r="AU95" s="8"/>
      <c r="AV95" s="8"/>
      <c r="AW95" s="8"/>
      <c r="AX95" s="8"/>
      <c r="AY95" s="8"/>
      <c r="AZ95" s="8"/>
      <c r="BA95" s="8"/>
      <c r="BB95" s="8"/>
      <c r="BC95" s="83"/>
      <c r="BD95" s="125"/>
      <c r="BE95" s="8"/>
      <c r="BF95" s="8"/>
      <c r="BG95" s="8"/>
      <c r="BH95" s="8"/>
      <c r="BI95" s="8"/>
      <c r="BJ95" s="8"/>
      <c r="BK95" s="8"/>
      <c r="BL95" s="8"/>
      <c r="BM95" s="8"/>
      <c r="BN95" s="8"/>
      <c r="BO95" s="8"/>
      <c r="BP95" s="8"/>
      <c r="BQ95" s="8"/>
      <c r="BR95" s="8"/>
      <c r="BS95" s="8"/>
      <c r="BT95" s="8"/>
      <c r="BU95" s="8"/>
      <c r="BV95" s="8"/>
      <c r="BW95" s="8"/>
      <c r="BX95" s="8"/>
      <c r="BY95" s="8"/>
      <c r="BZ95" s="8"/>
      <c r="CA95" s="83"/>
    </row>
    <row r="96" spans="1:220" ht="15.6" customHeight="1" x14ac:dyDescent="0.25">
      <c r="A96" s="7"/>
      <c r="B96" s="8"/>
      <c r="C96" s="8"/>
      <c r="D96" s="8"/>
      <c r="E96" s="8"/>
      <c r="F96" s="8"/>
      <c r="G96" s="83"/>
      <c r="H96" s="125"/>
      <c r="I96" s="83"/>
      <c r="J96" s="9"/>
      <c r="K96" s="8"/>
      <c r="L96" s="8"/>
      <c r="M96" s="83"/>
      <c r="N96" s="8"/>
      <c r="O96" s="83"/>
      <c r="P96" s="125"/>
      <c r="Q96" s="8"/>
      <c r="R96" s="8"/>
      <c r="S96" s="8"/>
      <c r="T96" s="83"/>
      <c r="U96" s="9"/>
      <c r="V96" s="8"/>
      <c r="W96" s="8"/>
      <c r="X96" s="8"/>
      <c r="Y96" s="8"/>
      <c r="Z96" s="8"/>
      <c r="AA96" s="8"/>
      <c r="AB96" s="121"/>
      <c r="AC96" s="8"/>
      <c r="AD96" s="8"/>
      <c r="AE96" s="8"/>
      <c r="AF96" s="83"/>
      <c r="AG96" s="125"/>
      <c r="AH96" s="8"/>
      <c r="AI96" s="8"/>
      <c r="AJ96" s="8"/>
      <c r="AK96" s="83"/>
      <c r="AL96" s="125"/>
      <c r="AM96" s="8"/>
      <c r="AN96" s="8"/>
      <c r="AO96" s="8"/>
      <c r="AP96" s="83"/>
      <c r="AQ96" s="125"/>
      <c r="AR96" s="8"/>
      <c r="AS96" s="8"/>
      <c r="AT96" s="8"/>
      <c r="AU96" s="8"/>
      <c r="AV96" s="8"/>
      <c r="AW96" s="8"/>
      <c r="AX96" s="8"/>
      <c r="AY96" s="8"/>
      <c r="AZ96" s="8"/>
      <c r="BA96" s="8"/>
      <c r="BB96" s="8"/>
      <c r="BC96" s="83"/>
      <c r="BD96" s="125"/>
      <c r="BE96" s="8"/>
      <c r="BF96" s="8"/>
      <c r="BG96" s="8"/>
      <c r="BH96" s="8"/>
      <c r="BI96" s="8"/>
      <c r="BJ96" s="8"/>
      <c r="BK96" s="8"/>
      <c r="BL96" s="8"/>
      <c r="BM96" s="8"/>
      <c r="BN96" s="8"/>
      <c r="BO96" s="8"/>
      <c r="BP96" s="8"/>
      <c r="BQ96" s="8"/>
      <c r="BR96" s="8"/>
      <c r="BS96" s="8"/>
      <c r="BT96" s="8"/>
      <c r="BU96" s="8"/>
      <c r="BV96" s="8"/>
      <c r="BW96" s="8"/>
      <c r="BX96" s="8"/>
      <c r="BY96" s="8"/>
      <c r="BZ96" s="8"/>
      <c r="CA96" s="83"/>
    </row>
    <row r="97" spans="1:79" ht="15.6" customHeight="1" x14ac:dyDescent="0.25">
      <c r="A97" s="7"/>
      <c r="B97" s="8"/>
      <c r="C97" s="8"/>
      <c r="D97" s="8"/>
      <c r="E97" s="8"/>
      <c r="F97" s="8"/>
      <c r="G97" s="83"/>
      <c r="H97" s="125"/>
      <c r="I97" s="83"/>
      <c r="J97" s="9"/>
      <c r="K97" s="8"/>
      <c r="L97" s="8"/>
      <c r="M97" s="83"/>
      <c r="N97" s="8"/>
      <c r="O97" s="83"/>
      <c r="P97" s="125"/>
      <c r="Q97" s="8"/>
      <c r="R97" s="8"/>
      <c r="S97" s="8"/>
      <c r="T97" s="83"/>
      <c r="U97" s="9"/>
      <c r="V97" s="8"/>
      <c r="W97" s="8"/>
      <c r="X97" s="8"/>
      <c r="Y97" s="8"/>
      <c r="Z97" s="8"/>
      <c r="AA97" s="8"/>
      <c r="AB97" s="121"/>
      <c r="AC97" s="8"/>
      <c r="AD97" s="8"/>
      <c r="AE97" s="8"/>
      <c r="AF97" s="83"/>
      <c r="AG97" s="125"/>
      <c r="AH97" s="8"/>
      <c r="AI97" s="8"/>
      <c r="AJ97" s="8"/>
      <c r="AK97" s="83"/>
      <c r="AL97" s="125"/>
      <c r="AM97" s="8"/>
      <c r="AN97" s="8"/>
      <c r="AO97" s="8"/>
      <c r="AP97" s="83"/>
      <c r="AQ97" s="125"/>
      <c r="AR97" s="8"/>
      <c r="AS97" s="8"/>
      <c r="AT97" s="8"/>
      <c r="AU97" s="8"/>
      <c r="AV97" s="8"/>
      <c r="AW97" s="8"/>
      <c r="AX97" s="8"/>
      <c r="AY97" s="8"/>
      <c r="AZ97" s="8"/>
      <c r="BA97" s="8"/>
      <c r="BB97" s="8"/>
      <c r="BC97" s="83"/>
      <c r="BD97" s="125"/>
      <c r="BE97" s="8"/>
      <c r="BF97" s="8"/>
      <c r="BG97" s="8"/>
      <c r="BH97" s="8"/>
      <c r="BI97" s="8"/>
      <c r="BJ97" s="8"/>
      <c r="BK97" s="8"/>
      <c r="BL97" s="8"/>
      <c r="BM97" s="8"/>
      <c r="BN97" s="8"/>
      <c r="BO97" s="8"/>
      <c r="BP97" s="8"/>
      <c r="BQ97" s="8"/>
      <c r="BR97" s="8"/>
      <c r="BS97" s="8"/>
      <c r="BT97" s="8"/>
      <c r="BU97" s="8"/>
      <c r="BV97" s="8"/>
      <c r="BW97" s="8"/>
      <c r="BX97" s="8"/>
      <c r="BY97" s="8"/>
      <c r="BZ97" s="8"/>
      <c r="CA97" s="83"/>
    </row>
    <row r="98" spans="1:79" ht="15.6" customHeight="1" x14ac:dyDescent="0.25">
      <c r="A98" s="7"/>
      <c r="B98" s="8"/>
      <c r="C98" s="8"/>
      <c r="D98" s="8"/>
      <c r="E98" s="8"/>
      <c r="F98" s="8"/>
      <c r="G98" s="83"/>
      <c r="H98" s="125"/>
      <c r="I98" s="83"/>
      <c r="J98" s="9"/>
      <c r="K98" s="8"/>
      <c r="L98" s="8"/>
      <c r="M98" s="83"/>
      <c r="N98" s="8"/>
      <c r="O98" s="83"/>
      <c r="P98" s="125"/>
      <c r="Q98" s="8"/>
      <c r="R98" s="8"/>
      <c r="S98" s="8"/>
      <c r="T98" s="83"/>
      <c r="U98" s="9"/>
      <c r="V98" s="8"/>
      <c r="W98" s="8"/>
      <c r="X98" s="8"/>
      <c r="Y98" s="8"/>
      <c r="Z98" s="8"/>
      <c r="AA98" s="8"/>
      <c r="AB98" s="121"/>
      <c r="AC98" s="8"/>
      <c r="AD98" s="8"/>
      <c r="AE98" s="8"/>
      <c r="AF98" s="83"/>
      <c r="AG98" s="125"/>
      <c r="AH98" s="8"/>
      <c r="AI98" s="8"/>
      <c r="AJ98" s="8"/>
      <c r="AK98" s="83"/>
      <c r="AL98" s="125"/>
      <c r="AM98" s="8"/>
      <c r="AN98" s="8"/>
      <c r="AO98" s="8"/>
      <c r="AP98" s="83"/>
      <c r="AQ98" s="125"/>
      <c r="AR98" s="8"/>
      <c r="AS98" s="8"/>
      <c r="AT98" s="8"/>
      <c r="AU98" s="8"/>
      <c r="AV98" s="8"/>
      <c r="AW98" s="8"/>
      <c r="AX98" s="8"/>
      <c r="AY98" s="8"/>
      <c r="AZ98" s="8"/>
      <c r="BA98" s="8"/>
      <c r="BB98" s="8"/>
      <c r="BC98" s="83"/>
      <c r="BD98" s="125"/>
      <c r="BE98" s="8"/>
      <c r="BF98" s="8"/>
      <c r="BG98" s="8"/>
      <c r="BH98" s="8"/>
      <c r="BI98" s="8"/>
      <c r="BJ98" s="8"/>
      <c r="BK98" s="8"/>
      <c r="BL98" s="8"/>
      <c r="BM98" s="8"/>
      <c r="BN98" s="8"/>
      <c r="BO98" s="8"/>
      <c r="BP98" s="8"/>
      <c r="BQ98" s="8"/>
      <c r="BR98" s="8"/>
      <c r="BS98" s="8"/>
      <c r="BT98" s="8"/>
      <c r="BU98" s="8"/>
      <c r="BV98" s="8"/>
      <c r="BW98" s="8"/>
      <c r="BX98" s="8"/>
      <c r="BY98" s="8"/>
      <c r="BZ98" s="8"/>
      <c r="CA98" s="83"/>
    </row>
    <row r="99" spans="1:79" ht="15.6" customHeight="1" x14ac:dyDescent="0.25">
      <c r="A99" s="7"/>
      <c r="B99" s="8"/>
      <c r="C99" s="8"/>
      <c r="D99" s="8"/>
      <c r="E99" s="8"/>
      <c r="F99" s="8"/>
      <c r="G99" s="83"/>
      <c r="H99" s="125"/>
      <c r="I99" s="83"/>
      <c r="J99" s="9"/>
      <c r="K99" s="8"/>
      <c r="L99" s="8"/>
      <c r="M99" s="83"/>
      <c r="N99" s="8"/>
      <c r="O99" s="83"/>
      <c r="P99" s="125"/>
      <c r="Q99" s="8"/>
      <c r="R99" s="8"/>
      <c r="S99" s="8"/>
      <c r="T99" s="83"/>
      <c r="U99" s="9"/>
      <c r="V99" s="8"/>
      <c r="W99" s="8"/>
      <c r="X99" s="8"/>
      <c r="Y99" s="8"/>
      <c r="Z99" s="8"/>
      <c r="AA99" s="8"/>
      <c r="AB99" s="121"/>
      <c r="AC99" s="8"/>
      <c r="AD99" s="8"/>
      <c r="AE99" s="8"/>
      <c r="AF99" s="83"/>
      <c r="AG99" s="125"/>
      <c r="AH99" s="8"/>
      <c r="AI99" s="8"/>
      <c r="AJ99" s="8"/>
      <c r="AK99" s="83"/>
      <c r="AL99" s="125"/>
      <c r="AM99" s="8"/>
      <c r="AN99" s="8"/>
      <c r="AO99" s="8"/>
      <c r="AP99" s="83"/>
      <c r="AQ99" s="125"/>
      <c r="AR99" s="8"/>
      <c r="AS99" s="8"/>
      <c r="AT99" s="8"/>
      <c r="AU99" s="8"/>
      <c r="AV99" s="8"/>
      <c r="AW99" s="8"/>
      <c r="AX99" s="8"/>
      <c r="AY99" s="8"/>
      <c r="AZ99" s="8"/>
      <c r="BA99" s="8"/>
      <c r="BB99" s="8"/>
      <c r="BC99" s="83"/>
      <c r="BD99" s="125"/>
      <c r="BE99" s="8"/>
      <c r="BF99" s="8"/>
      <c r="BG99" s="8"/>
      <c r="BH99" s="8"/>
      <c r="BI99" s="8"/>
      <c r="BJ99" s="8"/>
      <c r="BK99" s="8"/>
      <c r="BL99" s="8"/>
      <c r="BM99" s="8"/>
      <c r="BN99" s="8"/>
      <c r="BO99" s="8"/>
      <c r="BP99" s="8"/>
      <c r="BQ99" s="8"/>
      <c r="BR99" s="8"/>
      <c r="BS99" s="8"/>
      <c r="BT99" s="8"/>
      <c r="BU99" s="8"/>
      <c r="BV99" s="8"/>
      <c r="BW99" s="8"/>
      <c r="BX99" s="8"/>
      <c r="BY99" s="8"/>
      <c r="BZ99" s="8"/>
      <c r="CA99" s="83"/>
    </row>
    <row r="100" spans="1:79" ht="15.6" customHeight="1" x14ac:dyDescent="0.25">
      <c r="A100" s="7"/>
      <c r="B100" s="8"/>
      <c r="C100" s="8"/>
      <c r="D100" s="8"/>
      <c r="E100" s="8"/>
      <c r="F100" s="8"/>
      <c r="G100" s="83"/>
      <c r="H100" s="125"/>
      <c r="I100" s="83"/>
      <c r="J100" s="9"/>
      <c r="K100" s="8"/>
      <c r="L100" s="8"/>
      <c r="M100" s="83"/>
      <c r="N100" s="8"/>
      <c r="O100" s="83"/>
      <c r="P100" s="125"/>
      <c r="Q100" s="8"/>
      <c r="R100" s="8"/>
      <c r="S100" s="8"/>
      <c r="T100" s="83"/>
      <c r="U100" s="9"/>
      <c r="V100" s="8"/>
      <c r="W100" s="8"/>
      <c r="X100" s="8"/>
      <c r="Y100" s="8"/>
      <c r="Z100" s="8"/>
      <c r="AA100" s="8"/>
      <c r="AB100" s="121"/>
      <c r="AC100" s="8"/>
      <c r="AD100" s="8"/>
      <c r="AE100" s="8"/>
      <c r="AF100" s="83"/>
      <c r="AG100" s="125"/>
      <c r="AH100" s="8"/>
      <c r="AI100" s="8"/>
      <c r="AJ100" s="8"/>
      <c r="AK100" s="83"/>
      <c r="AL100" s="125"/>
      <c r="AM100" s="8"/>
      <c r="AN100" s="8"/>
      <c r="AO100" s="8"/>
      <c r="AP100" s="83"/>
      <c r="AQ100" s="125"/>
      <c r="AR100" s="8"/>
      <c r="AS100" s="8"/>
      <c r="AT100" s="8"/>
      <c r="AU100" s="8"/>
      <c r="AV100" s="8"/>
      <c r="AW100" s="8"/>
      <c r="AX100" s="8"/>
      <c r="AY100" s="8"/>
      <c r="AZ100" s="8"/>
      <c r="BA100" s="8"/>
      <c r="BB100" s="8"/>
      <c r="BC100" s="83"/>
      <c r="BD100" s="125"/>
      <c r="BE100" s="8"/>
      <c r="BF100" s="8"/>
      <c r="BG100" s="8"/>
      <c r="BH100" s="8"/>
      <c r="BI100" s="8"/>
      <c r="BJ100" s="8"/>
      <c r="BK100" s="8"/>
      <c r="BL100" s="8"/>
      <c r="BM100" s="8"/>
      <c r="BN100" s="8"/>
      <c r="BO100" s="8"/>
      <c r="BP100" s="8"/>
      <c r="BQ100" s="8"/>
      <c r="BR100" s="8"/>
      <c r="BS100" s="8"/>
      <c r="BT100" s="8"/>
      <c r="BU100" s="8"/>
      <c r="BV100" s="8"/>
      <c r="BW100" s="8"/>
      <c r="BX100" s="8"/>
      <c r="BY100" s="8"/>
      <c r="BZ100" s="8"/>
      <c r="CA100" s="83"/>
    </row>
    <row r="101" spans="1:79" ht="15.6" customHeight="1" x14ac:dyDescent="0.25">
      <c r="A101" s="7"/>
      <c r="B101" s="8"/>
      <c r="C101" s="8"/>
      <c r="D101" s="8"/>
      <c r="E101" s="8"/>
      <c r="F101" s="8"/>
      <c r="G101" s="83"/>
      <c r="H101" s="125"/>
      <c r="I101" s="83"/>
      <c r="J101" s="9"/>
      <c r="K101" s="8"/>
      <c r="L101" s="8"/>
      <c r="M101" s="83"/>
      <c r="N101" s="8"/>
      <c r="O101" s="83"/>
      <c r="P101" s="125"/>
      <c r="Q101" s="8"/>
      <c r="R101" s="8"/>
      <c r="S101" s="8"/>
      <c r="T101" s="83"/>
      <c r="U101" s="9"/>
      <c r="V101" s="8"/>
      <c r="W101" s="8"/>
      <c r="X101" s="8"/>
      <c r="Y101" s="8"/>
      <c r="Z101" s="8"/>
      <c r="AA101" s="8"/>
      <c r="AB101" s="121"/>
      <c r="AC101" s="8"/>
      <c r="AD101" s="8"/>
      <c r="AE101" s="8"/>
      <c r="AF101" s="83"/>
      <c r="AG101" s="125"/>
      <c r="AH101" s="8"/>
      <c r="AI101" s="8"/>
      <c r="AJ101" s="8"/>
      <c r="AK101" s="83"/>
      <c r="AL101" s="125"/>
      <c r="AM101" s="8"/>
      <c r="AN101" s="8"/>
      <c r="AO101" s="8"/>
      <c r="AP101" s="83"/>
      <c r="AQ101" s="125"/>
      <c r="AR101" s="8"/>
      <c r="AS101" s="8"/>
      <c r="AT101" s="8"/>
      <c r="AU101" s="8"/>
      <c r="AV101" s="8"/>
      <c r="AW101" s="8"/>
      <c r="AX101" s="8"/>
      <c r="AY101" s="8"/>
      <c r="AZ101" s="8"/>
      <c r="BA101" s="8"/>
      <c r="BB101" s="8"/>
      <c r="BC101" s="83"/>
      <c r="BD101" s="125"/>
      <c r="BE101" s="8"/>
      <c r="BF101" s="8"/>
      <c r="BG101" s="8"/>
      <c r="BH101" s="8"/>
      <c r="BI101" s="8"/>
      <c r="BJ101" s="8"/>
      <c r="BK101" s="8"/>
      <c r="BL101" s="8"/>
      <c r="BM101" s="8"/>
      <c r="BN101" s="8"/>
      <c r="BO101" s="8"/>
      <c r="BP101" s="8"/>
      <c r="BQ101" s="8"/>
      <c r="BR101" s="8"/>
      <c r="BS101" s="8"/>
      <c r="BT101" s="8"/>
      <c r="BU101" s="8"/>
      <c r="BV101" s="8"/>
      <c r="BW101" s="8"/>
      <c r="BX101" s="8"/>
      <c r="BY101" s="8"/>
      <c r="BZ101" s="8"/>
      <c r="CA101" s="83"/>
    </row>
    <row r="102" spans="1:79" ht="15.6" customHeight="1" x14ac:dyDescent="0.25">
      <c r="A102" s="7"/>
      <c r="B102" s="8"/>
      <c r="C102" s="8"/>
      <c r="D102" s="8"/>
      <c r="E102" s="8"/>
      <c r="F102" s="8"/>
      <c r="G102" s="83"/>
      <c r="H102" s="125"/>
      <c r="I102" s="83"/>
      <c r="J102" s="9"/>
      <c r="K102" s="8"/>
      <c r="L102" s="8"/>
      <c r="M102" s="83"/>
      <c r="N102" s="8"/>
      <c r="O102" s="83"/>
      <c r="P102" s="125"/>
      <c r="Q102" s="8"/>
      <c r="R102" s="8"/>
      <c r="S102" s="8"/>
      <c r="T102" s="83"/>
      <c r="U102" s="9"/>
      <c r="V102" s="8"/>
      <c r="W102" s="8"/>
      <c r="X102" s="8"/>
      <c r="Y102" s="8"/>
      <c r="Z102" s="8"/>
      <c r="AA102" s="8"/>
      <c r="AB102" s="121"/>
      <c r="AC102" s="8"/>
      <c r="AD102" s="8"/>
      <c r="AE102" s="8"/>
      <c r="AF102" s="83"/>
      <c r="AG102" s="125"/>
      <c r="AH102" s="8"/>
      <c r="AI102" s="8"/>
      <c r="AJ102" s="8"/>
      <c r="AK102" s="83"/>
      <c r="AL102" s="125"/>
      <c r="AM102" s="8"/>
      <c r="AN102" s="8"/>
      <c r="AO102" s="8"/>
      <c r="AP102" s="83"/>
      <c r="AQ102" s="125"/>
      <c r="AR102" s="8"/>
      <c r="AS102" s="8"/>
      <c r="AT102" s="8"/>
      <c r="AU102" s="8"/>
      <c r="AV102" s="8"/>
      <c r="AW102" s="8"/>
      <c r="AX102" s="8"/>
      <c r="AY102" s="8"/>
      <c r="AZ102" s="8"/>
      <c r="BA102" s="8"/>
      <c r="BB102" s="8"/>
      <c r="BC102" s="83"/>
      <c r="BD102" s="125"/>
      <c r="BE102" s="8"/>
      <c r="BF102" s="8"/>
      <c r="BG102" s="8"/>
      <c r="BH102" s="8"/>
      <c r="BI102" s="8"/>
      <c r="BJ102" s="8"/>
      <c r="BK102" s="8"/>
      <c r="BL102" s="8"/>
      <c r="BM102" s="8"/>
      <c r="BN102" s="8"/>
      <c r="BO102" s="8"/>
      <c r="BP102" s="8"/>
      <c r="BQ102" s="8"/>
      <c r="BR102" s="8"/>
      <c r="BS102" s="8"/>
      <c r="BT102" s="8"/>
      <c r="BU102" s="8"/>
      <c r="BV102" s="8"/>
      <c r="BW102" s="8"/>
      <c r="BX102" s="8"/>
      <c r="BY102" s="8"/>
      <c r="BZ102" s="8"/>
      <c r="CA102" s="83"/>
    </row>
    <row r="103" spans="1:79" ht="15.6" customHeight="1" x14ac:dyDescent="0.25">
      <c r="A103" s="7"/>
      <c r="B103" s="8"/>
      <c r="C103" s="8"/>
      <c r="D103" s="8"/>
      <c r="E103" s="8"/>
      <c r="F103" s="8"/>
      <c r="G103" s="83"/>
      <c r="H103" s="125"/>
      <c r="I103" s="83"/>
      <c r="J103" s="9"/>
      <c r="K103" s="8"/>
      <c r="L103" s="8"/>
      <c r="M103" s="83"/>
      <c r="N103" s="8"/>
      <c r="O103" s="83"/>
      <c r="P103" s="125"/>
      <c r="Q103" s="8"/>
      <c r="R103" s="8"/>
      <c r="S103" s="8"/>
      <c r="T103" s="83"/>
      <c r="U103" s="9"/>
      <c r="V103" s="8"/>
      <c r="W103" s="8"/>
      <c r="X103" s="8"/>
      <c r="Y103" s="8"/>
      <c r="Z103" s="8"/>
      <c r="AA103" s="8"/>
      <c r="AB103" s="121"/>
      <c r="AC103" s="8"/>
      <c r="AD103" s="8"/>
      <c r="AE103" s="8"/>
      <c r="AF103" s="83"/>
      <c r="AG103" s="125"/>
      <c r="AH103" s="8"/>
      <c r="AI103" s="8"/>
      <c r="AJ103" s="8"/>
      <c r="AK103" s="83"/>
      <c r="AL103" s="125"/>
      <c r="AM103" s="8"/>
      <c r="AN103" s="8"/>
      <c r="AO103" s="8"/>
      <c r="AP103" s="83"/>
      <c r="AQ103" s="125"/>
      <c r="AR103" s="8"/>
      <c r="AS103" s="8"/>
      <c r="AT103" s="8"/>
      <c r="AU103" s="8"/>
      <c r="AV103" s="8"/>
      <c r="AW103" s="8"/>
      <c r="AX103" s="8"/>
      <c r="AY103" s="8"/>
      <c r="AZ103" s="8"/>
      <c r="BA103" s="8"/>
      <c r="BB103" s="8"/>
      <c r="BC103" s="83"/>
      <c r="BD103" s="125"/>
      <c r="BE103" s="8"/>
      <c r="BF103" s="8"/>
      <c r="BG103" s="8"/>
      <c r="BH103" s="8"/>
      <c r="BI103" s="8"/>
      <c r="BJ103" s="8"/>
      <c r="BK103" s="8"/>
      <c r="BL103" s="8"/>
      <c r="BM103" s="8"/>
      <c r="BN103" s="8"/>
      <c r="BO103" s="8"/>
      <c r="BP103" s="8"/>
      <c r="BQ103" s="8"/>
      <c r="BR103" s="8"/>
      <c r="BS103" s="8"/>
      <c r="BT103" s="8"/>
      <c r="BU103" s="8"/>
      <c r="BV103" s="8"/>
      <c r="BW103" s="8"/>
      <c r="BX103" s="8"/>
      <c r="BY103" s="8"/>
      <c r="BZ103" s="8"/>
      <c r="CA103" s="83"/>
    </row>
    <row r="104" spans="1:79" ht="15.6" customHeight="1" x14ac:dyDescent="0.25">
      <c r="A104" s="7"/>
      <c r="B104" s="8"/>
      <c r="C104" s="8"/>
      <c r="D104" s="8"/>
      <c r="E104" s="8"/>
      <c r="F104" s="8"/>
      <c r="G104" s="83"/>
      <c r="H104" s="125"/>
      <c r="I104" s="83"/>
      <c r="J104" s="9"/>
      <c r="K104" s="8"/>
      <c r="L104" s="8"/>
      <c r="M104" s="83"/>
      <c r="N104" s="8"/>
      <c r="O104" s="83"/>
      <c r="P104" s="125"/>
      <c r="Q104" s="8"/>
      <c r="R104" s="8"/>
      <c r="S104" s="8"/>
      <c r="T104" s="83"/>
      <c r="U104" s="9"/>
      <c r="V104" s="8"/>
      <c r="W104" s="8"/>
      <c r="X104" s="8"/>
      <c r="Y104" s="8"/>
      <c r="Z104" s="8"/>
      <c r="AA104" s="8"/>
      <c r="AB104" s="121"/>
      <c r="AC104" s="8"/>
      <c r="AD104" s="8"/>
      <c r="AE104" s="8"/>
      <c r="AF104" s="83"/>
      <c r="AG104" s="125"/>
      <c r="AH104" s="8"/>
      <c r="AI104" s="8"/>
      <c r="AJ104" s="8"/>
      <c r="AK104" s="83"/>
      <c r="AL104" s="125"/>
      <c r="AM104" s="8"/>
      <c r="AN104" s="8"/>
      <c r="AO104" s="8"/>
      <c r="AP104" s="83"/>
      <c r="AQ104" s="125"/>
      <c r="AR104" s="8"/>
      <c r="AS104" s="8"/>
      <c r="AT104" s="8"/>
      <c r="AU104" s="8"/>
      <c r="AV104" s="8"/>
      <c r="AW104" s="8"/>
      <c r="AX104" s="8"/>
      <c r="AY104" s="8"/>
      <c r="AZ104" s="8"/>
      <c r="BA104" s="8"/>
      <c r="BB104" s="8"/>
      <c r="BC104" s="83"/>
      <c r="BD104" s="125"/>
      <c r="BE104" s="8"/>
      <c r="BF104" s="8"/>
      <c r="BG104" s="8"/>
      <c r="BH104" s="8"/>
      <c r="BI104" s="8"/>
      <c r="BJ104" s="8"/>
      <c r="BK104" s="8"/>
      <c r="BL104" s="8"/>
      <c r="BM104" s="8"/>
      <c r="BN104" s="8"/>
      <c r="BO104" s="8"/>
      <c r="BP104" s="8"/>
      <c r="BQ104" s="8"/>
      <c r="BR104" s="8"/>
      <c r="BS104" s="8"/>
      <c r="BT104" s="8"/>
      <c r="BU104" s="8"/>
      <c r="BV104" s="8"/>
      <c r="BW104" s="8"/>
      <c r="BX104" s="8"/>
      <c r="BY104" s="8"/>
      <c r="BZ104" s="8"/>
      <c r="CA104" s="83"/>
    </row>
    <row r="105" spans="1:79" ht="15.6" customHeight="1" x14ac:dyDescent="0.25">
      <c r="A105" s="7"/>
      <c r="B105" s="8"/>
      <c r="C105" s="8"/>
      <c r="D105" s="8"/>
      <c r="E105" s="8"/>
      <c r="F105" s="8"/>
      <c r="G105" s="83"/>
      <c r="H105" s="125"/>
      <c r="I105" s="83"/>
      <c r="J105" s="9"/>
      <c r="K105" s="8"/>
      <c r="L105" s="8"/>
      <c r="M105" s="83"/>
      <c r="N105" s="8"/>
      <c r="O105" s="83"/>
      <c r="P105" s="125"/>
      <c r="Q105" s="8"/>
      <c r="R105" s="8"/>
      <c r="S105" s="8"/>
      <c r="T105" s="83"/>
      <c r="U105" s="9"/>
      <c r="V105" s="8"/>
      <c r="W105" s="8"/>
      <c r="X105" s="8"/>
      <c r="Y105" s="8"/>
      <c r="Z105" s="8"/>
      <c r="AA105" s="8"/>
      <c r="AB105" s="121"/>
      <c r="AC105" s="8"/>
      <c r="AD105" s="8"/>
      <c r="AE105" s="8"/>
      <c r="AF105" s="83"/>
      <c r="AG105" s="125"/>
      <c r="AH105" s="8"/>
      <c r="AI105" s="8"/>
      <c r="AJ105" s="8"/>
      <c r="AK105" s="83"/>
      <c r="AL105" s="125"/>
      <c r="AM105" s="8"/>
      <c r="AN105" s="8"/>
      <c r="AO105" s="8"/>
      <c r="AP105" s="83"/>
      <c r="AQ105" s="125"/>
      <c r="AR105" s="8"/>
      <c r="AS105" s="8"/>
      <c r="AT105" s="8"/>
      <c r="AU105" s="8"/>
      <c r="AV105" s="8"/>
      <c r="AW105" s="8"/>
      <c r="AX105" s="8"/>
      <c r="AY105" s="8"/>
      <c r="AZ105" s="8"/>
      <c r="BA105" s="8"/>
      <c r="BB105" s="8"/>
      <c r="BC105" s="83"/>
      <c r="BD105" s="125"/>
      <c r="BE105" s="8"/>
      <c r="BF105" s="8"/>
      <c r="BG105" s="8"/>
      <c r="BH105" s="8"/>
      <c r="BI105" s="8"/>
      <c r="BJ105" s="8"/>
      <c r="BK105" s="8"/>
      <c r="BL105" s="8"/>
      <c r="BM105" s="8"/>
      <c r="BN105" s="8"/>
      <c r="BO105" s="8"/>
      <c r="BP105" s="8"/>
      <c r="BQ105" s="8"/>
      <c r="BR105" s="8"/>
      <c r="BS105" s="8"/>
      <c r="BT105" s="8"/>
      <c r="BU105" s="8"/>
      <c r="BV105" s="8"/>
      <c r="BW105" s="8"/>
      <c r="BX105" s="8"/>
      <c r="BY105" s="8"/>
      <c r="BZ105" s="8"/>
      <c r="CA105" s="83"/>
    </row>
  </sheetData>
  <sheetProtection sheet="1" formatCells="0" formatColumns="0" formatRows="0"/>
  <dataConsolidate/>
  <mergeCells count="9">
    <mergeCell ref="AG5:AK5"/>
    <mergeCell ref="A5:G5"/>
    <mergeCell ref="A3:B3"/>
    <mergeCell ref="BD5:BH5"/>
    <mergeCell ref="AV5:BC5"/>
    <mergeCell ref="AL5:AP5"/>
    <mergeCell ref="AQ5:AU5"/>
    <mergeCell ref="AT4:AU4"/>
    <mergeCell ref="AB5:AF5"/>
  </mergeCells>
  <phoneticPr fontId="17" type="noConversion"/>
  <conditionalFormatting sqref="A1:I11 J6:AA11 AB7:DE10 AB11:XFD11 A12:XFD1048576 Q1:DE2 J1:P4 DH1:EY4 L1:M5 EZ1:XFD5 DF1:DG10 DJ1:DK10 AB3:CC3 R3:AA4 CE3:ES4 AB4:AT4 AV4:CC4 J5 P5:AB5 AG5:DI5 DX5:EQ5 ET5:EY5 DI5:DI9 DL5:DW9 AB6:DI6 DX6:XFD6 CY6:DI9 DX7:EY9 DH7:DN10 EZ7:XFD10 DO10:FL10">
    <cfRule type="expression" dxfId="39" priority="15">
      <formula>AND($C$3&lt;&gt;TODAY(), $C$3&lt;&gt;"*((var*((date_meeting")</formula>
    </cfRule>
  </conditionalFormatting>
  <conditionalFormatting sqref="A10:AU86">
    <cfRule type="expression" dxfId="38" priority="11">
      <formula>CY10&lt;&gt;""</formula>
    </cfRule>
  </conditionalFormatting>
  <conditionalFormatting sqref="C3">
    <cfRule type="expression" dxfId="37" priority="14">
      <formula>$C$3&lt;&gt;TODAY()</formula>
    </cfRule>
  </conditionalFormatting>
  <conditionalFormatting sqref="C4">
    <cfRule type="expression" dxfId="36" priority="10">
      <formula>OR($C$4="", $C$4="[PLEASE COMPLETE]")</formula>
    </cfRule>
  </conditionalFormatting>
  <dataValidations count="4">
    <dataValidation type="date" operator="notEqual" allowBlank="1" showInputMessage="1" showErrorMessage="1" sqref="C3" xr:uid="{1866ACBE-DA17-49E0-83B9-6B0A18706862}">
      <formula1>1</formula1>
    </dataValidation>
    <dataValidation operator="notEqual" allowBlank="1" showInputMessage="1" showErrorMessage="1" sqref="C4 W10:W86 Y10:Y86 AD10:AD86 AF10:AF86 AH10:AH86 AJ10:AJ86" xr:uid="{E677838E-C2CB-4417-B396-77E9BBB9E08F}"/>
    <dataValidation type="date" operator="notEqual" allowBlank="1" showInputMessage="1" showErrorMessage="1" sqref="Q10:Q86 H10:H86 L10:L86 AK10:AK86 X10:X86 Z10:AC86 AE10:AE86 AG10:AG86 AI10:AI86 S10:V86" xr:uid="{DCF2E3D7-0B95-4EC1-B559-A5775B57A4E4}">
      <formula1>367</formula1>
    </dataValidation>
    <dataValidation type="whole" operator="notEqual" allowBlank="1" showInputMessage="1" showErrorMessage="1" sqref="AR10:AU86" xr:uid="{FBF107FF-BA69-4FC2-9E89-3E0694C5A12D}">
      <formula1>-99</formula1>
    </dataValidation>
  </dataValidations>
  <pageMargins left="0.7" right="0.7" top="0.75" bottom="0.75" header="0.3" footer="0.3"/>
  <pageSetup orientation="portrait"/>
  <legacyDrawing r:id="rId1"/>
  <extLst>
    <ext xmlns:x14="http://schemas.microsoft.com/office/spreadsheetml/2009/9/main" uri="{78C0D931-6437-407d-A8EE-F0AAD7539E65}">
      <x14:conditionalFormattings>
        <x14:conditionalFormatting xmlns:xm="http://schemas.microsoft.com/office/excel/2006/main">
          <x14:cfRule type="expression" priority="180" id="{A07B3BAD-FC88-494D-A295-246A8C7EE7C5}">
            <xm:f>CL10&lt;Constants!$B$3</xm:f>
            <x14:dxf>
              <fill>
                <patternFill>
                  <bgColor rgb="FFFFC000"/>
                </patternFill>
              </fill>
            </x14:dxf>
          </x14:cfRule>
          <x14:cfRule type="expression" priority="179" id="{030B48BD-D612-4CB2-B450-1689ECDE0E41}">
            <xm:f>CL10&lt;Constants!$B$4</xm:f>
            <x14:dxf>
              <fill>
                <patternFill>
                  <bgColor rgb="FFFF0000"/>
                </patternFill>
              </fill>
            </x14:dxf>
          </x14:cfRule>
          <xm:sqref>H10:I86</xm:sqref>
        </x14:conditionalFormatting>
        <x14:conditionalFormatting xmlns:xm="http://schemas.microsoft.com/office/excel/2006/main">
          <x14:cfRule type="expression" priority="255" id="{097E0F9E-6BD7-46F8-BAA4-EF2F629539B9}">
            <xm:f>CO10&lt;Constants!$B$3</xm:f>
            <x14:dxf>
              <fill>
                <patternFill>
                  <bgColor rgb="FFFFC000"/>
                </patternFill>
              </fill>
            </x14:dxf>
          </x14:cfRule>
          <x14:cfRule type="expression" priority="250" id="{030B48BD-D612-4CB2-B450-1689ECDE0E41}">
            <xm:f>CN10&lt;Constants!$B$4</xm:f>
            <x14:dxf>
              <fill>
                <patternFill>
                  <bgColor rgb="FFFF0000"/>
                </patternFill>
              </fill>
            </x14:dxf>
          </x14:cfRule>
          <x14:cfRule type="expression" priority="251" id="{A07B3BAD-FC88-494D-A295-246A8C7EE7C5}">
            <xm:f>CN10&lt;Constants!$B$3</xm:f>
            <x14:dxf>
              <fill>
                <patternFill>
                  <bgColor rgb="FFFFC000"/>
                </patternFill>
              </fill>
            </x14:dxf>
          </x14:cfRule>
          <x14:cfRule type="expression" priority="254" id="{E1975C84-06D7-4EA9-8AC3-9689AC3EB6C0}">
            <xm:f>CO10&lt;Constants!$B$4</xm:f>
            <x14:dxf>
              <fill>
                <patternFill>
                  <bgColor rgb="FFFF0000"/>
                </patternFill>
              </fill>
            </x14:dxf>
          </x14:cfRule>
          <xm:sqref>L10:M86</xm:sqref>
        </x14:conditionalFormatting>
        <x14:conditionalFormatting xmlns:xm="http://schemas.microsoft.com/office/excel/2006/main">
          <x14:cfRule type="expression" priority="133" id="{097E0F9E-6BD7-46F8-BAA4-EF2F629539B9}">
            <xm:f>CI10&lt;Constants!$B$3</xm:f>
            <x14:dxf>
              <fill>
                <patternFill>
                  <bgColor rgb="FFFFC000"/>
                </patternFill>
              </fill>
            </x14:dxf>
          </x14:cfRule>
          <xm:sqref>U10:W86</xm:sqref>
        </x14:conditionalFormatting>
        <x14:conditionalFormatting xmlns:xm="http://schemas.microsoft.com/office/excel/2006/main">
          <x14:cfRule type="expression" priority="137" id="{097E0F9E-6BD7-46F8-BAA4-EF2F629539B9}">
            <xm:f>CK1048571&lt;Constants!$B$3</xm:f>
            <x14:dxf>
              <fill>
                <patternFill>
                  <bgColor rgb="FFFFC000"/>
                </patternFill>
              </fill>
            </x14:dxf>
          </x14:cfRule>
          <xm:sqref>W12:W27</xm:sqref>
        </x14:conditionalFormatting>
        <x14:conditionalFormatting xmlns:xm="http://schemas.microsoft.com/office/excel/2006/main">
          <x14:cfRule type="expression" priority="5" id="{7E10C7C6-1C8F-4EF8-B19D-67A671963F91}">
            <xm:f>CL11&lt;Constants!$B$3</xm:f>
            <x14:dxf>
              <fill>
                <patternFill>
                  <bgColor rgb="FFFFC000"/>
                </patternFill>
              </fill>
            </x14:dxf>
          </x14:cfRule>
          <xm:sqref>X11</xm:sqref>
        </x14:conditionalFormatting>
        <x14:conditionalFormatting xmlns:xm="http://schemas.microsoft.com/office/excel/2006/main">
          <x14:cfRule type="expression" priority="129" id="{097E0F9E-6BD7-46F8-BAA4-EF2F629539B9}">
            <xm:f>CK10&lt;Constants!$B$3</xm:f>
            <x14:dxf>
              <fill>
                <patternFill>
                  <bgColor rgb="FFFFC000"/>
                </patternFill>
              </fill>
            </x14:dxf>
          </x14:cfRule>
          <x14:cfRule type="expression" priority="128" id="{E1975C84-06D7-4EA9-8AC3-9689AC3EB6C0}">
            <xm:f>CK10&lt;Constants!$B$4</xm:f>
            <x14:dxf>
              <fill>
                <patternFill>
                  <bgColor rgb="FFFF0000"/>
                </patternFill>
              </fill>
            </x14:dxf>
          </x14:cfRule>
          <xm:sqref>X10:AA86 AE10:AF86</xm:sqref>
        </x14:conditionalFormatting>
        <x14:conditionalFormatting xmlns:xm="http://schemas.microsoft.com/office/excel/2006/main">
          <x14:cfRule type="expression" priority="41" id="{CD7F224B-AB8F-46AB-9F8E-9DF8AB787A13}">
            <xm:f>CM10&lt;Constants!$B$3</xm:f>
            <x14:dxf>
              <fill>
                <patternFill>
                  <bgColor rgb="FFFFC000"/>
                </patternFill>
              </fill>
            </x14:dxf>
          </x14:cfRule>
          <xm:sqref>Y10</xm:sqref>
        </x14:conditionalFormatting>
        <x14:conditionalFormatting xmlns:xm="http://schemas.microsoft.com/office/excel/2006/main">
          <x14:cfRule type="expression" priority="40" id="{64A03755-9E8E-4D48-B649-949C4AEA3BCA}">
            <xm:f>CP10&lt;Constants!$B$3</xm:f>
            <x14:dxf>
              <fill>
                <patternFill>
                  <bgColor rgb="FFFFC000"/>
                </patternFill>
              </fill>
            </x14:dxf>
          </x14:cfRule>
          <x14:cfRule type="expression" priority="35" id="{73D8A5D3-6B56-48F8-A5A4-AF8510DAC912}">
            <xm:f>CP10&lt;Constants!$B$4</xm:f>
            <x14:dxf>
              <fill>
                <patternFill>
                  <bgColor rgb="FFFF0000"/>
                </patternFill>
              </fill>
            </x14:dxf>
          </x14:cfRule>
          <xm:sqref>AF10 AB10:AD86</xm:sqref>
        </x14:conditionalFormatting>
        <x14:conditionalFormatting xmlns:xm="http://schemas.microsoft.com/office/excel/2006/main">
          <x14:cfRule type="expression" priority="33" id="{07B0D8CC-773C-406D-BEE7-5C72F8598388}">
            <xm:f>CU10&lt;Constants!$B$3</xm:f>
            <x14:dxf>
              <fill>
                <patternFill>
                  <bgColor rgb="FFFFC000"/>
                </patternFill>
              </fill>
            </x14:dxf>
          </x14:cfRule>
          <xm:sqref>AF10</xm:sqref>
        </x14:conditionalFormatting>
        <x14:conditionalFormatting xmlns:xm="http://schemas.microsoft.com/office/excel/2006/main">
          <x14:cfRule type="expression" priority="151" id="{097E0F9E-6BD7-46F8-BAA4-EF2F629539B9}">
            <xm:f>CS10&lt;Constants!$B$3</xm:f>
            <x14:dxf>
              <fill>
                <patternFill>
                  <bgColor rgb="FFFFC000"/>
                </patternFill>
              </fill>
            </x14:dxf>
          </x14:cfRule>
          <x14:cfRule type="expression" priority="150" id="{E1975C84-06D7-4EA9-8AC3-9689AC3EB6C0}">
            <xm:f>CS10&lt;Constants!$B$4</xm:f>
            <x14:dxf>
              <fill>
                <patternFill>
                  <bgColor rgb="FFFF0000"/>
                </patternFill>
              </fill>
            </x14:dxf>
          </x14:cfRule>
          <xm:sqref>AG10:AH86</xm:sqref>
        </x14:conditionalFormatting>
        <x14:conditionalFormatting xmlns:xm="http://schemas.microsoft.com/office/excel/2006/main">
          <x14:cfRule type="expression" priority="24" id="{84CE3071-CF4E-4D3C-A454-BF809826CEB9}">
            <xm:f>CX10&lt;Constants!$B$3</xm:f>
            <x14:dxf>
              <fill>
                <patternFill>
                  <bgColor rgb="FFFFC000"/>
                </patternFill>
              </fill>
            </x14:dxf>
          </x14:cfRule>
          <x14:cfRule type="expression" priority="31" id="{030B48BD-D612-4CB2-B450-1689ECDE0E41}">
            <xm:f>CW10&lt;Constants!$B$4</xm:f>
            <x14:dxf>
              <fill>
                <patternFill>
                  <bgColor rgb="FFFF0000"/>
                </patternFill>
              </fill>
            </x14:dxf>
          </x14:cfRule>
          <x14:cfRule type="expression" priority="32" id="{A07B3BAD-FC88-494D-A295-246A8C7EE7C5}">
            <xm:f>CW10&lt;Constants!$B$3</xm:f>
            <x14:dxf>
              <fill>
                <patternFill>
                  <bgColor rgb="FFFFC000"/>
                </patternFill>
              </fill>
            </x14:dxf>
          </x14:cfRule>
          <xm:sqref>AH10</xm:sqref>
        </x14:conditionalFormatting>
        <x14:conditionalFormatting xmlns:xm="http://schemas.microsoft.com/office/excel/2006/main">
          <x14:cfRule type="expression" priority="161" id="{E1975C84-06D7-4EA9-8AC3-9689AC3EB6C0}">
            <xm:f>CT10&lt;Constants!$B$4</xm:f>
            <x14:dxf>
              <fill>
                <patternFill>
                  <bgColor rgb="FFFF0000"/>
                </patternFill>
              </fill>
            </x14:dxf>
          </x14:cfRule>
          <x14:cfRule type="expression" priority="162" id="{097E0F9E-6BD7-46F8-BAA4-EF2F629539B9}">
            <xm:f>CT10&lt;Constants!$B$3</xm:f>
            <x14:dxf>
              <fill>
                <patternFill>
                  <bgColor rgb="FFFFC000"/>
                </patternFill>
              </fill>
            </x14:dxf>
          </x14:cfRule>
          <xm:sqref>AI10 AI11:AJ86</xm:sqref>
        </x14:conditionalFormatting>
        <x14:conditionalFormatting xmlns:xm="http://schemas.microsoft.com/office/excel/2006/main">
          <x14:cfRule type="expression" priority="4" id="{7FCC7969-91AE-4F72-AEB5-256433D3593F}">
            <xm:f>CU14&lt;Constants!$B$3</xm:f>
            <x14:dxf>
              <fill>
                <patternFill>
                  <bgColor rgb="FFFFC000"/>
                </patternFill>
              </fill>
            </x14:dxf>
          </x14:cfRule>
          <x14:cfRule type="expression" priority="3" id="{F5FEDD13-D489-435C-9175-697CB97AEDF5}">
            <xm:f>CU14&lt;Constants!$B$4</xm:f>
            <x14:dxf>
              <fill>
                <patternFill>
                  <bgColor rgb="FFFF0000"/>
                </patternFill>
              </fill>
            </x14:dxf>
          </x14:cfRule>
          <xm:sqref>AI14:AI15</xm:sqref>
        </x14:conditionalFormatting>
        <x14:conditionalFormatting xmlns:xm="http://schemas.microsoft.com/office/excel/2006/main">
          <x14:cfRule type="expression" priority="2" id="{8B84690E-365A-4012-B1E7-16A7A7CA3857}">
            <xm:f>CU17&lt;Constants!$B$3</xm:f>
            <x14:dxf>
              <fill>
                <patternFill>
                  <bgColor rgb="FFFFC000"/>
                </patternFill>
              </fill>
            </x14:dxf>
          </x14:cfRule>
          <x14:cfRule type="expression" priority="1" id="{70096F57-71AF-4783-92F9-ACAF613915EB}">
            <xm:f>CU17&lt;Constants!$B$4</xm:f>
            <x14:dxf>
              <fill>
                <patternFill>
                  <bgColor rgb="FFFF0000"/>
                </patternFill>
              </fill>
            </x14:dxf>
          </x14:cfRule>
          <xm:sqref>AI17</xm:sqref>
        </x14:conditionalFormatting>
        <x14:conditionalFormatting xmlns:xm="http://schemas.microsoft.com/office/excel/2006/main">
          <x14:cfRule type="expression" priority="7" id="{32A90769-3184-4382-A95B-CE5322E3C17D}">
            <xm:f>CU19&lt;Constants!$B$3</xm:f>
            <x14:dxf>
              <fill>
                <patternFill>
                  <bgColor rgb="FFFFC000"/>
                </patternFill>
              </fill>
            </x14:dxf>
          </x14:cfRule>
          <x14:cfRule type="expression" priority="6" id="{086191A4-29E7-4D2A-BCBE-F0CFA53C21F9}">
            <xm:f>CU19&lt;Constants!$B$4</xm:f>
            <x14:dxf>
              <fill>
                <patternFill>
                  <bgColor rgb="FFFF0000"/>
                </patternFill>
              </fill>
            </x14:dxf>
          </x14:cfRule>
          <xm:sqref>AI19:AI21</xm:sqref>
        </x14:conditionalFormatting>
        <x14:conditionalFormatting xmlns:xm="http://schemas.microsoft.com/office/excel/2006/main">
          <x14:cfRule type="expression" priority="18" id="{4DC991DA-5F6C-498A-9793-6434D9C3121A}">
            <xm:f>CY10&lt;Constants!$B$4</xm:f>
            <x14:dxf>
              <fill>
                <patternFill>
                  <bgColor rgb="FFFF0000"/>
                </patternFill>
              </fill>
            </x14:dxf>
          </x14:cfRule>
          <x14:cfRule type="expression" priority="17" id="{6A9D1DA9-24BF-48D9-915F-98FD84E4162B}">
            <xm:f>CZ10&lt;Constants!$B$3</xm:f>
            <x14:dxf>
              <fill>
                <patternFill>
                  <bgColor rgb="FFFFC000"/>
                </patternFill>
              </fill>
            </x14:dxf>
          </x14:cfRule>
          <x14:cfRule type="expression" priority="23" id="{2E4EB5DD-3CD9-44E0-A3FA-9D2A7640E404}">
            <xm:f>CV10&lt;Constants!$B$3</xm:f>
            <x14:dxf>
              <fill>
                <patternFill>
                  <bgColor rgb="FFFFC000"/>
                </patternFill>
              </fill>
            </x14:dxf>
          </x14:cfRule>
          <x14:cfRule type="expression" priority="22" id="{73C2A61B-AB4A-4A77-9663-584188477CFD}">
            <xm:f>CV10&lt;Constants!$B$4</xm:f>
            <x14:dxf>
              <fill>
                <patternFill>
                  <bgColor rgb="FFFF0000"/>
                </patternFill>
              </fill>
            </x14:dxf>
          </x14:cfRule>
          <x14:cfRule type="expression" priority="19" id="{197CD818-8F0A-438A-98DD-72CE4D93F2CE}">
            <xm:f>CY10&lt;Constants!$B$3</xm:f>
            <x14:dxf>
              <fill>
                <patternFill>
                  <bgColor rgb="FFFFC000"/>
                </patternFill>
              </fill>
            </x14:dxf>
          </x14:cfRule>
          <xm:sqref>AJ10</xm:sqref>
        </x14:conditionalFormatting>
        <x14:conditionalFormatting xmlns:xm="http://schemas.microsoft.com/office/excel/2006/main">
          <x14:cfRule type="expression" priority="42" id="{E1975C84-06D7-4EA9-8AC3-9689AC3EB6C0}">
            <xm:f>CU10&lt;Constants!$B$4</xm:f>
            <x14:dxf>
              <fill>
                <patternFill>
                  <bgColor rgb="FFFF0000"/>
                </patternFill>
              </fill>
            </x14:dxf>
          </x14:cfRule>
          <x14:cfRule type="expression" priority="125" id="{097E0F9E-6BD7-46F8-BAA4-EF2F629539B9}">
            <xm:f>CU10&lt;Constants!$B$3</xm:f>
            <x14:dxf>
              <fill>
                <patternFill>
                  <bgColor rgb="FFFFC000"/>
                </patternFill>
              </fill>
            </x14:dxf>
          </x14:cfRule>
          <xm:sqref>AK10:AK86</xm:sqref>
        </x14:conditionalFormatting>
      </x14:conditionalFormattings>
    </ext>
    <ext xmlns:x14="http://schemas.microsoft.com/office/spreadsheetml/2009/9/main" uri="{CCE6A557-97BC-4b89-ADB6-D9C93CAAB3DF}">
      <x14:dataValidations xmlns:xm="http://schemas.microsoft.com/office/excel/2006/main" count="10">
        <x14:dataValidation type="list" allowBlank="1" showInputMessage="1" showErrorMessage="1" xr:uid="{5ED86C15-B6CC-407E-B13F-8321679335BF}">
          <x14:formula1>
            <xm:f>List!$F$14:$F$21</xm:f>
          </x14:formula1>
          <xm:sqref>AV11:AV25 AY11:BB25</xm:sqref>
        </x14:dataValidation>
        <x14:dataValidation type="list" allowBlank="1" showInputMessage="1" showErrorMessage="1" xr:uid="{DEB923EB-966D-4FCE-8C42-2E0A086078A2}">
          <x14:formula1>
            <xm:f>List!$G$14:$G$16</xm:f>
          </x14:formula1>
          <xm:sqref>AW11:AW25</xm:sqref>
        </x14:dataValidation>
        <x14:dataValidation type="list" allowBlank="1" showErrorMessage="1" errorTitle="Incorrect Entry " error="Cell must be filled in. Please enter either an estinated OR actual date." xr:uid="{5E4FACA6-4E7A-426F-BF85-440ABB18854B}">
          <x14:formula1>
            <xm:f>List!$G$2:$G$4</xm:f>
          </x14:formula1>
          <xm:sqref>R10:R86</xm:sqref>
        </x14:dataValidation>
        <x14:dataValidation type="list" allowBlank="1" showInputMessage="1" showErrorMessage="1" xr:uid="{F55B3206-E23B-48D9-B341-A2EB50B5A323}">
          <x14:formula1>
            <xm:f>List!$D$14:$D$16</xm:f>
          </x14:formula1>
          <xm:sqref>F10:F86</xm:sqref>
        </x14:dataValidation>
        <x14:dataValidation type="list" allowBlank="1" showInputMessage="1" showErrorMessage="1" xr:uid="{836390A4-7E64-436A-AE41-1133F80FD1A2}">
          <x14:formula1>
            <xm:f>List!$E$2:$E$4</xm:f>
          </x14:formula1>
          <xm:sqref>O10:O97 K10:L97 M87:M97</xm:sqref>
        </x14:dataValidation>
        <x14:dataValidation type="list" allowBlank="1" showInputMessage="1" showErrorMessage="1" xr:uid="{6E0C0D34-8AB6-4849-A898-9150EB107D91}">
          <x14:formula1>
            <xm:f>List!$F$2:$F$7</xm:f>
          </x14:formula1>
          <xm:sqref>P10:P86</xm:sqref>
        </x14:dataValidation>
        <x14:dataValidation type="list" operator="notEqual" allowBlank="1" showInputMessage="1" showErrorMessage="1" xr:uid="{D5B5F197-456D-43E7-8249-31C15F93C51F}">
          <x14:formula1>
            <xm:f>List!$G$2:$G$4</xm:f>
          </x14:formula1>
          <xm:sqref>R10:R86</xm:sqref>
        </x14:dataValidation>
        <x14:dataValidation type="list" operator="notEqual" allowBlank="1" showInputMessage="1" showErrorMessage="1" xr:uid="{72EEC52A-91E9-42DC-AB78-C8A06B4CB729}">
          <x14:formula1>
            <xm:f>List!$M$2:$M$5</xm:f>
          </x14:formula1>
          <xm:sqref>I10:I86 L10:M86</xm:sqref>
        </x14:dataValidation>
        <x14:dataValidation type="list" allowBlank="1" showInputMessage="1" showErrorMessage="1" xr:uid="{8D4CD9C9-388E-4C8E-84E6-1DB2BBA7D8D8}">
          <x14:formula1>
            <xm:f>List!$M$2:$M$5</xm:f>
          </x14:formula1>
          <xm:sqref>I10:I86 M10:M86</xm:sqref>
        </x14:dataValidation>
        <x14:dataValidation type="list" allowBlank="1" showInputMessage="1" showErrorMessage="1" xr:uid="{B0B96DD4-51BA-429C-91E9-DA9F8DFDCF79}">
          <x14:formula1>
            <xm:f>List!$H$2:$H$6</xm:f>
          </x14:formula1>
          <xm:sqref>AQ10:AQ86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L3"/>
  <sheetViews>
    <sheetView workbookViewId="0"/>
  </sheetViews>
  <sheetFormatPr defaultRowHeight="15" customHeight="1" x14ac:dyDescent="0.25"/>
  <cols>
    <col min="1" max="1" width="12.28515625" customWidth="1"/>
    <col min="2" max="2" width="13.5703125" customWidth="1"/>
    <col min="3" max="3" width="44.85546875" bestFit="1" customWidth="1"/>
    <col min="4" max="4" width="16.42578125" bestFit="1" customWidth="1"/>
    <col min="5" max="6" width="12.42578125" bestFit="1" customWidth="1"/>
    <col min="7" max="11" width="44.85546875" customWidth="1"/>
    <col min="12" max="12" width="81.28515625" customWidth="1"/>
  </cols>
  <sheetData>
    <row r="1" spans="1:12" ht="18.75" thickBot="1" x14ac:dyDescent="0.3">
      <c r="A1" s="60" t="s">
        <v>190</v>
      </c>
      <c r="B1" s="61"/>
      <c r="C1" s="61"/>
      <c r="D1" s="61"/>
      <c r="E1" s="61"/>
      <c r="F1" s="61"/>
      <c r="G1" s="61"/>
      <c r="H1" s="61"/>
      <c r="I1" s="61"/>
      <c r="J1" s="61"/>
      <c r="K1" s="61"/>
      <c r="L1" s="62"/>
    </row>
    <row r="2" spans="1:12" s="54" customFormat="1" ht="29.25" thickBot="1" x14ac:dyDescent="0.3">
      <c r="A2" s="39" t="s">
        <v>202</v>
      </c>
      <c r="B2" s="42" t="s">
        <v>66</v>
      </c>
      <c r="C2" s="40" t="s">
        <v>14</v>
      </c>
      <c r="D2" s="40" t="s">
        <v>203</v>
      </c>
      <c r="E2" s="40" t="s">
        <v>71</v>
      </c>
      <c r="F2" s="40" t="s">
        <v>204</v>
      </c>
      <c r="G2" s="40" t="s">
        <v>72</v>
      </c>
      <c r="H2" s="48" t="s">
        <v>67</v>
      </c>
      <c r="I2" s="48" t="s">
        <v>191</v>
      </c>
      <c r="J2" s="48" t="s">
        <v>192</v>
      </c>
      <c r="K2" s="48" t="s">
        <v>193</v>
      </c>
      <c r="L2" s="41" t="s">
        <v>205</v>
      </c>
    </row>
    <row r="3" spans="1:12" x14ac:dyDescent="0.25">
      <c r="B3" t="s">
        <v>281</v>
      </c>
      <c r="C3" t="s">
        <v>282</v>
      </c>
      <c r="D3" t="s">
        <v>121</v>
      </c>
      <c r="E3" t="s">
        <v>195</v>
      </c>
      <c r="F3">
        <v>2025</v>
      </c>
      <c r="G3" t="s">
        <v>194</v>
      </c>
      <c r="H3" t="s">
        <v>195</v>
      </c>
      <c r="L3" t="s">
        <v>196</v>
      </c>
    </row>
  </sheetData>
  <phoneticPr fontId="17" type="noConversion"/>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CBFB55EA-BCAC-4969-9E21-C0E636E8B37A}">
          <x14:formula1>
            <xm:f>List!$K$2:$K$6</xm:f>
          </x14:formula1>
          <xm:sqref>G3:G7</xm:sqref>
        </x14:dataValidation>
        <x14:dataValidation type="list" allowBlank="1" showInputMessage="1" showErrorMessage="1" xr:uid="{696B2ABC-D290-493D-BB0A-7B19C5043E72}">
          <x14:formula1>
            <xm:f>List!$L$2:$L$9</xm:f>
          </x14:formula1>
          <xm:sqref>E3:E7 H3:H7</xm:sqref>
        </x14:dataValidation>
        <x14:dataValidation type="list" allowBlank="1" showInputMessage="1" showErrorMessage="1" xr:uid="{51C57DDE-3C43-4429-8979-EB6E5AAD47FB}">
          <x14:formula1>
            <xm:f>List!$E$14:$E$17</xm:f>
          </x14:formula1>
          <xm:sqref>D3:D7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AE19"/>
  <sheetViews>
    <sheetView workbookViewId="0">
      <selection sqref="A1:C1"/>
    </sheetView>
  </sheetViews>
  <sheetFormatPr defaultRowHeight="15" x14ac:dyDescent="0.25"/>
  <cols>
    <col min="1" max="1" width="18" bestFit="1" customWidth="1"/>
    <col min="2" max="2" width="37.28515625" customWidth="1"/>
    <col min="3" max="3" width="18" customWidth="1"/>
    <col min="4" max="4" width="27" bestFit="1" customWidth="1"/>
    <col min="5" max="5" width="20.140625" customWidth="1"/>
    <col min="6" max="6" width="23" bestFit="1" customWidth="1"/>
    <col min="7" max="8" width="20.7109375" bestFit="1" customWidth="1"/>
    <col min="9" max="9" width="22.85546875" bestFit="1" customWidth="1"/>
    <col min="10" max="10" width="27" bestFit="1" customWidth="1"/>
    <col min="11" max="11" width="24.7109375" bestFit="1" customWidth="1"/>
    <col min="12" max="12" width="20.140625" bestFit="1" customWidth="1"/>
    <col min="13" max="13" width="63" hidden="1" customWidth="1"/>
    <col min="14" max="14" width="39.85546875" hidden="1" customWidth="1"/>
    <col min="15" max="15" width="43.42578125" hidden="1" customWidth="1"/>
    <col min="16" max="16" width="34.5703125" hidden="1" customWidth="1"/>
    <col min="17" max="17" width="31.42578125" hidden="1" customWidth="1"/>
    <col min="18" max="18" width="35.42578125" hidden="1" customWidth="1"/>
    <col min="19" max="19" width="36.5703125" hidden="1" customWidth="1"/>
    <col min="20" max="20" width="46.85546875" hidden="1" customWidth="1"/>
    <col min="21" max="21" width="32.7109375" hidden="1" customWidth="1"/>
    <col min="22" max="22" width="35.7109375" hidden="1" customWidth="1"/>
    <col min="23" max="26" width="41.5703125" hidden="1" customWidth="1"/>
    <col min="27" max="27" width="23" hidden="1" customWidth="1"/>
    <col min="28" max="28" width="18.42578125" hidden="1" customWidth="1"/>
    <col min="29" max="29" width="30.42578125" bestFit="1" customWidth="1"/>
    <col min="30" max="30" width="28.28515625" bestFit="1" customWidth="1"/>
    <col min="31" max="31" width="24" bestFit="1" customWidth="1"/>
  </cols>
  <sheetData>
    <row r="1" spans="1:31" ht="36" x14ac:dyDescent="0.55000000000000004">
      <c r="A1" s="239" t="s">
        <v>290</v>
      </c>
      <c r="B1" s="239"/>
      <c r="C1" s="239"/>
    </row>
    <row r="2" spans="1:31" x14ac:dyDescent="0.25">
      <c r="A2" s="97" t="s">
        <v>6</v>
      </c>
      <c r="B2">
        <v>2</v>
      </c>
      <c r="C2">
        <v>3</v>
      </c>
      <c r="D2">
        <v>4</v>
      </c>
      <c r="E2">
        <v>5</v>
      </c>
      <c r="F2">
        <v>6</v>
      </c>
      <c r="G2">
        <v>7</v>
      </c>
      <c r="H2">
        <v>8</v>
      </c>
      <c r="I2">
        <v>9</v>
      </c>
      <c r="J2">
        <v>10</v>
      </c>
      <c r="K2">
        <v>11</v>
      </c>
      <c r="L2">
        <v>12</v>
      </c>
    </row>
    <row r="3" spans="1:31" s="4" customFormat="1" ht="15" customHeight="1" x14ac:dyDescent="0.25">
      <c r="A3" s="98" t="s">
        <v>11</v>
      </c>
      <c r="B3" s="98"/>
      <c r="C3" s="240" t="s">
        <v>33</v>
      </c>
      <c r="D3" s="240"/>
      <c r="E3" s="240"/>
      <c r="F3" s="240"/>
      <c r="G3" s="240"/>
      <c r="H3" s="240"/>
      <c r="I3" s="240"/>
      <c r="J3" s="240"/>
      <c r="K3" s="240"/>
      <c r="L3" s="240"/>
    </row>
    <row r="4" spans="1:31" s="93" customFormat="1" ht="23.1" customHeight="1" x14ac:dyDescent="0.25">
      <c r="A4" s="93" t="s">
        <v>1</v>
      </c>
      <c r="B4" s="93" t="s">
        <v>2</v>
      </c>
      <c r="C4" s="94" t="s">
        <v>602</v>
      </c>
      <c r="D4" s="94" t="s">
        <v>268</v>
      </c>
      <c r="E4" s="94" t="s">
        <v>269</v>
      </c>
      <c r="F4" s="94" t="s">
        <v>270</v>
      </c>
      <c r="G4" s="94" t="s">
        <v>271</v>
      </c>
      <c r="H4" s="94" t="s">
        <v>272</v>
      </c>
      <c r="I4" s="94" t="s">
        <v>50</v>
      </c>
      <c r="J4" s="94" t="s">
        <v>149</v>
      </c>
      <c r="K4" s="94" t="s">
        <v>603</v>
      </c>
      <c r="L4" s="95" t="s">
        <v>273</v>
      </c>
      <c r="M4" s="96" t="s">
        <v>139</v>
      </c>
      <c r="N4" s="96" t="s">
        <v>81</v>
      </c>
      <c r="O4" s="96" t="s">
        <v>542</v>
      </c>
      <c r="P4" s="96" t="s">
        <v>380</v>
      </c>
      <c r="Q4" s="96" t="s">
        <v>146</v>
      </c>
      <c r="R4" s="96" t="s">
        <v>85</v>
      </c>
      <c r="S4" s="96" t="s">
        <v>302</v>
      </c>
      <c r="T4" s="96" t="s">
        <v>543</v>
      </c>
      <c r="U4" s="96" t="s">
        <v>87</v>
      </c>
      <c r="V4" s="96" t="s">
        <v>303</v>
      </c>
      <c r="W4" s="96" t="s">
        <v>312</v>
      </c>
      <c r="X4" s="96" t="s">
        <v>313</v>
      </c>
      <c r="Y4" s="96" t="s">
        <v>89</v>
      </c>
      <c r="Z4" s="96" t="s">
        <v>544</v>
      </c>
      <c r="AA4" s="96" t="s">
        <v>150</v>
      </c>
      <c r="AB4" s="96" t="s">
        <v>367</v>
      </c>
      <c r="AC4" s="96"/>
      <c r="AD4" s="96"/>
      <c r="AE4" s="96"/>
    </row>
    <row r="5" spans="1:31" x14ac:dyDescent="0.25">
      <c r="A5" t="s">
        <v>451</v>
      </c>
      <c r="B5" t="s">
        <v>452</v>
      </c>
      <c r="C5" s="201">
        <v>42460</v>
      </c>
      <c r="D5" s="201">
        <v>43536</v>
      </c>
      <c r="E5" s="201">
        <v>45596</v>
      </c>
      <c r="F5" s="201" t="s">
        <v>450</v>
      </c>
      <c r="G5" s="201" t="s">
        <v>450</v>
      </c>
      <c r="H5" s="201" t="s">
        <v>450</v>
      </c>
      <c r="I5" s="201">
        <v>45658</v>
      </c>
      <c r="J5" s="201" t="s">
        <v>450</v>
      </c>
      <c r="K5" s="201">
        <v>46631</v>
      </c>
      <c r="L5" s="201" t="s">
        <v>450</v>
      </c>
      <c r="M5" s="67"/>
      <c r="N5" s="67">
        <f>D5-SUMIF('Monthly Update'!$A:$A,'Project Commitment'!$A5, 'Monthly Update'!S:S)</f>
        <v>0</v>
      </c>
      <c r="O5" s="67">
        <f>0</f>
        <v>0</v>
      </c>
      <c r="P5" s="67">
        <f>0</f>
        <v>0</v>
      </c>
      <c r="Q5" s="67">
        <f>E5-SUMIF('Monthly Update'!$A:$A,'Project Commitment'!$A5, 'Monthly Update'!V:V)</f>
        <v>0</v>
      </c>
      <c r="R5" s="67">
        <f>0</f>
        <v>0</v>
      </c>
      <c r="S5" s="67" t="e">
        <f>F5-SUMIF('Monthly Update'!$A:$A,'Project Commitment'!$A5, 'Monthly Update'!H:H)</f>
        <v>#VALUE!</v>
      </c>
      <c r="T5" s="67">
        <f>0</f>
        <v>0</v>
      </c>
      <c r="U5" s="67" t="e">
        <f>G5-SUMIF('Monthly Update'!$A:$A,'Project Commitment'!$A5, 'Monthly Update'!AA:AA)</f>
        <v>#VALUE!</v>
      </c>
      <c r="V5" s="67" t="e">
        <f>H5-SUMIF('Monthly Update'!$A:$A,'Project Commitment'!$A5, 'Monthly Update'!L:L)</f>
        <v>#VALUE!</v>
      </c>
      <c r="W5" s="67">
        <f>0</f>
        <v>0</v>
      </c>
      <c r="X5" s="67">
        <f>I5-SUMIF('Monthly Update'!$A:$A,'Project Commitment'!$A5, 'Monthly Update'!AC:AC)</f>
        <v>-942</v>
      </c>
      <c r="Y5" s="67" t="e">
        <f>J5-SUMIF('Monthly Update'!$A:$A,'Project Commitment'!$A5, 'Monthly Update'!AE:AE)</f>
        <v>#VALUE!</v>
      </c>
      <c r="Z5" s="67">
        <f>K5-SUMIF('Monthly Update'!$A:$A,'Project Commitment'!$A5, 'Monthly Update'!AG:AG)</f>
        <v>-1100</v>
      </c>
      <c r="AA5" s="67">
        <f>0</f>
        <v>0</v>
      </c>
      <c r="AB5" s="67" t="e">
        <f>L5-SUMIF('Monthly Update'!$A:$A,'Project Commitment'!$A5, 'Monthly Update'!AK:AK)</f>
        <v>#VALUE!</v>
      </c>
    </row>
    <row r="6" spans="1:31" x14ac:dyDescent="0.25">
      <c r="A6" t="s">
        <v>457</v>
      </c>
      <c r="B6" t="s">
        <v>458</v>
      </c>
      <c r="C6" s="201" t="s">
        <v>450</v>
      </c>
      <c r="D6" s="201">
        <v>43692</v>
      </c>
      <c r="E6" s="201">
        <v>45531</v>
      </c>
      <c r="F6" s="201" t="s">
        <v>450</v>
      </c>
      <c r="G6" s="201">
        <v>45267</v>
      </c>
      <c r="H6" s="201" t="s">
        <v>450</v>
      </c>
      <c r="I6" s="201">
        <v>45338</v>
      </c>
      <c r="J6" s="201">
        <v>46203</v>
      </c>
      <c r="K6" s="201">
        <v>46273</v>
      </c>
      <c r="L6" s="201">
        <v>46638</v>
      </c>
      <c r="M6" s="67"/>
      <c r="N6" s="67">
        <f>D6-SUMIF('Monthly Update'!$A:$A,'Project Commitment'!$A6, 'Monthly Update'!S:S)</f>
        <v>0</v>
      </c>
      <c r="O6" s="67">
        <f>0</f>
        <v>0</v>
      </c>
      <c r="P6" s="67">
        <f>0</f>
        <v>0</v>
      </c>
      <c r="Q6" s="67">
        <f>E6-SUMIF('Monthly Update'!$A:$A,'Project Commitment'!$A6, 'Monthly Update'!V:V)</f>
        <v>0</v>
      </c>
      <c r="R6" s="67">
        <f>0</f>
        <v>0</v>
      </c>
      <c r="S6" s="67" t="e">
        <f>F6-SUMIF('Monthly Update'!$A:$A,'Project Commitment'!$A6, 'Monthly Update'!H:H)</f>
        <v>#VALUE!</v>
      </c>
      <c r="T6" s="67">
        <f>0</f>
        <v>0</v>
      </c>
      <c r="U6" s="67">
        <f>G6-SUMIF('Monthly Update'!$A:$A,'Project Commitment'!$A6, 'Monthly Update'!AA:AA)</f>
        <v>22</v>
      </c>
      <c r="V6" s="67" t="e">
        <f>H6-SUMIF('Monthly Update'!$A:$A,'Project Commitment'!$A6, 'Monthly Update'!L:L)</f>
        <v>#VALUE!</v>
      </c>
      <c r="W6" s="67">
        <f>0</f>
        <v>0</v>
      </c>
      <c r="X6" s="67">
        <f>I6-SUMIF('Monthly Update'!$A:$A,'Project Commitment'!$A6, 'Monthly Update'!AC:AC)</f>
        <v>0</v>
      </c>
      <c r="Y6" s="67">
        <f>J6-SUMIF('Monthly Update'!$A:$A,'Project Commitment'!$A6, 'Monthly Update'!AE:AE)</f>
        <v>0</v>
      </c>
      <c r="Z6" s="67">
        <f>K6-SUMIF('Monthly Update'!$A:$A,'Project Commitment'!$A6, 'Monthly Update'!AG:AG)</f>
        <v>0</v>
      </c>
      <c r="AA6" s="67">
        <f>0</f>
        <v>0</v>
      </c>
      <c r="AB6" s="67">
        <f>L6-SUMIF('Monthly Update'!$A:$A,'Project Commitment'!$A6, 'Monthly Update'!AK:AK)</f>
        <v>-50</v>
      </c>
    </row>
    <row r="7" spans="1:31" x14ac:dyDescent="0.25">
      <c r="A7" t="s">
        <v>462</v>
      </c>
      <c r="B7" t="s">
        <v>463</v>
      </c>
      <c r="C7" s="201">
        <v>43525</v>
      </c>
      <c r="D7" s="201">
        <v>42408</v>
      </c>
      <c r="E7" s="201">
        <v>45194</v>
      </c>
      <c r="F7" s="201" t="s">
        <v>450</v>
      </c>
      <c r="G7" s="201">
        <v>44953</v>
      </c>
      <c r="H7" s="201" t="s">
        <v>450</v>
      </c>
      <c r="I7" s="201">
        <v>45065</v>
      </c>
      <c r="J7" s="201">
        <v>45849</v>
      </c>
      <c r="K7" s="201">
        <v>45902</v>
      </c>
      <c r="L7" s="201">
        <v>46267</v>
      </c>
      <c r="M7" s="67"/>
      <c r="N7" s="67">
        <f>D7-SUMIF('Monthly Update'!$A:$A,'Project Commitment'!$A7, 'Monthly Update'!S:S)</f>
        <v>0</v>
      </c>
      <c r="O7" s="67">
        <f>0</f>
        <v>0</v>
      </c>
      <c r="P7" s="67">
        <f>0</f>
        <v>0</v>
      </c>
      <c r="Q7" s="67">
        <f>E7-SUMIF('Monthly Update'!$A:$A,'Project Commitment'!$A7, 'Monthly Update'!V:V)</f>
        <v>0</v>
      </c>
      <c r="R7" s="67">
        <f>0</f>
        <v>0</v>
      </c>
      <c r="S7" s="67" t="e">
        <f>F7-SUMIF('Monthly Update'!$A:$A,'Project Commitment'!$A7, 'Monthly Update'!H:H)</f>
        <v>#VALUE!</v>
      </c>
      <c r="T7" s="67">
        <f>0</f>
        <v>0</v>
      </c>
      <c r="U7" s="67">
        <f>G7-SUMIF('Monthly Update'!$A:$A,'Project Commitment'!$A7, 'Monthly Update'!AA:AA)</f>
        <v>44953</v>
      </c>
      <c r="V7" s="67" t="e">
        <f>H7-SUMIF('Monthly Update'!$A:$A,'Project Commitment'!$A7, 'Monthly Update'!L:L)</f>
        <v>#VALUE!</v>
      </c>
      <c r="W7" s="67">
        <f>0</f>
        <v>0</v>
      </c>
      <c r="X7" s="67">
        <f>I7-SUMIF('Monthly Update'!$A:$A,'Project Commitment'!$A7, 'Monthly Update'!AC:AC)</f>
        <v>0</v>
      </c>
      <c r="Y7" s="67">
        <f>J7-SUMIF('Monthly Update'!$A:$A,'Project Commitment'!$A7, 'Monthly Update'!AE:AE)</f>
        <v>39</v>
      </c>
      <c r="Z7" s="67">
        <f>K7-SUMIF('Monthly Update'!$A:$A,'Project Commitment'!$A7, 'Monthly Update'!AG:AG)</f>
        <v>0</v>
      </c>
      <c r="AA7" s="67">
        <f>0</f>
        <v>0</v>
      </c>
      <c r="AB7" s="67">
        <f>L7-SUMIF('Monthly Update'!$A:$A,'Project Commitment'!$A7, 'Monthly Update'!AK:AK)</f>
        <v>-422</v>
      </c>
    </row>
    <row r="8" spans="1:31" x14ac:dyDescent="0.25">
      <c r="A8" t="s">
        <v>466</v>
      </c>
      <c r="B8" t="s">
        <v>467</v>
      </c>
      <c r="C8" s="201" t="s">
        <v>450</v>
      </c>
      <c r="D8" s="201">
        <v>42787</v>
      </c>
      <c r="E8" s="201">
        <v>45868</v>
      </c>
      <c r="F8" s="201" t="s">
        <v>450</v>
      </c>
      <c r="G8" s="201">
        <v>44636</v>
      </c>
      <c r="H8" s="201" t="s">
        <v>450</v>
      </c>
      <c r="I8" s="201">
        <v>45036</v>
      </c>
      <c r="J8" s="201">
        <v>45838</v>
      </c>
      <c r="K8" s="201">
        <v>45902</v>
      </c>
      <c r="L8" s="201">
        <v>46267</v>
      </c>
      <c r="M8" s="67"/>
      <c r="N8" s="67">
        <f>D8-SUMIF('Monthly Update'!$A:$A,'Project Commitment'!$A8, 'Monthly Update'!S:S)</f>
        <v>0</v>
      </c>
      <c r="O8" s="67">
        <f>0</f>
        <v>0</v>
      </c>
      <c r="P8" s="67">
        <f>0</f>
        <v>0</v>
      </c>
      <c r="Q8" s="67">
        <f>E8-SUMIF('Monthly Update'!$A:$A,'Project Commitment'!$A8, 'Monthly Update'!V:V)</f>
        <v>0</v>
      </c>
      <c r="R8" s="67">
        <f>0</f>
        <v>0</v>
      </c>
      <c r="S8" s="67" t="e">
        <f>F8-SUMIF('Monthly Update'!$A:$A,'Project Commitment'!$A8, 'Monthly Update'!H:H)</f>
        <v>#VALUE!</v>
      </c>
      <c r="T8" s="67">
        <f>0</f>
        <v>0</v>
      </c>
      <c r="U8" s="67">
        <f>G8-SUMIF('Monthly Update'!$A:$A,'Project Commitment'!$A8, 'Monthly Update'!AA:AA)</f>
        <v>44636</v>
      </c>
      <c r="V8" s="67" t="e">
        <f>H8-SUMIF('Monthly Update'!$A:$A,'Project Commitment'!$A8, 'Monthly Update'!L:L)</f>
        <v>#VALUE!</v>
      </c>
      <c r="W8" s="67">
        <f>0</f>
        <v>0</v>
      </c>
      <c r="X8" s="67">
        <f>I8-SUMIF('Monthly Update'!$A:$A,'Project Commitment'!$A8, 'Monthly Update'!AC:AC)</f>
        <v>0</v>
      </c>
      <c r="Y8" s="67">
        <f>J8-SUMIF('Monthly Update'!$A:$A,'Project Commitment'!$A8, 'Monthly Update'!AE:AE)</f>
        <v>-396</v>
      </c>
      <c r="Z8" s="67">
        <f>K8-SUMIF('Monthly Update'!$A:$A,'Project Commitment'!$A8, 'Monthly Update'!AG:AG)</f>
        <v>-371</v>
      </c>
      <c r="AA8" s="67">
        <f>0</f>
        <v>0</v>
      </c>
      <c r="AB8" s="67">
        <f>L8-SUMIF('Monthly Update'!$A:$A,'Project Commitment'!$A8, 'Monthly Update'!AK:AK)</f>
        <v>-730</v>
      </c>
    </row>
    <row r="9" spans="1:31" x14ac:dyDescent="0.25">
      <c r="A9" t="s">
        <v>472</v>
      </c>
      <c r="B9" t="s">
        <v>473</v>
      </c>
      <c r="C9" s="201" t="s">
        <v>450</v>
      </c>
      <c r="D9" s="201">
        <v>42796</v>
      </c>
      <c r="E9" s="201">
        <v>45100</v>
      </c>
      <c r="F9" s="201" t="s">
        <v>450</v>
      </c>
      <c r="G9" s="201">
        <v>45195</v>
      </c>
      <c r="H9" s="201" t="s">
        <v>450</v>
      </c>
      <c r="I9" s="201">
        <v>45320</v>
      </c>
      <c r="J9" s="201">
        <v>45835</v>
      </c>
      <c r="K9" s="201">
        <v>45902</v>
      </c>
      <c r="L9" s="201">
        <v>46267</v>
      </c>
      <c r="M9" s="67"/>
      <c r="N9" s="67">
        <f>D9-SUMIF('Monthly Update'!$A:$A,'Project Commitment'!$A9, 'Monthly Update'!S:S)</f>
        <v>0</v>
      </c>
      <c r="O9" s="67">
        <f>0</f>
        <v>0</v>
      </c>
      <c r="P9" s="67">
        <f>0</f>
        <v>0</v>
      </c>
      <c r="Q9" s="67">
        <f>E9-SUMIF('Monthly Update'!$A:$A,'Project Commitment'!$A9, 'Monthly Update'!V:V)</f>
        <v>0</v>
      </c>
      <c r="R9" s="67">
        <f>0</f>
        <v>0</v>
      </c>
      <c r="S9" s="67" t="e">
        <f>F9-SUMIF('Monthly Update'!$A:$A,'Project Commitment'!$A9, 'Monthly Update'!H:H)</f>
        <v>#VALUE!</v>
      </c>
      <c r="T9" s="67">
        <f>0</f>
        <v>0</v>
      </c>
      <c r="U9" s="67">
        <f>G9-SUMIF('Monthly Update'!$A:$A,'Project Commitment'!$A9, 'Monthly Update'!AA:AA)</f>
        <v>-35</v>
      </c>
      <c r="V9" s="67" t="e">
        <f>H9-SUMIF('Monthly Update'!$A:$A,'Project Commitment'!$A9, 'Monthly Update'!L:L)</f>
        <v>#VALUE!</v>
      </c>
      <c r="W9" s="67">
        <f>0</f>
        <v>0</v>
      </c>
      <c r="X9" s="67">
        <f>I9-SUMIF('Monthly Update'!$A:$A,'Project Commitment'!$A9, 'Monthly Update'!AC:AC)</f>
        <v>0</v>
      </c>
      <c r="Y9" s="67">
        <f>J9-SUMIF('Monthly Update'!$A:$A,'Project Commitment'!$A9, 'Monthly Update'!AE:AE)</f>
        <v>-241</v>
      </c>
      <c r="Z9" s="67">
        <f>K9-SUMIF('Monthly Update'!$A:$A,'Project Commitment'!$A9, 'Monthly Update'!AG:AG)</f>
        <v>-202</v>
      </c>
      <c r="AA9" s="67">
        <f>0</f>
        <v>0</v>
      </c>
      <c r="AB9" s="67">
        <f>L9-SUMIF('Monthly Update'!$A:$A,'Project Commitment'!$A9, 'Monthly Update'!AK:AK)</f>
        <v>-372</v>
      </c>
    </row>
    <row r="10" spans="1:31" x14ac:dyDescent="0.25">
      <c r="A10" t="s">
        <v>481</v>
      </c>
      <c r="B10" t="s">
        <v>482</v>
      </c>
      <c r="C10" s="201" t="s">
        <v>450</v>
      </c>
      <c r="D10" s="201">
        <v>43836</v>
      </c>
      <c r="E10" s="201">
        <v>46204</v>
      </c>
      <c r="F10" s="201" t="s">
        <v>450</v>
      </c>
      <c r="G10" s="201" t="s">
        <v>450</v>
      </c>
      <c r="H10" s="201" t="s">
        <v>450</v>
      </c>
      <c r="I10" s="201">
        <v>46327</v>
      </c>
      <c r="J10" s="201" t="s">
        <v>450</v>
      </c>
      <c r="K10" s="201">
        <v>47362</v>
      </c>
      <c r="L10" s="201" t="s">
        <v>450</v>
      </c>
      <c r="M10" s="67"/>
      <c r="N10" s="67">
        <f>D10-SUMIF('Monthly Update'!$A:$A,'Project Commitment'!$A10, 'Monthly Update'!S:S)</f>
        <v>0</v>
      </c>
      <c r="O10" s="67">
        <f>0</f>
        <v>0</v>
      </c>
      <c r="P10" s="67">
        <f>0</f>
        <v>0</v>
      </c>
      <c r="Q10" s="67">
        <f>E10-SUMIF('Monthly Update'!$A:$A,'Project Commitment'!$A10, 'Monthly Update'!V:V)</f>
        <v>0</v>
      </c>
      <c r="R10" s="67">
        <f>0</f>
        <v>0</v>
      </c>
      <c r="S10" s="67" t="e">
        <f>F10-SUMIF('Monthly Update'!$A:$A,'Project Commitment'!$A10, 'Monthly Update'!H:H)</f>
        <v>#VALUE!</v>
      </c>
      <c r="T10" s="67">
        <f>0</f>
        <v>0</v>
      </c>
      <c r="U10" s="67" t="e">
        <f>G10-SUMIF('Monthly Update'!$A:$A,'Project Commitment'!$A10, 'Monthly Update'!AA:AA)</f>
        <v>#VALUE!</v>
      </c>
      <c r="V10" s="67" t="e">
        <f>H10-SUMIF('Monthly Update'!$A:$A,'Project Commitment'!$A10, 'Monthly Update'!L:L)</f>
        <v>#VALUE!</v>
      </c>
      <c r="W10" s="67">
        <f>0</f>
        <v>0</v>
      </c>
      <c r="X10" s="67">
        <f>I10-SUMIF('Monthly Update'!$A:$A,'Project Commitment'!$A10, 'Monthly Update'!AC:AC)</f>
        <v>-14</v>
      </c>
      <c r="Y10" s="67" t="e">
        <f>J10-SUMIF('Monthly Update'!$A:$A,'Project Commitment'!$A10, 'Monthly Update'!AE:AE)</f>
        <v>#VALUE!</v>
      </c>
      <c r="Z10" s="67">
        <f>K10-SUMIF('Monthly Update'!$A:$A,'Project Commitment'!$A10, 'Monthly Update'!AG:AG)</f>
        <v>-2</v>
      </c>
      <c r="AA10" s="67">
        <f>0</f>
        <v>0</v>
      </c>
      <c r="AB10" s="67" t="e">
        <f>L10-SUMIF('Monthly Update'!$A:$A,'Project Commitment'!$A10, 'Monthly Update'!AK:AK)</f>
        <v>#VALUE!</v>
      </c>
    </row>
    <row r="11" spans="1:31" x14ac:dyDescent="0.25">
      <c r="A11" t="s">
        <v>492</v>
      </c>
      <c r="B11" t="s">
        <v>493</v>
      </c>
      <c r="C11" s="201" t="s">
        <v>450</v>
      </c>
      <c r="D11" s="201" t="s">
        <v>450</v>
      </c>
      <c r="E11" s="201">
        <v>45717</v>
      </c>
      <c r="F11" s="201" t="s">
        <v>450</v>
      </c>
      <c r="G11" s="201" t="s">
        <v>450</v>
      </c>
      <c r="H11" s="201" t="s">
        <v>450</v>
      </c>
      <c r="I11" s="201">
        <v>45809</v>
      </c>
      <c r="J11" s="201" t="s">
        <v>450</v>
      </c>
      <c r="K11" s="201">
        <v>46388</v>
      </c>
      <c r="L11" s="201" t="s">
        <v>450</v>
      </c>
      <c r="M11" s="67"/>
      <c r="N11" s="67" t="e">
        <f>D11-SUMIF('Monthly Update'!$A:$A,'Project Commitment'!$A11, 'Monthly Update'!S:S)</f>
        <v>#VALUE!</v>
      </c>
      <c r="O11" s="67">
        <f>0</f>
        <v>0</v>
      </c>
      <c r="P11" s="67">
        <f>0</f>
        <v>0</v>
      </c>
      <c r="Q11" s="67">
        <f>E11-SUMIF('Monthly Update'!$A:$A,'Project Commitment'!$A11, 'Monthly Update'!V:V)</f>
        <v>45717</v>
      </c>
      <c r="R11" s="67">
        <f>0</f>
        <v>0</v>
      </c>
      <c r="S11" s="67" t="e">
        <f>F11-SUMIF('Monthly Update'!$A:$A,'Project Commitment'!$A11, 'Monthly Update'!H:H)</f>
        <v>#VALUE!</v>
      </c>
      <c r="T11" s="67">
        <f>0</f>
        <v>0</v>
      </c>
      <c r="U11" s="67" t="e">
        <f>G11-SUMIF('Monthly Update'!$A:$A,'Project Commitment'!$A11, 'Monthly Update'!AA:AA)</f>
        <v>#VALUE!</v>
      </c>
      <c r="V11" s="67" t="e">
        <f>H11-SUMIF('Monthly Update'!$A:$A,'Project Commitment'!$A11, 'Monthly Update'!L:L)</f>
        <v>#VALUE!</v>
      </c>
      <c r="W11" s="67">
        <f>0</f>
        <v>0</v>
      </c>
      <c r="X11" s="67">
        <f>I11-SUMIF('Monthly Update'!$A:$A,'Project Commitment'!$A11, 'Monthly Update'!AC:AC)</f>
        <v>-395</v>
      </c>
      <c r="Y11" s="67" t="e">
        <f>J11-SUMIF('Monthly Update'!$A:$A,'Project Commitment'!$A11, 'Monthly Update'!AE:AE)</f>
        <v>#VALUE!</v>
      </c>
      <c r="Z11" s="67">
        <f>K11-SUMIF('Monthly Update'!$A:$A,'Project Commitment'!$A11, 'Monthly Update'!AG:AG)</f>
        <v>-248</v>
      </c>
      <c r="AA11" s="67">
        <f>0</f>
        <v>0</v>
      </c>
      <c r="AB11" s="67" t="e">
        <f>L11-SUMIF('Monthly Update'!$A:$A,'Project Commitment'!$A11, 'Monthly Update'!AK:AK)</f>
        <v>#VALUE!</v>
      </c>
    </row>
    <row r="12" spans="1:31" x14ac:dyDescent="0.25">
      <c r="A12" t="s">
        <v>496</v>
      </c>
      <c r="B12" t="s">
        <v>497</v>
      </c>
      <c r="C12" s="201">
        <v>43733</v>
      </c>
      <c r="D12" s="201">
        <v>43881</v>
      </c>
      <c r="E12" s="201">
        <v>45748</v>
      </c>
      <c r="F12" s="201" t="s">
        <v>450</v>
      </c>
      <c r="G12" s="201" t="s">
        <v>450</v>
      </c>
      <c r="H12" s="201" t="s">
        <v>450</v>
      </c>
      <c r="I12" s="201">
        <v>45839</v>
      </c>
      <c r="J12" s="201" t="s">
        <v>450</v>
      </c>
      <c r="K12" s="201">
        <v>46631</v>
      </c>
      <c r="L12" s="201" t="s">
        <v>450</v>
      </c>
      <c r="M12" s="67"/>
      <c r="N12" s="67">
        <f>D12-SUMIF('Monthly Update'!$A:$A,'Project Commitment'!$A12, 'Monthly Update'!S:S)</f>
        <v>0</v>
      </c>
      <c r="O12" s="67">
        <f>0</f>
        <v>0</v>
      </c>
      <c r="P12" s="67">
        <f>0</f>
        <v>0</v>
      </c>
      <c r="Q12" s="67">
        <f>E12-SUMIF('Monthly Update'!$A:$A,'Project Commitment'!$A12, 'Monthly Update'!V:V)</f>
        <v>0</v>
      </c>
      <c r="R12" s="67">
        <f>0</f>
        <v>0</v>
      </c>
      <c r="S12" s="67" t="e">
        <f>F12-SUMIF('Monthly Update'!$A:$A,'Project Commitment'!$A12, 'Monthly Update'!H:H)</f>
        <v>#VALUE!</v>
      </c>
      <c r="T12" s="67">
        <f>0</f>
        <v>0</v>
      </c>
      <c r="U12" s="67" t="e">
        <f>G12-SUMIF('Monthly Update'!$A:$A,'Project Commitment'!$A12, 'Monthly Update'!AA:AA)</f>
        <v>#VALUE!</v>
      </c>
      <c r="V12" s="67" t="e">
        <f>H12-SUMIF('Monthly Update'!$A:$A,'Project Commitment'!$A12, 'Monthly Update'!L:L)</f>
        <v>#VALUE!</v>
      </c>
      <c r="W12" s="67">
        <f>0</f>
        <v>0</v>
      </c>
      <c r="X12" s="67">
        <f>I12-SUMIF('Monthly Update'!$A:$A,'Project Commitment'!$A12, 'Monthly Update'!AC:AC)</f>
        <v>-274</v>
      </c>
      <c r="Y12" s="67" t="e">
        <f>J12-SUMIF('Monthly Update'!$A:$A,'Project Commitment'!$A12, 'Monthly Update'!AE:AE)</f>
        <v>#VALUE!</v>
      </c>
      <c r="Z12" s="67">
        <f>K12-SUMIF('Monthly Update'!$A:$A,'Project Commitment'!$A12, 'Monthly Update'!AG:AG)</f>
        <v>-6</v>
      </c>
      <c r="AA12" s="67">
        <f>0</f>
        <v>0</v>
      </c>
      <c r="AB12" s="67" t="e">
        <f>L12-SUMIF('Monthly Update'!$A:$A,'Project Commitment'!$A12, 'Monthly Update'!AK:AK)</f>
        <v>#VALUE!</v>
      </c>
    </row>
    <row r="13" spans="1:31" x14ac:dyDescent="0.25">
      <c r="A13" t="s">
        <v>500</v>
      </c>
      <c r="B13" t="s">
        <v>501</v>
      </c>
      <c r="C13" s="201">
        <v>43531</v>
      </c>
      <c r="D13" s="201">
        <v>44229</v>
      </c>
      <c r="E13" s="201">
        <v>45627</v>
      </c>
      <c r="F13" s="201" t="s">
        <v>450</v>
      </c>
      <c r="G13" s="201" t="s">
        <v>450</v>
      </c>
      <c r="H13" s="201" t="s">
        <v>450</v>
      </c>
      <c r="I13" s="201">
        <v>45658</v>
      </c>
      <c r="J13" s="201" t="s">
        <v>450</v>
      </c>
      <c r="K13" s="201">
        <v>46631</v>
      </c>
      <c r="L13" s="201" t="s">
        <v>450</v>
      </c>
      <c r="M13" s="67"/>
      <c r="N13" s="67">
        <f>D13-SUMIF('Monthly Update'!$A:$A,'Project Commitment'!$A13, 'Monthly Update'!S:S)</f>
        <v>0</v>
      </c>
      <c r="O13" s="67">
        <f>0</f>
        <v>0</v>
      </c>
      <c r="P13" s="67">
        <f>0</f>
        <v>0</v>
      </c>
      <c r="Q13" s="67">
        <f>E13-SUMIF('Monthly Update'!$A:$A,'Project Commitment'!$A13, 'Monthly Update'!V:V)</f>
        <v>-15</v>
      </c>
      <c r="R13" s="67">
        <f>0</f>
        <v>0</v>
      </c>
      <c r="S13" s="67" t="e">
        <f>F13-SUMIF('Monthly Update'!$A:$A,'Project Commitment'!$A13, 'Monthly Update'!H:H)</f>
        <v>#VALUE!</v>
      </c>
      <c r="T13" s="67">
        <f>0</f>
        <v>0</v>
      </c>
      <c r="U13" s="67" t="e">
        <f>G13-SUMIF('Monthly Update'!$A:$A,'Project Commitment'!$A13, 'Monthly Update'!AA:AA)</f>
        <v>#VALUE!</v>
      </c>
      <c r="V13" s="67" t="e">
        <f>H13-SUMIF('Monthly Update'!$A:$A,'Project Commitment'!$A13, 'Monthly Update'!L:L)</f>
        <v>#VALUE!</v>
      </c>
      <c r="W13" s="67">
        <f>0</f>
        <v>0</v>
      </c>
      <c r="X13" s="67">
        <f>I13-SUMIF('Monthly Update'!$A:$A,'Project Commitment'!$A13, 'Monthly Update'!AC:AC)</f>
        <v>-31</v>
      </c>
      <c r="Y13" s="67" t="e">
        <f>J13-SUMIF('Monthly Update'!$A:$A,'Project Commitment'!$A13, 'Monthly Update'!AE:AE)</f>
        <v>#VALUE!</v>
      </c>
      <c r="Z13" s="67">
        <f>K13-SUMIF('Monthly Update'!$A:$A,'Project Commitment'!$A13, 'Monthly Update'!AG:AG)</f>
        <v>0</v>
      </c>
      <c r="AA13" s="67">
        <f>0</f>
        <v>0</v>
      </c>
      <c r="AB13" s="67" t="e">
        <f>L13-SUMIF('Monthly Update'!$A:$A,'Project Commitment'!$A13, 'Monthly Update'!AK:AK)</f>
        <v>#VALUE!</v>
      </c>
    </row>
    <row r="14" spans="1:31" x14ac:dyDescent="0.25">
      <c r="A14" t="s">
        <v>504</v>
      </c>
      <c r="B14" t="s">
        <v>505</v>
      </c>
      <c r="C14" s="201">
        <v>45573</v>
      </c>
      <c r="D14" s="201">
        <v>45566</v>
      </c>
      <c r="E14" s="201" t="s">
        <v>450</v>
      </c>
      <c r="F14" s="201" t="s">
        <v>450</v>
      </c>
      <c r="G14" s="201" t="s">
        <v>450</v>
      </c>
      <c r="H14" s="201" t="s">
        <v>450</v>
      </c>
      <c r="I14" s="201">
        <v>45323</v>
      </c>
      <c r="J14" s="201" t="s">
        <v>450</v>
      </c>
      <c r="K14" s="201">
        <v>46266</v>
      </c>
      <c r="L14" s="201" t="s">
        <v>450</v>
      </c>
      <c r="M14" s="67"/>
      <c r="N14" s="67">
        <f>D14-SUMIF('Monthly Update'!$A:$A,'Project Commitment'!$A14, 'Monthly Update'!S:S)</f>
        <v>0</v>
      </c>
      <c r="O14" s="67">
        <f>0</f>
        <v>0</v>
      </c>
      <c r="P14" s="67">
        <f>0</f>
        <v>0</v>
      </c>
      <c r="Q14" s="67" t="e">
        <f>E14-SUMIF('Monthly Update'!$A:$A,'Project Commitment'!$A14, 'Monthly Update'!V:V)</f>
        <v>#VALUE!</v>
      </c>
      <c r="R14" s="67">
        <f>0</f>
        <v>0</v>
      </c>
      <c r="S14" s="67" t="e">
        <f>F14-SUMIF('Monthly Update'!$A:$A,'Project Commitment'!$A14, 'Monthly Update'!H:H)</f>
        <v>#VALUE!</v>
      </c>
      <c r="T14" s="67">
        <f>0</f>
        <v>0</v>
      </c>
      <c r="U14" s="67" t="e">
        <f>G14-SUMIF('Monthly Update'!$A:$A,'Project Commitment'!$A14, 'Monthly Update'!AA:AA)</f>
        <v>#VALUE!</v>
      </c>
      <c r="V14" s="67" t="e">
        <f>H14-SUMIF('Monthly Update'!$A:$A,'Project Commitment'!$A14, 'Monthly Update'!L:L)</f>
        <v>#VALUE!</v>
      </c>
      <c r="W14" s="67">
        <f>0</f>
        <v>0</v>
      </c>
      <c r="X14" s="67">
        <f>I14-SUMIF('Monthly Update'!$A:$A,'Project Commitment'!$A14, 'Monthly Update'!AC:AC)</f>
        <v>-1002</v>
      </c>
      <c r="Y14" s="67" t="e">
        <f>J14-SUMIF('Monthly Update'!$A:$A,'Project Commitment'!$A14, 'Monthly Update'!AE:AE)</f>
        <v>#VALUE!</v>
      </c>
      <c r="Z14" s="67">
        <f>K14-SUMIF('Monthly Update'!$A:$A,'Project Commitment'!$A14, 'Monthly Update'!AG:AG)</f>
        <v>-487</v>
      </c>
      <c r="AA14" s="67">
        <f>0</f>
        <v>0</v>
      </c>
      <c r="AB14" s="67" t="e">
        <f>L14-SUMIF('Monthly Update'!$A:$A,'Project Commitment'!$A14, 'Monthly Update'!AK:AK)</f>
        <v>#VALUE!</v>
      </c>
    </row>
    <row r="15" spans="1:31" x14ac:dyDescent="0.25">
      <c r="A15" t="s">
        <v>508</v>
      </c>
      <c r="B15" t="s">
        <v>509</v>
      </c>
      <c r="C15" s="201" t="s">
        <v>450</v>
      </c>
      <c r="D15" s="201">
        <v>44274</v>
      </c>
      <c r="E15" s="201">
        <v>45992</v>
      </c>
      <c r="F15" s="201" t="s">
        <v>450</v>
      </c>
      <c r="G15" s="201" t="s">
        <v>450</v>
      </c>
      <c r="H15" s="201" t="s">
        <v>450</v>
      </c>
      <c r="I15" s="201">
        <v>46174</v>
      </c>
      <c r="J15" s="201" t="s">
        <v>450</v>
      </c>
      <c r="K15" s="201">
        <v>47362</v>
      </c>
      <c r="L15" s="201" t="s">
        <v>450</v>
      </c>
      <c r="M15" s="67"/>
      <c r="N15" s="67">
        <f>D15-SUMIF('Monthly Update'!$A:$A,'Project Commitment'!$A15, 'Monthly Update'!S:S)</f>
        <v>0</v>
      </c>
      <c r="O15" s="67">
        <f>0</f>
        <v>0</v>
      </c>
      <c r="P15" s="67">
        <f>0</f>
        <v>0</v>
      </c>
      <c r="Q15" s="67">
        <f>E15-SUMIF('Monthly Update'!$A:$A,'Project Commitment'!$A15, 'Monthly Update'!V:V)</f>
        <v>0</v>
      </c>
      <c r="R15" s="67">
        <f>0</f>
        <v>0</v>
      </c>
      <c r="S15" s="67" t="e">
        <f>F15-SUMIF('Monthly Update'!$A:$A,'Project Commitment'!$A15, 'Monthly Update'!H:H)</f>
        <v>#VALUE!</v>
      </c>
      <c r="T15" s="67">
        <f>0</f>
        <v>0</v>
      </c>
      <c r="U15" s="67" t="e">
        <f>G15-SUMIF('Monthly Update'!$A:$A,'Project Commitment'!$A15, 'Monthly Update'!AA:AA)</f>
        <v>#VALUE!</v>
      </c>
      <c r="V15" s="67" t="e">
        <f>H15-SUMIF('Monthly Update'!$A:$A,'Project Commitment'!$A15, 'Monthly Update'!L:L)</f>
        <v>#VALUE!</v>
      </c>
      <c r="W15" s="67">
        <f>0</f>
        <v>0</v>
      </c>
      <c r="X15" s="67">
        <f>I15-SUMIF('Monthly Update'!$A:$A,'Project Commitment'!$A15, 'Monthly Update'!AC:AC)</f>
        <v>-92</v>
      </c>
      <c r="Y15" s="67" t="e">
        <f>J15-SUMIF('Monthly Update'!$A:$A,'Project Commitment'!$A15, 'Monthly Update'!AE:AE)</f>
        <v>#VALUE!</v>
      </c>
      <c r="Z15" s="67">
        <f>K15-SUMIF('Monthly Update'!$A:$A,'Project Commitment'!$A15, 'Monthly Update'!AG:AG)</f>
        <v>359</v>
      </c>
      <c r="AA15" s="67">
        <f>0</f>
        <v>0</v>
      </c>
      <c r="AB15" s="67" t="e">
        <f>L15-SUMIF('Monthly Update'!$A:$A,'Project Commitment'!$A15, 'Monthly Update'!AK:AK)</f>
        <v>#VALUE!</v>
      </c>
    </row>
    <row r="16" spans="1:31" x14ac:dyDescent="0.25">
      <c r="A16" t="s">
        <v>512</v>
      </c>
      <c r="B16" t="s">
        <v>513</v>
      </c>
      <c r="C16" s="201">
        <v>40603</v>
      </c>
      <c r="D16" s="201">
        <v>45566</v>
      </c>
      <c r="E16" s="201">
        <v>45646</v>
      </c>
      <c r="F16" s="201" t="s">
        <v>450</v>
      </c>
      <c r="G16" s="201" t="s">
        <v>450</v>
      </c>
      <c r="H16" s="201" t="s">
        <v>450</v>
      </c>
      <c r="I16" s="201">
        <v>45748</v>
      </c>
      <c r="J16" s="201" t="s">
        <v>450</v>
      </c>
      <c r="K16" s="201">
        <v>46266</v>
      </c>
      <c r="L16" s="201" t="s">
        <v>450</v>
      </c>
      <c r="M16" s="67"/>
      <c r="N16" s="67">
        <f>D16-SUMIF('Monthly Update'!$A:$A,'Project Commitment'!$A16, 'Monthly Update'!S:S)</f>
        <v>0</v>
      </c>
      <c r="O16" s="67">
        <f>0</f>
        <v>0</v>
      </c>
      <c r="P16" s="67">
        <f>0</f>
        <v>0</v>
      </c>
      <c r="Q16" s="67">
        <f>E16-SUMIF('Monthly Update'!$A:$A,'Project Commitment'!$A16, 'Monthly Update'!V:V)</f>
        <v>-408</v>
      </c>
      <c r="R16" s="67">
        <f>0</f>
        <v>0</v>
      </c>
      <c r="S16" s="67" t="e">
        <f>F16-SUMIF('Monthly Update'!$A:$A,'Project Commitment'!$A16, 'Monthly Update'!H:H)</f>
        <v>#VALUE!</v>
      </c>
      <c r="T16" s="67">
        <f>0</f>
        <v>0</v>
      </c>
      <c r="U16" s="67" t="e">
        <f>G16-SUMIF('Monthly Update'!$A:$A,'Project Commitment'!$A16, 'Monthly Update'!AA:AA)</f>
        <v>#VALUE!</v>
      </c>
      <c r="V16" s="67" t="e">
        <f>H16-SUMIF('Monthly Update'!$A:$A,'Project Commitment'!$A16, 'Monthly Update'!L:L)</f>
        <v>#VALUE!</v>
      </c>
      <c r="W16" s="67">
        <f>0</f>
        <v>0</v>
      </c>
      <c r="X16" s="67">
        <f>I16-SUMIF('Monthly Update'!$A:$A,'Project Commitment'!$A16, 'Monthly Update'!AC:AC)</f>
        <v>-365</v>
      </c>
      <c r="Y16" s="67" t="e">
        <f>J16-SUMIF('Monthly Update'!$A:$A,'Project Commitment'!$A16, 'Monthly Update'!AE:AE)</f>
        <v>#VALUE!</v>
      </c>
      <c r="Z16" s="67">
        <f>K16-SUMIF('Monthly Update'!$A:$A,'Project Commitment'!$A16, 'Monthly Update'!AG:AG)</f>
        <v>-738</v>
      </c>
      <c r="AA16" s="67">
        <f>0</f>
        <v>0</v>
      </c>
      <c r="AB16" s="67" t="e">
        <f>L16-SUMIF('Monthly Update'!$A:$A,'Project Commitment'!$A16, 'Monthly Update'!AK:AK)</f>
        <v>#VALUE!</v>
      </c>
    </row>
    <row r="17" spans="1:28" x14ac:dyDescent="0.25">
      <c r="A17" t="s">
        <v>516</v>
      </c>
      <c r="B17" t="s">
        <v>517</v>
      </c>
      <c r="C17" s="201" t="s">
        <v>450</v>
      </c>
      <c r="D17" s="201">
        <v>44797</v>
      </c>
      <c r="E17" s="201">
        <v>45898</v>
      </c>
      <c r="F17" s="201">
        <v>45777</v>
      </c>
      <c r="G17" s="201">
        <v>45961</v>
      </c>
      <c r="H17" s="201">
        <v>45989</v>
      </c>
      <c r="I17" s="201">
        <v>46023</v>
      </c>
      <c r="J17" s="201">
        <v>46934</v>
      </c>
      <c r="K17" s="201">
        <v>47000</v>
      </c>
      <c r="L17" s="201">
        <v>47365</v>
      </c>
      <c r="M17" s="67"/>
      <c r="N17" s="67">
        <f>D17-SUMIF('Monthly Update'!$A:$A,'Project Commitment'!$A17, 'Monthly Update'!S:S)</f>
        <v>0</v>
      </c>
      <c r="O17" s="67">
        <f>0</f>
        <v>0</v>
      </c>
      <c r="P17" s="67">
        <f>0</f>
        <v>0</v>
      </c>
      <c r="Q17" s="67">
        <f>E17-SUMIF('Monthly Update'!$A:$A,'Project Commitment'!$A17, 'Monthly Update'!V:V)</f>
        <v>0</v>
      </c>
      <c r="R17" s="67">
        <f>0</f>
        <v>0</v>
      </c>
      <c r="S17" s="67">
        <f>F17-SUMIF('Monthly Update'!$A:$A,'Project Commitment'!$A17, 'Monthly Update'!H:H)</f>
        <v>-188</v>
      </c>
      <c r="T17" s="67">
        <f>0</f>
        <v>0</v>
      </c>
      <c r="U17" s="67">
        <f>G17-SUMIF('Monthly Update'!$A:$A,'Project Commitment'!$A17, 'Monthly Update'!AA:AA)</f>
        <v>-182</v>
      </c>
      <c r="V17" s="67">
        <f>H17-SUMIF('Monthly Update'!$A:$A,'Project Commitment'!$A17, 'Monthly Update'!L:L)</f>
        <v>-199</v>
      </c>
      <c r="W17" s="67">
        <f>0</f>
        <v>0</v>
      </c>
      <c r="X17" s="67">
        <f>I17-SUMIF('Monthly Update'!$A:$A,'Project Commitment'!$A17, 'Monthly Update'!AC:AC)</f>
        <v>-182</v>
      </c>
      <c r="Y17" s="67">
        <f>J17-SUMIF('Monthly Update'!$A:$A,'Project Commitment'!$A17, 'Monthly Update'!AE:AE)</f>
        <v>-6</v>
      </c>
      <c r="Z17" s="67">
        <f>K17-SUMIF('Monthly Update'!$A:$A,'Project Commitment'!$A17, 'Monthly Update'!AG:AG)</f>
        <v>-3</v>
      </c>
      <c r="AA17" s="67">
        <f>0</f>
        <v>0</v>
      </c>
      <c r="AB17" s="67">
        <f>L17-SUMIF('Monthly Update'!$A:$A,'Project Commitment'!$A17, 'Monthly Update'!AK:AK)</f>
        <v>-26</v>
      </c>
    </row>
    <row r="18" spans="1:28" x14ac:dyDescent="0.25">
      <c r="A18" t="s">
        <v>519</v>
      </c>
      <c r="B18" t="s">
        <v>520</v>
      </c>
      <c r="C18" s="201" t="s">
        <v>450</v>
      </c>
      <c r="D18" s="201">
        <v>44797</v>
      </c>
      <c r="E18" s="201">
        <v>46080</v>
      </c>
      <c r="F18" s="201">
        <v>46006</v>
      </c>
      <c r="G18" s="201">
        <v>46146</v>
      </c>
      <c r="H18" s="201">
        <v>46175</v>
      </c>
      <c r="I18" s="201">
        <v>46203</v>
      </c>
      <c r="J18" s="201">
        <v>47330</v>
      </c>
      <c r="K18" s="201">
        <v>47365</v>
      </c>
      <c r="L18" s="201">
        <v>47730</v>
      </c>
      <c r="M18" s="67"/>
      <c r="N18" s="67">
        <f>D18-SUMIF('Monthly Update'!$A:$A,'Project Commitment'!$A18, 'Monthly Update'!S:S)</f>
        <v>0</v>
      </c>
      <c r="O18" s="67">
        <f>0</f>
        <v>0</v>
      </c>
      <c r="P18" s="67">
        <f>0</f>
        <v>0</v>
      </c>
      <c r="Q18" s="67">
        <f>E18-SUMIF('Monthly Update'!$A:$A,'Project Commitment'!$A18, 'Monthly Update'!V:V)</f>
        <v>0</v>
      </c>
      <c r="R18" s="67">
        <f>0</f>
        <v>0</v>
      </c>
      <c r="S18" s="67">
        <f>F18-SUMIF('Monthly Update'!$A:$A,'Project Commitment'!$A18, 'Monthly Update'!H:H)</f>
        <v>-76</v>
      </c>
      <c r="T18" s="67">
        <f>0</f>
        <v>0</v>
      </c>
      <c r="U18" s="67">
        <f>G18-SUMIF('Monthly Update'!$A:$A,'Project Commitment'!$A18, 'Monthly Update'!AA:AA)</f>
        <v>-72</v>
      </c>
      <c r="V18" s="67">
        <f>H18-SUMIF('Monthly Update'!$A:$A,'Project Commitment'!$A18, 'Monthly Update'!L:L)</f>
        <v>-61</v>
      </c>
      <c r="W18" s="67">
        <f>0</f>
        <v>0</v>
      </c>
      <c r="X18" s="67">
        <f>I18-SUMIF('Monthly Update'!$A:$A,'Project Commitment'!$A18, 'Monthly Update'!AC:AC)</f>
        <v>-82</v>
      </c>
      <c r="Y18" s="67">
        <f>J18-SUMIF('Monthly Update'!$A:$A,'Project Commitment'!$A18, 'Monthly Update'!AE:AE)</f>
        <v>335</v>
      </c>
      <c r="Z18" s="67">
        <f>K18-SUMIF('Monthly Update'!$A:$A,'Project Commitment'!$A18, 'Monthly Update'!AG:AG)</f>
        <v>362</v>
      </c>
      <c r="AA18" s="67">
        <f>0</f>
        <v>0</v>
      </c>
      <c r="AB18" s="67">
        <f>L18-SUMIF('Monthly Update'!$A:$A,'Project Commitment'!$A18, 'Monthly Update'!AK:AK)</f>
        <v>339</v>
      </c>
    </row>
    <row r="19" spans="1:28" x14ac:dyDescent="0.25">
      <c r="A19" t="s">
        <v>522</v>
      </c>
      <c r="B19" t="s">
        <v>523</v>
      </c>
      <c r="C19" s="201">
        <v>47727</v>
      </c>
      <c r="D19" s="201" t="s">
        <v>450</v>
      </c>
      <c r="E19" s="201">
        <v>46235</v>
      </c>
      <c r="F19" s="201" t="s">
        <v>450</v>
      </c>
      <c r="G19" s="201">
        <v>46478</v>
      </c>
      <c r="H19" s="201" t="s">
        <v>450</v>
      </c>
      <c r="I19" s="201">
        <v>46478</v>
      </c>
      <c r="J19" s="201">
        <v>47635</v>
      </c>
      <c r="K19" s="201">
        <v>47727</v>
      </c>
      <c r="L19" s="201">
        <v>48092</v>
      </c>
      <c r="M19" s="67"/>
      <c r="N19" s="67" t="e">
        <f>D19-SUMIF('Monthly Update'!$A:$A,'Project Commitment'!$A19, 'Monthly Update'!S:S)</f>
        <v>#VALUE!</v>
      </c>
      <c r="O19" s="67">
        <f>0</f>
        <v>0</v>
      </c>
      <c r="P19" s="67">
        <f>0</f>
        <v>0</v>
      </c>
      <c r="Q19" s="67">
        <f>E19-SUMIF('Monthly Update'!$A:$A,'Project Commitment'!$A19, 'Monthly Update'!V:V)</f>
        <v>0</v>
      </c>
      <c r="R19" s="67">
        <f>0</f>
        <v>0</v>
      </c>
      <c r="S19" s="67" t="e">
        <f>F19-SUMIF('Monthly Update'!$A:$A,'Project Commitment'!$A19, 'Monthly Update'!H:H)</f>
        <v>#VALUE!</v>
      </c>
      <c r="T19" s="67">
        <f>0</f>
        <v>0</v>
      </c>
      <c r="U19" s="67">
        <f>G19-SUMIF('Monthly Update'!$A:$A,'Project Commitment'!$A19, 'Monthly Update'!AA:AA)</f>
        <v>46478</v>
      </c>
      <c r="V19" s="67" t="e">
        <f>H19-SUMIF('Monthly Update'!$A:$A,'Project Commitment'!$A19, 'Monthly Update'!L:L)</f>
        <v>#VALUE!</v>
      </c>
      <c r="W19" s="67">
        <f>0</f>
        <v>0</v>
      </c>
      <c r="X19" s="67">
        <f>I19-SUMIF('Monthly Update'!$A:$A,'Project Commitment'!$A19, 'Monthly Update'!AC:AC)</f>
        <v>0</v>
      </c>
      <c r="Y19" s="67">
        <f>J19-SUMIF('Monthly Update'!$A:$A,'Project Commitment'!$A19, 'Monthly Update'!AE:AE)</f>
        <v>0</v>
      </c>
      <c r="Z19" s="67">
        <f>K19-SUMIF('Monthly Update'!$A:$A,'Project Commitment'!$A19, 'Monthly Update'!AG:AG)</f>
        <v>0</v>
      </c>
      <c r="AA19" s="67">
        <f>0</f>
        <v>0</v>
      </c>
      <c r="AB19" s="67">
        <f>L19-SUMIF('Monthly Update'!$A:$A,'Project Commitment'!$A19, 'Monthly Update'!AK:AK)</f>
        <v>274</v>
      </c>
    </row>
  </sheetData>
  <sheetProtection sheet="1" objects="1" scenarios="1" formatCells="0" formatColumns="0" formatRows="0"/>
  <mergeCells count="2">
    <mergeCell ref="A1:C1"/>
    <mergeCell ref="C3:L3"/>
  </mergeCells>
  <phoneticPr fontId="17" type="noConversion"/>
  <dataValidations count="2">
    <dataValidation type="date" operator="notEqual" allowBlank="1" showInputMessage="1" showErrorMessage="1" errorTitle="Dates Warning " error="Please enter mm/dd/yyyy" promptTitle="Date" prompt="Please enter dates as mm/dd/yyyy" sqref="C6:C7 D6:L6" xr:uid="{A67145E9-13BA-405D-B9F8-39D67F24AFAF}">
      <formula1>1</formula1>
    </dataValidation>
    <dataValidation operator="notEqual" allowBlank="1" showInputMessage="1" showErrorMessage="1" errorTitle="Dates Warning " error="Please enter mm/dd/yyyy" promptTitle="Date" prompt="Please enter dates as mm/dd/yyyy" sqref="A5:XFD5" xr:uid="{85C050F8-6C90-4CAE-89C6-F56BE8D760F0}"/>
  </dataValidations>
  <pageMargins left="0.7" right="0.7" top="0.75" bottom="0.75" header="0.3" footer="0.3"/>
  <pageSetup orientation="portrait"/>
  <extLst>
    <ext xmlns:x14="http://schemas.microsoft.com/office/spreadsheetml/2009/9/main" uri="{78C0D931-6437-407d-A8EE-F0AAD7539E65}">
      <x14:conditionalFormattings>
        <x14:conditionalFormatting xmlns:xm="http://schemas.microsoft.com/office/excel/2006/main">
          <x14:cfRule type="expression" priority="63" id="{AAA8B012-D3C1-4418-9258-961C04503779}">
            <xm:f>'Monthly Update'!#REF!&gt;=EDATE(#REF!,6)</xm:f>
            <x14:dxf>
              <fill>
                <patternFill>
                  <bgColor rgb="FFFF0000"/>
                </patternFill>
              </fill>
            </x14:dxf>
          </x14:cfRule>
          <xm:sqref>AB10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B4"/>
  <sheetViews>
    <sheetView workbookViewId="0"/>
  </sheetViews>
  <sheetFormatPr defaultRowHeight="15" x14ac:dyDescent="0.25"/>
  <cols>
    <col min="1" max="1" width="12.5703125" customWidth="1"/>
  </cols>
  <sheetData>
    <row r="1" spans="1:2" x14ac:dyDescent="0.25">
      <c r="A1" t="s">
        <v>284</v>
      </c>
    </row>
    <row r="3" spans="1:2" x14ac:dyDescent="0.25">
      <c r="A3" t="s">
        <v>285</v>
      </c>
      <c r="B3">
        <f>-365*0.75</f>
        <v>-273.75</v>
      </c>
    </row>
    <row r="4" spans="1:2" x14ac:dyDescent="0.25">
      <c r="A4" t="s">
        <v>286</v>
      </c>
      <c r="B4">
        <v>-365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A1:M36"/>
  <sheetViews>
    <sheetView topLeftCell="D1" workbookViewId="0">
      <selection activeCell="H10" sqref="H10"/>
    </sheetView>
  </sheetViews>
  <sheetFormatPr defaultRowHeight="15" x14ac:dyDescent="0.25"/>
  <cols>
    <col min="1" max="1" width="21.140625" bestFit="1" customWidth="1"/>
    <col min="2" max="2" width="22.140625" customWidth="1"/>
    <col min="3" max="3" width="42.28515625" bestFit="1" customWidth="1"/>
    <col min="4" max="4" width="42.28515625" customWidth="1"/>
    <col min="5" max="5" width="16.42578125" bestFit="1" customWidth="1"/>
    <col min="6" max="6" width="27.85546875" bestFit="1" customWidth="1"/>
    <col min="7" max="7" width="18.28515625" bestFit="1" customWidth="1"/>
    <col min="8" max="8" width="34.85546875" bestFit="1" customWidth="1"/>
    <col min="9" max="9" width="34.85546875" customWidth="1"/>
    <col min="10" max="10" width="19" bestFit="1" customWidth="1"/>
    <col min="11" max="11" width="24" bestFit="1" customWidth="1"/>
    <col min="12" max="12" width="12.42578125" bestFit="1" customWidth="1"/>
  </cols>
  <sheetData>
    <row r="1" spans="1:13" x14ac:dyDescent="0.25">
      <c r="A1" s="4" t="s">
        <v>209</v>
      </c>
      <c r="B1" s="4" t="s">
        <v>210</v>
      </c>
      <c r="C1" s="4" t="s">
        <v>68</v>
      </c>
      <c r="D1" s="4" t="s">
        <v>64</v>
      </c>
      <c r="E1" s="4" t="s">
        <v>211</v>
      </c>
      <c r="F1" s="4" t="s">
        <v>138</v>
      </c>
      <c r="G1" s="4" t="s">
        <v>208</v>
      </c>
      <c r="H1" s="4" t="s">
        <v>212</v>
      </c>
      <c r="I1" s="4" t="s">
        <v>213</v>
      </c>
      <c r="J1" s="20" t="s">
        <v>214</v>
      </c>
      <c r="K1" s="4" t="s">
        <v>72</v>
      </c>
      <c r="L1" s="4" t="s">
        <v>71</v>
      </c>
      <c r="M1" s="4" t="s">
        <v>305</v>
      </c>
    </row>
    <row r="2" spans="1:13" x14ac:dyDescent="0.25">
      <c r="A2" s="5" t="s">
        <v>215</v>
      </c>
      <c r="B2" s="5" t="s">
        <v>6</v>
      </c>
      <c r="C2" s="5" t="s">
        <v>73</v>
      </c>
      <c r="D2" s="5">
        <v>1</v>
      </c>
      <c r="E2" t="s">
        <v>412</v>
      </c>
      <c r="F2" t="s">
        <v>216</v>
      </c>
      <c r="G2" t="s">
        <v>123</v>
      </c>
      <c r="H2" s="160" t="s">
        <v>445</v>
      </c>
      <c r="I2" t="s">
        <v>113</v>
      </c>
      <c r="J2" t="s">
        <v>412</v>
      </c>
      <c r="K2" t="s">
        <v>194</v>
      </c>
      <c r="L2" t="s">
        <v>195</v>
      </c>
      <c r="M2" t="s">
        <v>306</v>
      </c>
    </row>
    <row r="3" spans="1:13" x14ac:dyDescent="0.25">
      <c r="A3" t="s">
        <v>217</v>
      </c>
      <c r="B3" t="s">
        <v>7</v>
      </c>
      <c r="C3" s="6" t="s">
        <v>218</v>
      </c>
      <c r="D3" s="5">
        <v>1</v>
      </c>
      <c r="E3" t="s">
        <v>413</v>
      </c>
      <c r="F3" t="s">
        <v>219</v>
      </c>
      <c r="G3" t="s">
        <v>114</v>
      </c>
      <c r="H3" s="160" t="s">
        <v>446</v>
      </c>
      <c r="I3" t="s">
        <v>119</v>
      </c>
      <c r="J3" t="s">
        <v>413</v>
      </c>
      <c r="K3" t="s">
        <v>220</v>
      </c>
      <c r="L3" t="s">
        <v>200</v>
      </c>
      <c r="M3" t="s">
        <v>307</v>
      </c>
    </row>
    <row r="4" spans="1:13" x14ac:dyDescent="0.25">
      <c r="C4" s="5" t="s">
        <v>221</v>
      </c>
      <c r="D4" s="5">
        <v>1</v>
      </c>
      <c r="E4" t="s">
        <v>207</v>
      </c>
      <c r="F4" t="s">
        <v>222</v>
      </c>
      <c r="G4" t="s">
        <v>120</v>
      </c>
      <c r="H4" s="160" t="s">
        <v>447</v>
      </c>
      <c r="I4" t="s">
        <v>125</v>
      </c>
      <c r="K4" t="s">
        <v>198</v>
      </c>
      <c r="L4" t="s">
        <v>65</v>
      </c>
      <c r="M4" t="s">
        <v>207</v>
      </c>
    </row>
    <row r="5" spans="1:13" x14ac:dyDescent="0.25">
      <c r="C5" s="5" t="s">
        <v>74</v>
      </c>
      <c r="D5" s="5">
        <v>1</v>
      </c>
      <c r="F5" t="s">
        <v>112</v>
      </c>
      <c r="H5" s="160" t="s">
        <v>448</v>
      </c>
      <c r="K5" t="s">
        <v>223</v>
      </c>
      <c r="L5" t="s">
        <v>224</v>
      </c>
      <c r="M5" t="s">
        <v>308</v>
      </c>
    </row>
    <row r="6" spans="1:13" x14ac:dyDescent="0.25">
      <c r="C6" s="5" t="s">
        <v>184</v>
      </c>
      <c r="D6" s="5">
        <v>1</v>
      </c>
      <c r="F6" t="s">
        <v>267</v>
      </c>
      <c r="H6" s="160" t="s">
        <v>449</v>
      </c>
      <c r="K6" t="s">
        <v>155</v>
      </c>
      <c r="L6" t="s">
        <v>225</v>
      </c>
    </row>
    <row r="7" spans="1:13" x14ac:dyDescent="0.25">
      <c r="C7" s="5" t="s">
        <v>226</v>
      </c>
      <c r="D7" s="5">
        <v>2</v>
      </c>
      <c r="F7" t="s">
        <v>207</v>
      </c>
      <c r="H7" s="160"/>
      <c r="L7" t="s">
        <v>197</v>
      </c>
    </row>
    <row r="8" spans="1:13" x14ac:dyDescent="0.25">
      <c r="C8" s="5" t="s">
        <v>75</v>
      </c>
      <c r="D8" s="5">
        <v>2</v>
      </c>
      <c r="H8" s="160"/>
      <c r="L8" t="s">
        <v>199</v>
      </c>
    </row>
    <row r="9" spans="1:13" x14ac:dyDescent="0.25">
      <c r="C9" s="5" t="s">
        <v>149</v>
      </c>
      <c r="D9" s="5">
        <v>3</v>
      </c>
      <c r="H9" s="160"/>
      <c r="L9" t="s">
        <v>201</v>
      </c>
    </row>
    <row r="10" spans="1:13" x14ac:dyDescent="0.25">
      <c r="C10" s="5" t="s">
        <v>227</v>
      </c>
      <c r="D10" s="5">
        <v>4</v>
      </c>
    </row>
    <row r="11" spans="1:13" x14ac:dyDescent="0.25">
      <c r="C11" s="5" t="s">
        <v>228</v>
      </c>
      <c r="D11" s="5"/>
    </row>
    <row r="13" spans="1:13" x14ac:dyDescent="0.25">
      <c r="A13" s="21" t="s">
        <v>88</v>
      </c>
      <c r="B13" s="21"/>
      <c r="C13" s="21" t="s">
        <v>229</v>
      </c>
      <c r="D13" s="4" t="s">
        <v>132</v>
      </c>
      <c r="E13" t="s">
        <v>203</v>
      </c>
      <c r="F13" s="21" t="s">
        <v>230</v>
      </c>
      <c r="G13" s="21" t="s">
        <v>231</v>
      </c>
      <c r="H13" t="s">
        <v>186</v>
      </c>
      <c r="I13" t="s">
        <v>232</v>
      </c>
      <c r="J13" t="s">
        <v>253</v>
      </c>
    </row>
    <row r="14" spans="1:13" x14ac:dyDescent="0.25">
      <c r="A14">
        <v>10</v>
      </c>
      <c r="C14">
        <v>0</v>
      </c>
      <c r="D14" t="s">
        <v>124</v>
      </c>
      <c r="E14" t="s">
        <v>153</v>
      </c>
      <c r="F14" t="s">
        <v>192</v>
      </c>
      <c r="G14" t="s">
        <v>233</v>
      </c>
      <c r="H14" t="s">
        <v>115</v>
      </c>
      <c r="I14" t="s">
        <v>234</v>
      </c>
      <c r="J14" t="s">
        <v>412</v>
      </c>
    </row>
    <row r="15" spans="1:13" x14ac:dyDescent="0.25">
      <c r="A15">
        <v>20</v>
      </c>
      <c r="C15">
        <v>1</v>
      </c>
      <c r="D15" t="s">
        <v>118</v>
      </c>
      <c r="E15" t="s">
        <v>121</v>
      </c>
      <c r="F15" t="s">
        <v>116</v>
      </c>
      <c r="G15" t="s">
        <v>235</v>
      </c>
      <c r="H15" t="s">
        <v>206</v>
      </c>
      <c r="I15" t="s">
        <v>117</v>
      </c>
      <c r="J15" t="s">
        <v>413</v>
      </c>
    </row>
    <row r="16" spans="1:13" x14ac:dyDescent="0.25">
      <c r="A16">
        <v>30</v>
      </c>
      <c r="C16">
        <v>2</v>
      </c>
      <c r="D16" t="s">
        <v>122</v>
      </c>
      <c r="F16" t="s">
        <v>236</v>
      </c>
      <c r="G16" t="s">
        <v>237</v>
      </c>
      <c r="H16" t="s">
        <v>152</v>
      </c>
      <c r="I16" t="s">
        <v>238</v>
      </c>
      <c r="J16" t="s">
        <v>414</v>
      </c>
    </row>
    <row r="17" spans="1:9" x14ac:dyDescent="0.25">
      <c r="A17">
        <v>40</v>
      </c>
      <c r="C17">
        <v>3</v>
      </c>
      <c r="I17" t="s">
        <v>239</v>
      </c>
    </row>
    <row r="18" spans="1:9" x14ac:dyDescent="0.25">
      <c r="A18">
        <v>50</v>
      </c>
      <c r="C18">
        <v>4</v>
      </c>
      <c r="F18" t="s">
        <v>240</v>
      </c>
    </row>
    <row r="19" spans="1:9" x14ac:dyDescent="0.25">
      <c r="A19">
        <v>60</v>
      </c>
      <c r="F19" t="s">
        <v>241</v>
      </c>
    </row>
    <row r="20" spans="1:9" x14ac:dyDescent="0.25">
      <c r="A20">
        <v>70</v>
      </c>
      <c r="F20" t="s">
        <v>242</v>
      </c>
    </row>
    <row r="21" spans="1:9" x14ac:dyDescent="0.25">
      <c r="A21">
        <v>80</v>
      </c>
      <c r="F21" t="s">
        <v>243</v>
      </c>
    </row>
    <row r="22" spans="1:9" x14ac:dyDescent="0.25">
      <c r="A22">
        <v>90</v>
      </c>
      <c r="F22" t="s">
        <v>244</v>
      </c>
    </row>
    <row r="23" spans="1:9" x14ac:dyDescent="0.25">
      <c r="A23">
        <v>100</v>
      </c>
      <c r="F23" t="s">
        <v>245</v>
      </c>
    </row>
    <row r="24" spans="1:9" x14ac:dyDescent="0.25">
      <c r="F24" t="s">
        <v>246</v>
      </c>
    </row>
    <row r="25" spans="1:9" x14ac:dyDescent="0.25">
      <c r="A25" t="s">
        <v>247</v>
      </c>
      <c r="F25" t="s">
        <v>248</v>
      </c>
    </row>
    <row r="26" spans="1:9" x14ac:dyDescent="0.25">
      <c r="A26" t="s">
        <v>113</v>
      </c>
      <c r="F26" t="s">
        <v>249</v>
      </c>
    </row>
    <row r="27" spans="1:9" x14ac:dyDescent="0.25">
      <c r="A27" t="s">
        <v>250</v>
      </c>
    </row>
    <row r="28" spans="1:9" x14ac:dyDescent="0.25">
      <c r="A28" t="s">
        <v>251</v>
      </c>
    </row>
    <row r="32" spans="1:9" x14ac:dyDescent="0.25">
      <c r="B32" t="s">
        <v>276</v>
      </c>
    </row>
    <row r="33" spans="2:2" x14ac:dyDescent="0.25">
      <c r="B33" t="s">
        <v>275</v>
      </c>
    </row>
    <row r="34" spans="2:2" x14ac:dyDescent="0.25">
      <c r="B34" t="s">
        <v>278</v>
      </c>
    </row>
    <row r="35" spans="2:2" x14ac:dyDescent="0.25">
      <c r="B35" t="s">
        <v>279</v>
      </c>
    </row>
    <row r="36" spans="2:2" x14ac:dyDescent="0.25">
      <c r="B36" t="s">
        <v>280</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AZ126"/>
  <sheetViews>
    <sheetView workbookViewId="0"/>
  </sheetViews>
  <sheetFormatPr defaultColWidth="10.42578125" defaultRowHeight="14.25" customHeight="1" outlineLevelCol="1" x14ac:dyDescent="0.25"/>
  <cols>
    <col min="1" max="2" width="32.140625" style="2" bestFit="1" customWidth="1"/>
    <col min="3" max="3" width="13" style="2" bestFit="1" customWidth="1"/>
    <col min="4" max="9" width="10.42578125" style="2"/>
    <col min="10" max="13" width="10.42578125" style="18" outlineLevel="1"/>
    <col min="14" max="21" width="10.42578125" style="2"/>
    <col min="22" max="22" width="10.42578125" style="2" collapsed="1"/>
    <col min="23" max="26" width="10.42578125" style="2"/>
    <col min="27" max="27" width="10.42578125" style="2" collapsed="1"/>
    <col min="28" max="29" width="10.42578125" style="2"/>
    <col min="30" max="30" width="10.42578125" style="2" collapsed="1"/>
    <col min="31" max="31" width="10.42578125" style="2"/>
    <col min="32" max="32" width="10.42578125" style="2" outlineLevel="1"/>
    <col min="33" max="35" width="10.42578125" style="19" outlineLevel="1"/>
    <col min="36" max="36" width="10.42578125" style="19"/>
    <col min="37" max="48" width="10.42578125" style="18"/>
    <col min="49" max="51" width="10.42578125" style="2"/>
    <col min="52" max="52" width="10.42578125" style="25"/>
    <col min="53" max="16384" width="10.42578125" style="2"/>
  </cols>
  <sheetData>
    <row r="1" spans="1:3" ht="14.25" customHeight="1" x14ac:dyDescent="0.25">
      <c r="A1" t="str">
        <f>'Project Commitment'!A2</f>
        <v>English</v>
      </c>
    </row>
    <row r="2" spans="1:3" ht="23.25" x14ac:dyDescent="0.35">
      <c r="A2" s="44" t="s">
        <v>5</v>
      </c>
      <c r="B2" s="44" t="s">
        <v>6</v>
      </c>
      <c r="C2" s="44" t="s">
        <v>7</v>
      </c>
    </row>
    <row r="3" spans="1:3" ht="14.25" customHeight="1" x14ac:dyDescent="0.25">
      <c r="A3" s="241" t="s">
        <v>126</v>
      </c>
      <c r="B3" s="241"/>
      <c r="C3" s="241"/>
    </row>
    <row r="4" spans="1:3" ht="14.25" customHeight="1" x14ac:dyDescent="0.25">
      <c r="A4" t="str">
        <f t="shared" ref="A4:A70" si="0">IF($A$1="English",B4,C4)</f>
        <v>Meeting Date</v>
      </c>
      <c r="B4" t="s">
        <v>127</v>
      </c>
    </row>
    <row r="5" spans="1:3" ht="14.25" customHeight="1" x14ac:dyDescent="0.25">
      <c r="A5" t="str">
        <f t="shared" si="0"/>
        <v>Section 1: Project Details</v>
      </c>
      <c r="B5" t="s">
        <v>128</v>
      </c>
      <c r="C5" t="s">
        <v>129</v>
      </c>
    </row>
    <row r="6" spans="1:3" ht="14.25" customHeight="1" x14ac:dyDescent="0.25">
      <c r="A6" t="str">
        <f t="shared" si="0"/>
        <v>Project ID</v>
      </c>
      <c r="B6" t="s">
        <v>1</v>
      </c>
    </row>
    <row r="7" spans="1:3" ht="14.25" customHeight="1" x14ac:dyDescent="0.25">
      <c r="A7" t="str">
        <f t="shared" si="0"/>
        <v>Project Name</v>
      </c>
      <c r="B7" t="s">
        <v>2</v>
      </c>
    </row>
    <row r="8" spans="1:3" ht="14.25" customHeight="1" x14ac:dyDescent="0.25">
      <c r="A8" t="str">
        <f t="shared" si="0"/>
        <v>Address</v>
      </c>
      <c r="B8" t="s">
        <v>69</v>
      </c>
    </row>
    <row r="9" spans="1:3" ht="14.25" customHeight="1" x14ac:dyDescent="0.25">
      <c r="A9" t="str">
        <f t="shared" si="0"/>
        <v xml:space="preserve">City </v>
      </c>
      <c r="B9" t="s">
        <v>70</v>
      </c>
    </row>
    <row r="10" spans="1:3" ht="14.25" customHeight="1" x14ac:dyDescent="0.25">
      <c r="A10" t="str">
        <f t="shared" si="0"/>
        <v>Postal Code</v>
      </c>
      <c r="B10" t="s">
        <v>130</v>
      </c>
    </row>
    <row r="11" spans="1:3" ht="14.25" customHeight="1" x14ac:dyDescent="0.25">
      <c r="A11" t="str">
        <f t="shared" si="0"/>
        <v>Project Type</v>
      </c>
      <c r="B11" t="s">
        <v>67</v>
      </c>
    </row>
    <row r="12" spans="1:3" ht="14.25" customHeight="1" x14ac:dyDescent="0.25">
      <c r="A12" t="str">
        <f t="shared" si="0"/>
        <v>Approval Period</v>
      </c>
      <c r="B12" t="s">
        <v>131</v>
      </c>
    </row>
    <row r="13" spans="1:3" ht="14.25" customHeight="1" x14ac:dyDescent="0.25">
      <c r="A13" t="str">
        <f t="shared" si="0"/>
        <v xml:space="preserve">Project Category </v>
      </c>
      <c r="B13" t="s">
        <v>72</v>
      </c>
    </row>
    <row r="14" spans="1:3" ht="14.25" customHeight="1" x14ac:dyDescent="0.25">
      <c r="A14" t="str">
        <f t="shared" si="0"/>
        <v>Project Status</v>
      </c>
      <c r="B14" t="s">
        <v>132</v>
      </c>
    </row>
    <row r="15" spans="1:3" ht="14.25" customHeight="1" x14ac:dyDescent="0.25">
      <c r="A15" t="str">
        <f t="shared" si="0"/>
        <v>Construction Status</v>
      </c>
      <c r="B15" t="s">
        <v>133</v>
      </c>
    </row>
    <row r="16" spans="1:3" ht="14.25" customHeight="1" x14ac:dyDescent="0.25">
      <c r="A16" t="str">
        <f t="shared" si="0"/>
        <v>Section 2: Square Footage Specification</v>
      </c>
      <c r="B16" t="s">
        <v>76</v>
      </c>
    </row>
    <row r="17" spans="1:2" ht="14.25" customHeight="1" x14ac:dyDescent="0.25">
      <c r="A17" t="str">
        <f t="shared" si="0"/>
        <v>Anticipate Design Change?</v>
      </c>
      <c r="B17" t="s">
        <v>77</v>
      </c>
    </row>
    <row r="18" spans="1:2" ht="14.25" customHeight="1" x14ac:dyDescent="0.25">
      <c r="A18" t="str">
        <f t="shared" si="0"/>
        <v>Square Footage of New Construction</v>
      </c>
      <c r="B18" t="s">
        <v>78</v>
      </c>
    </row>
    <row r="19" spans="1:2" ht="14.25" customHeight="1" x14ac:dyDescent="0.25">
      <c r="A19" t="str">
        <f t="shared" si="0"/>
        <v>Square Footage of Renovaton/Retrofit</v>
      </c>
      <c r="B19" t="s">
        <v>134</v>
      </c>
    </row>
    <row r="20" spans="1:2" ht="14.25" customHeight="1" x14ac:dyDescent="0.25">
      <c r="A20" t="str">
        <f t="shared" si="0"/>
        <v>Square Footage of Demolition</v>
      </c>
      <c r="B20" t="s">
        <v>79</v>
      </c>
    </row>
    <row r="21" spans="1:2" ht="14.25" customHeight="1" x14ac:dyDescent="0.25">
      <c r="A21" t="str">
        <f t="shared" si="0"/>
        <v>Square Footage of New Child Care</v>
      </c>
      <c r="B21" t="s">
        <v>135</v>
      </c>
    </row>
    <row r="22" spans="1:2" ht="14.25" customHeight="1" x14ac:dyDescent="0.25">
      <c r="A22" t="str">
        <f t="shared" si="0"/>
        <v xml:space="preserve">Square Footage of Community Space </v>
      </c>
      <c r="B22" t="s">
        <v>136</v>
      </c>
    </row>
    <row r="23" spans="1:2" ht="14.25" customHeight="1" x14ac:dyDescent="0.25">
      <c r="A23" t="str">
        <f t="shared" si="0"/>
        <v>Square Footage of EarlyOn</v>
      </c>
      <c r="B23" t="s">
        <v>80</v>
      </c>
    </row>
    <row r="24" spans="1:2" ht="14.25" customHeight="1" x14ac:dyDescent="0.25">
      <c r="A24" t="str">
        <f t="shared" si="0"/>
        <v xml:space="preserve">Section 3: Phase 1 - Pre-Tender </v>
      </c>
      <c r="B24" t="s">
        <v>137</v>
      </c>
    </row>
    <row r="25" spans="1:2" ht="14.25" customHeight="1" x14ac:dyDescent="0.25">
      <c r="A25" t="str">
        <f t="shared" si="0"/>
        <v>Site Ownership Status</v>
      </c>
      <c r="B25" t="s">
        <v>138</v>
      </c>
    </row>
    <row r="26" spans="1:2" ht="14.25" customHeight="1" x14ac:dyDescent="0.25">
      <c r="A26" t="str">
        <f t="shared" si="0"/>
        <v>Site Purchase Date</v>
      </c>
      <c r="B26" t="s">
        <v>139</v>
      </c>
    </row>
    <row r="27" spans="1:2" ht="14.25" customHeight="1" x14ac:dyDescent="0.25">
      <c r="A27" t="str">
        <f t="shared" si="0"/>
        <v xml:space="preserve">Space Template Approval Date </v>
      </c>
      <c r="B27" t="s">
        <v>140</v>
      </c>
    </row>
    <row r="28" spans="1:2" ht="14.25" customHeight="1" x14ac:dyDescent="0.25">
      <c r="A28" t="str">
        <f t="shared" si="0"/>
        <v xml:space="preserve">Type of Design Used </v>
      </c>
      <c r="B28" t="s">
        <v>141</v>
      </c>
    </row>
    <row r="29" spans="1:2" ht="14.25" customHeight="1" x14ac:dyDescent="0.25">
      <c r="A29" t="str">
        <f t="shared" si="0"/>
        <v xml:space="preserve">Design Status </v>
      </c>
      <c r="B29" t="s">
        <v>82</v>
      </c>
    </row>
    <row r="30" spans="1:2" ht="14.25" customHeight="1" x14ac:dyDescent="0.25">
      <c r="A30" t="str">
        <f t="shared" si="0"/>
        <v xml:space="preserve">Class A/B Cost Estimate -Date </v>
      </c>
      <c r="B30" t="s">
        <v>142</v>
      </c>
    </row>
    <row r="31" spans="1:2" ht="14.25" customHeight="1" x14ac:dyDescent="0.25">
      <c r="A31" t="str">
        <f t="shared" si="0"/>
        <v xml:space="preserve">Child Care Floorplan Approval - Date </v>
      </c>
      <c r="B31" t="s">
        <v>83</v>
      </c>
    </row>
    <row r="32" spans="1:2" ht="14.25" customHeight="1" x14ac:dyDescent="0.25">
      <c r="A32" t="str">
        <f t="shared" si="0"/>
        <v xml:space="preserve">Site, Design and Child Care Related Comments: Include details of scope change if applicable </v>
      </c>
      <c r="B32" t="s">
        <v>143</v>
      </c>
    </row>
    <row r="33" spans="1:3" ht="14.25" customHeight="1" x14ac:dyDescent="0.25">
      <c r="A33" t="str">
        <f t="shared" si="0"/>
        <v>Section 4: Phase 2 - Tender</v>
      </c>
      <c r="B33" t="s">
        <v>84</v>
      </c>
    </row>
    <row r="34" spans="1:3" ht="14.25" customHeight="1" x14ac:dyDescent="0.25">
      <c r="A34" t="str">
        <f t="shared" si="0"/>
        <v xml:space="preserve">Tender Issued Date </v>
      </c>
      <c r="B34" t="s">
        <v>86</v>
      </c>
    </row>
    <row r="35" spans="1:3" ht="14.25" customHeight="1" x14ac:dyDescent="0.25">
      <c r="A35" t="str">
        <f t="shared" si="0"/>
        <v>Tender Closed</v>
      </c>
      <c r="B35" t="s">
        <v>144</v>
      </c>
    </row>
    <row r="36" spans="1:3" ht="14.25" customHeight="1" x14ac:dyDescent="0.25">
      <c r="A36" t="str">
        <f t="shared" si="0"/>
        <v>Site Plan Submission Date</v>
      </c>
      <c r="B36" t="s">
        <v>145</v>
      </c>
    </row>
    <row r="37" spans="1:3" ht="14.25" customHeight="1" x14ac:dyDescent="0.25">
      <c r="A37" t="str">
        <f t="shared" si="0"/>
        <v>Site Plan Approval Date</v>
      </c>
      <c r="B37" t="s">
        <v>146</v>
      </c>
    </row>
    <row r="38" spans="1:3" ht="14.25" customHeight="1" x14ac:dyDescent="0.25">
      <c r="A38" t="str">
        <f t="shared" si="0"/>
        <v>Section 5: Phase 3 - Construction</v>
      </c>
      <c r="B38" t="s">
        <v>147</v>
      </c>
    </row>
    <row r="39" spans="1:3" ht="14.25" customHeight="1" x14ac:dyDescent="0.25">
      <c r="A39" t="str">
        <f t="shared" si="0"/>
        <v>Construction Start - Date</v>
      </c>
      <c r="B39" t="s">
        <v>148</v>
      </c>
    </row>
    <row r="40" spans="1:3" ht="14.25" customHeight="1" x14ac:dyDescent="0.25">
      <c r="A40" t="str">
        <f t="shared" si="0"/>
        <v>% Construction Progress</v>
      </c>
      <c r="B40" t="s">
        <v>88</v>
      </c>
    </row>
    <row r="41" spans="1:3" ht="14.25" customHeight="1" x14ac:dyDescent="0.25">
      <c r="A41" t="str">
        <f t="shared" si="0"/>
        <v>Substantial Completion</v>
      </c>
      <c r="B41" t="s">
        <v>149</v>
      </c>
    </row>
    <row r="42" spans="1:3" ht="14.25" customHeight="1" x14ac:dyDescent="0.25">
      <c r="A42" t="str">
        <f t="shared" si="0"/>
        <v>Section 6: Phase 4 - Project Completion</v>
      </c>
      <c r="B42" t="s">
        <v>90</v>
      </c>
    </row>
    <row r="43" spans="1:3" ht="14.25" customHeight="1" x14ac:dyDescent="0.25">
      <c r="A43" t="str">
        <f t="shared" si="0"/>
        <v xml:space="preserve">School Opening Date </v>
      </c>
      <c r="B43" t="s">
        <v>91</v>
      </c>
    </row>
    <row r="44" spans="1:3" ht="14.25" customHeight="1" x14ac:dyDescent="0.25">
      <c r="A44" t="str">
        <f t="shared" si="0"/>
        <v>Child Care Opening Date</v>
      </c>
      <c r="B44" t="s">
        <v>150</v>
      </c>
    </row>
    <row r="45" spans="1:3" ht="14.25" customHeight="1" x14ac:dyDescent="0.25">
      <c r="A45" t="str">
        <f t="shared" si="0"/>
        <v>Project Reconciliation</v>
      </c>
      <c r="B45" t="s">
        <v>54</v>
      </c>
    </row>
    <row r="46" spans="1:3" ht="14.25" customHeight="1" x14ac:dyDescent="0.25">
      <c r="A46" t="str">
        <f t="shared" si="0"/>
        <v xml:space="preserve">Section 7: Approved Project Funding </v>
      </c>
      <c r="B46" t="s">
        <v>92</v>
      </c>
      <c r="C46" t="s">
        <v>151</v>
      </c>
    </row>
    <row r="47" spans="1:3" ht="14.25" customHeight="1" x14ac:dyDescent="0.25">
      <c r="A47" t="str">
        <f t="shared" si="0"/>
        <v>LP/EDC</v>
      </c>
      <c r="B47" t="s">
        <v>152</v>
      </c>
    </row>
    <row r="48" spans="1:3" ht="14.25" customHeight="1" x14ac:dyDescent="0.25">
      <c r="A48" t="str">
        <f t="shared" si="0"/>
        <v>CP</v>
      </c>
      <c r="B48" t="s">
        <v>153</v>
      </c>
    </row>
    <row r="49" spans="1:3" ht="14.25" customHeight="1" x14ac:dyDescent="0.25">
      <c r="A49" t="str">
        <f t="shared" si="0"/>
        <v>CC</v>
      </c>
      <c r="B49" t="s">
        <v>154</v>
      </c>
    </row>
    <row r="50" spans="1:3" ht="14.25" customHeight="1" x14ac:dyDescent="0.25">
      <c r="A50" t="str">
        <f t="shared" si="0"/>
        <v xml:space="preserve">Other </v>
      </c>
      <c r="B50" t="s">
        <v>155</v>
      </c>
    </row>
    <row r="51" spans="1:3" ht="14.25" customHeight="1" x14ac:dyDescent="0.25">
      <c r="A51" t="str">
        <f t="shared" si="0"/>
        <v xml:space="preserve">Total Approved Funding </v>
      </c>
      <c r="B51" t="s">
        <v>156</v>
      </c>
    </row>
    <row r="52" spans="1:3" ht="14.25" customHeight="1" x14ac:dyDescent="0.25">
      <c r="A52" t="str">
        <f t="shared" si="0"/>
        <v xml:space="preserve">Section 8: Projected Construction Cost </v>
      </c>
      <c r="B52" t="s">
        <v>93</v>
      </c>
      <c r="C52" t="s">
        <v>157</v>
      </c>
    </row>
    <row r="53" spans="1:3" ht="14.25" customHeight="1" x14ac:dyDescent="0.25">
      <c r="A53" t="str">
        <f t="shared" si="0"/>
        <v xml:space="preserve">Basis of Cost Estimate </v>
      </c>
      <c r="B53" t="s">
        <v>94</v>
      </c>
    </row>
    <row r="54" spans="1:3" ht="14.25" customHeight="1" x14ac:dyDescent="0.25">
      <c r="A54" t="str">
        <f t="shared" si="0"/>
        <v>Land Cost</v>
      </c>
      <c r="B54" t="s">
        <v>158</v>
      </c>
    </row>
    <row r="55" spans="1:3" ht="14.25" customHeight="1" x14ac:dyDescent="0.25">
      <c r="A55" t="str">
        <f t="shared" si="0"/>
        <v>Building Cost - School</v>
      </c>
      <c r="B55" t="s">
        <v>159</v>
      </c>
    </row>
    <row r="56" spans="1:3" ht="14.25" customHeight="1" x14ac:dyDescent="0.25">
      <c r="A56" t="str">
        <f t="shared" si="0"/>
        <v>Soft Costs - School</v>
      </c>
      <c r="B56" t="s">
        <v>160</v>
      </c>
    </row>
    <row r="57" spans="1:3" ht="14.25" customHeight="1" x14ac:dyDescent="0.25">
      <c r="A57" t="str">
        <f t="shared" si="0"/>
        <v xml:space="preserve">Building Cost - Child Care </v>
      </c>
      <c r="B57" t="s">
        <v>161</v>
      </c>
    </row>
    <row r="58" spans="1:3" ht="14.25" customHeight="1" x14ac:dyDescent="0.25">
      <c r="A58" t="str">
        <f t="shared" si="0"/>
        <v xml:space="preserve">Soft Costs -Child Care </v>
      </c>
      <c r="B58" t="s">
        <v>162</v>
      </c>
    </row>
    <row r="59" spans="1:3" ht="14.25" customHeight="1" x14ac:dyDescent="0.25">
      <c r="A59" t="str">
        <f t="shared" si="0"/>
        <v>Unique Site Costs - School</v>
      </c>
      <c r="B59" t="s">
        <v>163</v>
      </c>
    </row>
    <row r="60" spans="1:3" ht="14.25" customHeight="1" x14ac:dyDescent="0.25">
      <c r="A60" t="str">
        <f t="shared" si="0"/>
        <v xml:space="preserve">Unique Site Costs - Child Care </v>
      </c>
      <c r="B60" t="s">
        <v>164</v>
      </c>
    </row>
    <row r="61" spans="1:3" ht="14.25" customHeight="1" x14ac:dyDescent="0.25">
      <c r="A61" t="str">
        <f t="shared" si="0"/>
        <v xml:space="preserve">Unique Site Costs - Other </v>
      </c>
      <c r="B61" t="s">
        <v>165</v>
      </c>
    </row>
    <row r="62" spans="1:3" ht="14.25" customHeight="1" x14ac:dyDescent="0.25">
      <c r="A62" t="str">
        <f t="shared" si="0"/>
        <v>Municipal/Extraordinary Cost - School</v>
      </c>
      <c r="B62" t="s">
        <v>166</v>
      </c>
    </row>
    <row r="63" spans="1:3" ht="14.25" customHeight="1" x14ac:dyDescent="0.25">
      <c r="A63" t="str">
        <f t="shared" si="0"/>
        <v>Municipal/Extraordinary Cost - Child Care</v>
      </c>
      <c r="B63" t="s">
        <v>167</v>
      </c>
    </row>
    <row r="64" spans="1:3" ht="14.25" customHeight="1" x14ac:dyDescent="0.25">
      <c r="A64" t="str">
        <f t="shared" si="0"/>
        <v>Municipal/Extraordinary Cost - Other</v>
      </c>
      <c r="B64" t="s">
        <v>168</v>
      </c>
    </row>
    <row r="65" spans="1:3" ht="14.25" customHeight="1" x14ac:dyDescent="0.25">
      <c r="A65" t="str">
        <f t="shared" si="0"/>
        <v xml:space="preserve">Total </v>
      </c>
      <c r="B65" t="s">
        <v>169</v>
      </c>
    </row>
    <row r="66" spans="1:3" ht="14.25" customHeight="1" x14ac:dyDescent="0.25">
      <c r="A66" t="str">
        <f t="shared" si="0"/>
        <v>Variance</v>
      </c>
      <c r="B66" t="s">
        <v>170</v>
      </c>
    </row>
    <row r="67" spans="1:3" ht="14.25" customHeight="1" x14ac:dyDescent="0.25">
      <c r="A67" t="str">
        <f t="shared" si="0"/>
        <v>Revised Funding Request</v>
      </c>
      <c r="B67" t="s">
        <v>171</v>
      </c>
    </row>
    <row r="68" spans="1:3" ht="14.25" customHeight="1" x14ac:dyDescent="0.25">
      <c r="A68" t="str">
        <f t="shared" si="0"/>
        <v>Section 9: Communications Protocol</v>
      </c>
      <c r="B68" t="s">
        <v>172</v>
      </c>
    </row>
    <row r="69" spans="1:3" ht="14.25" customHeight="1" x14ac:dyDescent="0.25">
      <c r="A69" t="str">
        <f t="shared" si="0"/>
        <v xml:space="preserve">Signage </v>
      </c>
      <c r="B69" t="s">
        <v>95</v>
      </c>
    </row>
    <row r="70" spans="1:3" ht="14.25" customHeight="1" x14ac:dyDescent="0.25">
      <c r="A70" t="str">
        <f t="shared" si="0"/>
        <v>Opening Ceremony - Date</v>
      </c>
      <c r="B70" t="s">
        <v>173</v>
      </c>
    </row>
    <row r="71" spans="1:3" ht="14.25" customHeight="1" x14ac:dyDescent="0.25">
      <c r="A71" t="str">
        <f t="shared" ref="A71:A89" si="1">IF($A$1="English",B71,C71)</f>
        <v xml:space="preserve">Section 10: General Comments </v>
      </c>
      <c r="B71" t="s">
        <v>174</v>
      </c>
      <c r="C71" t="s">
        <v>175</v>
      </c>
    </row>
    <row r="72" spans="1:3" ht="14.25" customHeight="1" x14ac:dyDescent="0.25">
      <c r="A72" t="str">
        <f t="shared" si="1"/>
        <v xml:space="preserve">Section 10: Project Risks and Mitigation Stategies </v>
      </c>
      <c r="B72" t="s">
        <v>176</v>
      </c>
    </row>
    <row r="73" spans="1:3" ht="14.25" customHeight="1" x14ac:dyDescent="0.25">
      <c r="A73" t="str">
        <f t="shared" si="1"/>
        <v>Risk Type</v>
      </c>
      <c r="B73" t="s">
        <v>177</v>
      </c>
    </row>
    <row r="74" spans="1:3" ht="14.1" customHeight="1" x14ac:dyDescent="0.25">
      <c r="A74" t="str">
        <f t="shared" si="1"/>
        <v>Risk Rating</v>
      </c>
      <c r="B74" t="s">
        <v>178</v>
      </c>
    </row>
    <row r="75" spans="1:3" ht="14.1" customHeight="1" x14ac:dyDescent="0.25">
      <c r="A75" t="str">
        <f t="shared" si="1"/>
        <v>Risk Exposure Start Date</v>
      </c>
      <c r="B75" t="s">
        <v>179</v>
      </c>
    </row>
    <row r="76" spans="1:3" ht="14.1" customHeight="1" x14ac:dyDescent="0.25">
      <c r="A76" t="str">
        <f t="shared" si="1"/>
        <v>Min-Max Cost of Risk ($M)</v>
      </c>
      <c r="B76" t="s">
        <v>180</v>
      </c>
    </row>
    <row r="77" spans="1:3" ht="14.1" customHeight="1" x14ac:dyDescent="0.25">
      <c r="A77" t="str">
        <f t="shared" si="1"/>
        <v>Min-Max Delay of Risk (Months)</v>
      </c>
      <c r="B77" t="s">
        <v>181</v>
      </c>
    </row>
    <row r="78" spans="1:3" ht="14.1" customHeight="1" x14ac:dyDescent="0.25">
      <c r="A78" t="str">
        <f t="shared" si="1"/>
        <v>Mitigation Stategies/Comments</v>
      </c>
      <c r="B78" t="s">
        <v>182</v>
      </c>
    </row>
    <row r="79" spans="1:3" ht="14.25" customHeight="1" x14ac:dyDescent="0.25">
      <c r="A79" t="str">
        <f t="shared" si="1"/>
        <v>CA Comments</v>
      </c>
      <c r="B79" t="s">
        <v>183</v>
      </c>
    </row>
    <row r="80" spans="1:3" ht="14.25" customHeight="1" x14ac:dyDescent="0.25">
      <c r="A80" t="str">
        <f t="shared" si="1"/>
        <v>Contract Awarded</v>
      </c>
      <c r="B80" t="s">
        <v>184</v>
      </c>
    </row>
    <row r="81" spans="1:3" ht="14.25" customHeight="1" x14ac:dyDescent="0.25">
      <c r="A81" t="str">
        <f t="shared" si="1"/>
        <v>Build Permit Obtained</v>
      </c>
      <c r="B81" t="s">
        <v>46</v>
      </c>
    </row>
    <row r="82" spans="1:3" ht="14.25" customHeight="1" x14ac:dyDescent="0.25">
      <c r="A82" t="str">
        <f t="shared" si="1"/>
        <v xml:space="preserve">Site Preparation Cost </v>
      </c>
      <c r="B82" t="s">
        <v>185</v>
      </c>
    </row>
    <row r="83" spans="1:3" ht="14.25" customHeight="1" x14ac:dyDescent="0.25">
      <c r="A83" t="str">
        <f t="shared" si="1"/>
        <v xml:space="preserve">Site Funding Source </v>
      </c>
      <c r="B83" t="s">
        <v>186</v>
      </c>
    </row>
    <row r="84" spans="1:3" ht="14.25" customHeight="1" x14ac:dyDescent="0.25">
      <c r="A84" t="str">
        <f t="shared" si="1"/>
        <v>Site Prep/Mobilization</v>
      </c>
      <c r="B84" t="s">
        <v>187</v>
      </c>
    </row>
    <row r="85" spans="1:3" ht="14.25" customHeight="1" x14ac:dyDescent="0.25">
      <c r="A85" t="str">
        <f t="shared" si="1"/>
        <v xml:space="preserve">Building Cost - Other </v>
      </c>
      <c r="B85" t="s">
        <v>188</v>
      </c>
    </row>
    <row r="86" spans="1:3" ht="14.25" customHeight="1" x14ac:dyDescent="0.3">
      <c r="A86" t="str">
        <f t="shared" si="1"/>
        <v xml:space="preserve">ALL ESTIMATED DATES = UNBOLDED  
ALL ACTUAL DATES = BOLDED </v>
      </c>
      <c r="B86" s="45" t="s">
        <v>189</v>
      </c>
    </row>
    <row r="87" spans="1:3" ht="14.25" customHeight="1" x14ac:dyDescent="0.25">
      <c r="A87">
        <f t="shared" si="1"/>
        <v>0</v>
      </c>
    </row>
    <row r="88" spans="1:3" ht="14.25" customHeight="1" x14ac:dyDescent="0.25">
      <c r="A88">
        <f t="shared" si="1"/>
        <v>0</v>
      </c>
    </row>
    <row r="89" spans="1:3" ht="14.25" customHeight="1" x14ac:dyDescent="0.25">
      <c r="A89">
        <f t="shared" si="1"/>
        <v>0</v>
      </c>
    </row>
    <row r="94" spans="1:3" ht="14.25" customHeight="1" x14ac:dyDescent="0.35">
      <c r="A94" s="44" t="s">
        <v>5</v>
      </c>
      <c r="B94" s="44" t="s">
        <v>6</v>
      </c>
      <c r="C94" s="44" t="s">
        <v>7</v>
      </c>
    </row>
    <row r="95" spans="1:3" ht="14.25" customHeight="1" x14ac:dyDescent="0.25">
      <c r="A95" s="242" t="s">
        <v>0</v>
      </c>
      <c r="B95" s="242"/>
      <c r="C95" s="242"/>
    </row>
    <row r="96" spans="1:3" ht="14.25" customHeight="1" x14ac:dyDescent="0.25">
      <c r="A96" s="32" t="s">
        <v>8</v>
      </c>
      <c r="B96" s="32" t="s">
        <v>9</v>
      </c>
      <c r="C96" s="32" t="s">
        <v>10</v>
      </c>
    </row>
    <row r="97" spans="1:3" ht="14.25" customHeight="1" x14ac:dyDescent="0.25">
      <c r="A97" t="str">
        <f t="shared" ref="A97:A126" si="2">IF($A$1="English",B97,C97)</f>
        <v>Project Info</v>
      </c>
      <c r="B97" t="s">
        <v>11</v>
      </c>
      <c r="C97" s="32"/>
    </row>
    <row r="98" spans="1:3" ht="14.25" customHeight="1" x14ac:dyDescent="0.25">
      <c r="A98" t="str">
        <f t="shared" si="2"/>
        <v xml:space="preserve">Key </v>
      </c>
      <c r="B98" t="s">
        <v>12</v>
      </c>
    </row>
    <row r="99" spans="1:3" ht="14.25" customHeight="1" x14ac:dyDescent="0.25">
      <c r="A99" t="str">
        <f t="shared" si="2"/>
        <v>Project ID</v>
      </c>
      <c r="B99" t="s">
        <v>1</v>
      </c>
      <c r="C99" s="46" t="s">
        <v>13</v>
      </c>
    </row>
    <row r="100" spans="1:3" ht="14.25" customHeight="1" x14ac:dyDescent="0.25">
      <c r="A100" t="str">
        <f t="shared" si="2"/>
        <v xml:space="preserve">Project Name </v>
      </c>
      <c r="B100" t="s">
        <v>14</v>
      </c>
      <c r="C100" t="s">
        <v>4</v>
      </c>
    </row>
    <row r="101" spans="1:3" ht="14.25" customHeight="1" x14ac:dyDescent="0.25">
      <c r="A101" t="str">
        <f t="shared" si="2"/>
        <v>Phase 1 - Start</v>
      </c>
      <c r="B101" t="s">
        <v>15</v>
      </c>
      <c r="C101" t="s">
        <v>16</v>
      </c>
    </row>
    <row r="102" spans="1:3" ht="14.25" customHeight="1" x14ac:dyDescent="0.25">
      <c r="A102" t="str">
        <f t="shared" si="2"/>
        <v xml:space="preserve">Phase 1 - End </v>
      </c>
      <c r="B102" t="s">
        <v>17</v>
      </c>
      <c r="C102" t="s">
        <v>18</v>
      </c>
    </row>
    <row r="103" spans="1:3" ht="14.25" customHeight="1" x14ac:dyDescent="0.25">
      <c r="A103" t="str">
        <f t="shared" si="2"/>
        <v>Phase 2 - Start</v>
      </c>
      <c r="B103" t="s">
        <v>19</v>
      </c>
      <c r="C103" t="s">
        <v>20</v>
      </c>
    </row>
    <row r="104" spans="1:3" ht="14.25" customHeight="1" x14ac:dyDescent="0.25">
      <c r="A104" t="str">
        <f t="shared" si="2"/>
        <v>Phase 2 - End</v>
      </c>
      <c r="B104" t="s">
        <v>21</v>
      </c>
      <c r="C104" t="s">
        <v>22</v>
      </c>
    </row>
    <row r="105" spans="1:3" ht="14.25" customHeight="1" x14ac:dyDescent="0.25">
      <c r="A105" t="str">
        <f t="shared" si="2"/>
        <v>Phase 3 - Start</v>
      </c>
      <c r="B105" t="s">
        <v>23</v>
      </c>
      <c r="C105" t="s">
        <v>24</v>
      </c>
    </row>
    <row r="106" spans="1:3" ht="14.25" customHeight="1" x14ac:dyDescent="0.25">
      <c r="A106" t="str">
        <f t="shared" si="2"/>
        <v xml:space="preserve">Phase 3 - End </v>
      </c>
      <c r="B106" t="s">
        <v>25</v>
      </c>
      <c r="C106" t="s">
        <v>26</v>
      </c>
    </row>
    <row r="107" spans="1:3" ht="14.25" customHeight="1" x14ac:dyDescent="0.25">
      <c r="A107" t="str">
        <f t="shared" si="2"/>
        <v>Phase 4 - Start</v>
      </c>
      <c r="B107" t="s">
        <v>27</v>
      </c>
      <c r="C107" t="s">
        <v>28</v>
      </c>
    </row>
    <row r="108" spans="1:3" ht="14.25" customHeight="1" x14ac:dyDescent="0.25">
      <c r="A108" t="str">
        <f t="shared" si="2"/>
        <v>Phase 4 - End</v>
      </c>
      <c r="B108" t="s">
        <v>29</v>
      </c>
      <c r="C108" t="s">
        <v>30</v>
      </c>
    </row>
    <row r="109" spans="1:3" ht="14.25" customHeight="1" x14ac:dyDescent="0.25">
      <c r="A109" t="str">
        <f t="shared" si="2"/>
        <v>Phase Dates</v>
      </c>
      <c r="B109" t="s">
        <v>31</v>
      </c>
      <c r="C109" t="s">
        <v>32</v>
      </c>
    </row>
    <row r="110" spans="1:3" ht="14.25" customHeight="1" x14ac:dyDescent="0.25">
      <c r="A110" t="str">
        <f t="shared" si="2"/>
        <v>Key Milestones</v>
      </c>
      <c r="B110" t="s">
        <v>33</v>
      </c>
      <c r="C110" t="s">
        <v>34</v>
      </c>
    </row>
    <row r="111" spans="1:3" ht="14.25" customHeight="1" x14ac:dyDescent="0.25">
      <c r="A111" t="str">
        <f t="shared" si="2"/>
        <v xml:space="preserve">Site Purchase </v>
      </c>
      <c r="B111" t="s">
        <v>35</v>
      </c>
      <c r="C111" t="s">
        <v>36</v>
      </c>
    </row>
    <row r="112" spans="1:3" ht="14.25" customHeight="1" x14ac:dyDescent="0.25">
      <c r="A112" t="str">
        <f t="shared" si="2"/>
        <v xml:space="preserve">Space Template Finalized </v>
      </c>
      <c r="B112" t="s">
        <v>37</v>
      </c>
      <c r="C112" t="s">
        <v>38</v>
      </c>
    </row>
    <row r="113" spans="1:3" ht="14.25" customHeight="1" x14ac:dyDescent="0.25">
      <c r="A113" t="str">
        <f t="shared" si="2"/>
        <v xml:space="preserve">Signed Joint Use Agreement </v>
      </c>
      <c r="B113" s="43" t="s">
        <v>39</v>
      </c>
    </row>
    <row r="114" spans="1:3" ht="14.25" customHeight="1" x14ac:dyDescent="0.25">
      <c r="A114" t="str">
        <f t="shared" si="2"/>
        <v>80% Design</v>
      </c>
      <c r="B114" t="s">
        <v>40</v>
      </c>
      <c r="C114" t="s">
        <v>41</v>
      </c>
    </row>
    <row r="115" spans="1:3" ht="14.25" customHeight="1" x14ac:dyDescent="0.25">
      <c r="A115" t="str">
        <f t="shared" si="2"/>
        <v xml:space="preserve">Class A Cost Estimate </v>
      </c>
      <c r="B115" t="s">
        <v>42</v>
      </c>
      <c r="C115" t="s">
        <v>43</v>
      </c>
    </row>
    <row r="116" spans="1:3" ht="14.25" customHeight="1" x14ac:dyDescent="0.25">
      <c r="A116" t="str">
        <f t="shared" si="2"/>
        <v>Site Plan Approval</v>
      </c>
      <c r="B116" s="43" t="s">
        <v>44</v>
      </c>
      <c r="C116" t="s">
        <v>45</v>
      </c>
    </row>
    <row r="117" spans="1:3" ht="14.25" customHeight="1" x14ac:dyDescent="0.25">
      <c r="A117" t="str">
        <f t="shared" si="2"/>
        <v>Build Permit Obtained</v>
      </c>
      <c r="B117" s="43" t="s">
        <v>46</v>
      </c>
      <c r="C117" t="s">
        <v>47</v>
      </c>
    </row>
    <row r="118" spans="1:3" ht="14.25" customHeight="1" x14ac:dyDescent="0.25">
      <c r="A118" t="str">
        <f t="shared" si="2"/>
        <v xml:space="preserve">Tender Issued </v>
      </c>
      <c r="B118" s="43" t="s">
        <v>48</v>
      </c>
      <c r="C118" t="s">
        <v>49</v>
      </c>
    </row>
    <row r="119" spans="1:3" ht="14.25" customHeight="1" x14ac:dyDescent="0.25">
      <c r="A119" t="str">
        <f t="shared" si="2"/>
        <v>Construction Start</v>
      </c>
      <c r="B119" t="s">
        <v>50</v>
      </c>
      <c r="C119" t="s">
        <v>51</v>
      </c>
    </row>
    <row r="120" spans="1:3" ht="14.25" customHeight="1" x14ac:dyDescent="0.25">
      <c r="A120" t="str">
        <f t="shared" si="2"/>
        <v xml:space="preserve">School/Addition Opening </v>
      </c>
      <c r="B120" t="s">
        <v>52</v>
      </c>
      <c r="C120" t="s">
        <v>53</v>
      </c>
    </row>
    <row r="121" spans="1:3" ht="14.25" customHeight="1" x14ac:dyDescent="0.25">
      <c r="A121" t="str">
        <f t="shared" si="2"/>
        <v>Project Reconciliation</v>
      </c>
      <c r="B121" t="s">
        <v>54</v>
      </c>
      <c r="C121" t="s">
        <v>55</v>
      </c>
    </row>
    <row r="122" spans="1:3" ht="14.25" customHeight="1" x14ac:dyDescent="0.25">
      <c r="A122" t="str">
        <f t="shared" si="2"/>
        <v>Funding Requested</v>
      </c>
      <c r="B122" t="s">
        <v>56</v>
      </c>
      <c r="C122" t="s">
        <v>57</v>
      </c>
    </row>
    <row r="123" spans="1:3" ht="14.25" customHeight="1" x14ac:dyDescent="0.25">
      <c r="A123" t="str">
        <f t="shared" si="2"/>
        <v>Cost of Project (Excluding Site)</v>
      </c>
      <c r="B123" t="s">
        <v>58</v>
      </c>
      <c r="C123" t="s">
        <v>59</v>
      </c>
    </row>
    <row r="124" spans="1:3" ht="14.25" customHeight="1" x14ac:dyDescent="0.25">
      <c r="A124" t="str">
        <f t="shared" si="2"/>
        <v>Total Cost of Project (Including Site)</v>
      </c>
      <c r="B124" t="s">
        <v>60</v>
      </c>
      <c r="C124" t="s">
        <v>61</v>
      </c>
    </row>
    <row r="125" spans="1:3" ht="14.25" customHeight="1" x14ac:dyDescent="0.25">
      <c r="A125" t="str">
        <f t="shared" si="2"/>
        <v xml:space="preserve">Total CP Request </v>
      </c>
      <c r="B125" s="43" t="s">
        <v>62</v>
      </c>
    </row>
    <row r="126" spans="1:3" ht="14.25" customHeight="1" x14ac:dyDescent="0.25">
      <c r="A126" t="str">
        <f t="shared" si="2"/>
        <v xml:space="preserve">Total Child Care Request </v>
      </c>
      <c r="B126" s="43" t="s">
        <v>63</v>
      </c>
    </row>
  </sheetData>
  <mergeCells count="2">
    <mergeCell ref="A3:C3"/>
    <mergeCell ref="A95:C95"/>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84086bb-133c-45d3-b01c-16ca9052c0a7">
      <Terms xmlns="http://schemas.microsoft.com/office/infopath/2007/PartnerControls"/>
    </lcf76f155ced4ddcb4097134ff3c332f>
    <TaxCatchAll xmlns="34ea4838-a4b9-4e80-901d-75f025a8c6c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CDB668B227E234DA11F86B367F53E9A" ma:contentTypeVersion="12" ma:contentTypeDescription="Create a new document." ma:contentTypeScope="" ma:versionID="561bc83aff46baadcf624f3ab3f5661d">
  <xsd:schema xmlns:xsd="http://www.w3.org/2001/XMLSchema" xmlns:xs="http://www.w3.org/2001/XMLSchema" xmlns:p="http://schemas.microsoft.com/office/2006/metadata/properties" xmlns:ns2="c84086bb-133c-45d3-b01c-16ca9052c0a7" xmlns:ns3="34ea4838-a4b9-4e80-901d-75f025a8c6c9" targetNamespace="http://schemas.microsoft.com/office/2006/metadata/properties" ma:root="true" ma:fieldsID="ca3ccdd586776fa4d1594d5fb6336d5f" ns2:_="" ns3:_="">
    <xsd:import namespace="c84086bb-133c-45d3-b01c-16ca9052c0a7"/>
    <xsd:import namespace="34ea4838-a4b9-4e80-901d-75f025a8c6c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4086bb-133c-45d3-b01c-16ca9052c0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03f8475-640f-4944-9dcc-2d3788384b7c"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ea4838-a4b9-4e80-901d-75f025a8c6c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bc90e22-0fba-4024-8ccc-52d0d223867a}" ma:internalName="TaxCatchAll" ma:showField="CatchAllData" ma:web="34ea4838-a4b9-4e80-901d-75f025a8c6c9">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1DB81B-CBED-4112-A7D4-C74EE64BDF4E}">
  <ds:schemaRefs>
    <ds:schemaRef ds:uri="http://schemas.microsoft.com/office/2006/metadata/properties"/>
    <ds:schemaRef ds:uri="http://schemas.microsoft.com/office/infopath/2007/PartnerControls"/>
    <ds:schemaRef ds:uri="c84086bb-133c-45d3-b01c-16ca9052c0a7"/>
    <ds:schemaRef ds:uri="34ea4838-a4b9-4e80-901d-75f025a8c6c9"/>
  </ds:schemaRefs>
</ds:datastoreItem>
</file>

<file path=customXml/itemProps2.xml><?xml version="1.0" encoding="utf-8"?>
<ds:datastoreItem xmlns:ds="http://schemas.openxmlformats.org/officeDocument/2006/customXml" ds:itemID="{FB98DD0B-DA64-49C3-9973-D80203D7D1B8}">
  <ds:schemaRefs>
    <ds:schemaRef ds:uri="http://schemas.microsoft.com/sharepoint/v3/contenttype/forms"/>
  </ds:schemaRefs>
</ds:datastoreItem>
</file>

<file path=customXml/itemProps3.xml><?xml version="1.0" encoding="utf-8"?>
<ds:datastoreItem xmlns:ds="http://schemas.openxmlformats.org/officeDocument/2006/customXml" ds:itemID="{A0BFDBB5-79ED-4E9C-AC49-82AAAA5EE4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4086bb-133c-45d3-b01c-16ca9052c0a7"/>
    <ds:schemaRef ds:uri="34ea4838-a4b9-4e80-901d-75f025a8c6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34a106e-6316-442c-ad35-738afd673d2b}" enabled="1" method="Standard" siteId="{cddc1229-ac2a-4b97-b78a-0e5cacb586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form</vt:lpstr>
      <vt:lpstr>Instructions and Glossary</vt:lpstr>
      <vt:lpstr>Board Contacts</vt:lpstr>
      <vt:lpstr>Basic Project Info</vt:lpstr>
      <vt:lpstr>Monthly Update</vt:lpstr>
      <vt:lpstr>Ad-Hoc or Potential Projects</vt:lpstr>
      <vt:lpstr>Project Commitment</vt:lpstr>
      <vt:lpstr>Constants</vt:lpstr>
      <vt:lpstr>List</vt:lpstr>
      <vt:lpstr>Translation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McRuer, Geordie (EDU)</dc:creator>
  <cp:keywords/>
  <dc:description/>
  <cp:lastModifiedBy>McRuer, Geordie (EDU)</cp:lastModifiedBy>
  <cp:revision/>
  <dcterms:created xsi:type="dcterms:W3CDTF">2022-09-02T17:27:12Z</dcterms:created>
  <dcterms:modified xsi:type="dcterms:W3CDTF">2026-02-25T21:31:15Z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etDate">
    <vt:lpwstr>2022-09-02T17:27:13Z</vt:lpwstr>
  </property>
  <property fmtid="{D5CDD505-2E9C-101B-9397-08002B2CF9AE}" pid="4" name="MSIP_Label_034a106e-6316-442c-ad35-738afd673d2b_Method">
    <vt:lpwstr>Standard</vt:lpwstr>
  </property>
  <property fmtid="{D5CDD505-2E9C-101B-9397-08002B2CF9AE}" pid="5" name="MSIP_Label_034a106e-6316-442c-ad35-738afd673d2b_Name">
    <vt:lpwstr>034a106e-6316-442c-ad35-738afd673d2b</vt:lpwstr>
  </property>
  <property fmtid="{D5CDD505-2E9C-101B-9397-08002B2CF9AE}" pid="6" name="MSIP_Label_034a106e-6316-442c-ad35-738afd673d2b_SiteId">
    <vt:lpwstr>cddc1229-ac2a-4b97-b78a-0e5cacb5865c</vt:lpwstr>
  </property>
  <property fmtid="{D5CDD505-2E9C-101B-9397-08002B2CF9AE}" pid="7" name="MSIP_Label_034a106e-6316-442c-ad35-738afd673d2b_ActionId">
    <vt:lpwstr>8a0667a0-aef9-421c-8e05-db76a19e62e1</vt:lpwstr>
  </property>
  <property fmtid="{D5CDD505-2E9C-101B-9397-08002B2CF9AE}" pid="8" name="MSIP_Label_034a106e-6316-442c-ad35-738afd673d2b_ContentBits">
    <vt:lpwstr>0</vt:lpwstr>
  </property>
  <property fmtid="{D5CDD505-2E9C-101B-9397-08002B2CF9AE}" pid="9" name="ContentTypeId">
    <vt:lpwstr>0x010100CCDB668B227E234DA11F86B367F53E9A</vt:lpwstr>
  </property>
  <property fmtid="{D5CDD505-2E9C-101B-9397-08002B2CF9AE}" pid="10" name="MediaServiceImageTags">
    <vt:lpwstr/>
  </property>
  <property fmtid="{D5CDD505-2E9C-101B-9397-08002B2CF9AE}" pid="11" name="SV_QUERY_LIST_4F35BF76-6C0D-4D9B-82B2-816C12CF3733">
    <vt:lpwstr>empty_477D106A-C0D6-4607-AEBD-E2C9D60EA279</vt:lpwstr>
  </property>
</Properties>
</file>