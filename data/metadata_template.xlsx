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66925"/>
  <mc:AlternateContent xmlns:mc="http://schemas.openxmlformats.org/markup-compatibility/2006">
    <mc:Choice Requires="x15">
      <x15ac:absPath xmlns:x15ac="http://schemas.microsoft.com/office/spreadsheetml/2010/11/ac" url="https://ontariogov-my.sharepoint.com/personal/geordie_mcruer_ontario_ca/Documents/Documents/R Projects/Analysis/tina_tracker/data/"/>
    </mc:Choice>
  </mc:AlternateContent>
  <xr:revisionPtr revIDLastSave="0" documentId="13_ncr:1_{4BCCBD81-06AB-4591-AF96-495B3F7AB7DD}" xr6:coauthVersionLast="47" xr6:coauthVersionMax="47" xr10:uidLastSave="{00000000-0000-0000-0000-000000000000}"/>
  <workbookProtection lockStructure="1"/>
  <bookViews>
    <workbookView xWindow="-28920" yWindow="-120" windowWidth="29040" windowHeight="15720" tabRatio="718" firstSheet="1" activeTab="3" xr2:uid="{E930E618-1F33-4F4C-8C7E-3E98E22AF37E}"/>
  </bookViews>
  <sheets>
    <sheet name="form" sheetId="34" state="hidden" r:id="rId1"/>
    <sheet name="Glossary" sheetId="29" r:id="rId2"/>
    <sheet name="Board Contacts" sheetId="30" r:id="rId3"/>
    <sheet name="Monthly Update" sheetId="2" r:id="rId4"/>
    <sheet name="Basic Project Info" sheetId="33" r:id="rId5"/>
    <sheet name="Ad-Hoc or Potential Projects" sheetId="13" r:id="rId6"/>
    <sheet name="Project Commitment" sheetId="12" r:id="rId7"/>
    <sheet name="Constants" sheetId="35" state="hidden" r:id="rId8"/>
    <sheet name="List" sheetId="5" state="hidden" r:id="rId9"/>
    <sheet name="Translation" sheetId="23" state="hidden"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2" l="1"/>
  <c r="H3" i="2"/>
  <c r="J2" i="2"/>
  <c r="BR10" i="2"/>
  <c r="BQ12" i="2" s="1"/>
  <c r="CI9" i="2"/>
  <c r="CH9" i="2"/>
  <c r="CG9" i="2"/>
  <c r="CF9" i="2"/>
  <c r="CE9" i="2"/>
  <c r="CD9" i="2"/>
  <c r="CC9" i="2"/>
  <c r="CB9" i="2"/>
  <c r="CA9" i="2"/>
  <c r="BZ9" i="2"/>
  <c r="BY9" i="2"/>
  <c r="BX9" i="2"/>
  <c r="BW9" i="2"/>
  <c r="BV9" i="2"/>
  <c r="BU9" i="2"/>
  <c r="BT9" i="2"/>
  <c r="AI3" i="2"/>
  <c r="AH3" i="2"/>
  <c r="AG3" i="2"/>
  <c r="AF3" i="2"/>
  <c r="AE3" i="2"/>
  <c r="X3" i="2"/>
  <c r="T3" i="2"/>
  <c r="Q3" i="2"/>
  <c r="O3" i="2"/>
  <c r="M3" i="2"/>
  <c r="M5" i="12" l="1"/>
  <c r="W5" i="12" s="1"/>
  <c r="AA6" i="12"/>
  <c r="W6" i="12"/>
  <c r="T6" i="12"/>
  <c r="R6" i="12"/>
  <c r="P6" i="12"/>
  <c r="O6" i="12"/>
  <c r="B3" i="35"/>
  <c r="V5" i="12"/>
  <c r="U5" i="12"/>
  <c r="T5" i="12"/>
  <c r="S5" i="12"/>
  <c r="R5" i="12"/>
  <c r="AB5" i="12" s="1"/>
  <c r="Q5" i="12"/>
  <c r="AA5" i="12" s="1"/>
  <c r="P5" i="12"/>
  <c r="Z5" i="12" s="1"/>
  <c r="O5" i="12"/>
  <c r="Y5" i="12" s="1"/>
  <c r="N5" i="12"/>
  <c r="X5" i="12" s="1"/>
  <c r="AB4" i="12"/>
  <c r="CI6" i="2" s="1"/>
  <c r="AA4" i="12"/>
  <c r="CH6" i="2" s="1"/>
  <c r="Z4" i="12"/>
  <c r="CG6" i="2" s="1"/>
  <c r="Y4" i="12"/>
  <c r="CF6" i="2" s="1"/>
  <c r="X4" i="12"/>
  <c r="CE6" i="2" s="1"/>
  <c r="W4" i="12"/>
  <c r="CD6" i="2" s="1"/>
  <c r="V4" i="12"/>
  <c r="CC6" i="2" s="1"/>
  <c r="U4" i="12"/>
  <c r="CB6" i="2" s="1"/>
  <c r="T4" i="12"/>
  <c r="CA6" i="2" s="1"/>
  <c r="S4" i="12"/>
  <c r="BZ6" i="2" s="1"/>
  <c r="R4" i="12"/>
  <c r="BY6" i="2" s="1"/>
  <c r="Q4" i="12"/>
  <c r="BX6" i="2" s="1"/>
  <c r="P4" i="12"/>
  <c r="BW6" i="2" s="1"/>
  <c r="O4" i="12"/>
  <c r="BV6" i="2" s="1"/>
  <c r="N4" i="12"/>
  <c r="BU6" i="2" s="1"/>
  <c r="M4" i="12"/>
  <c r="BT6" i="2" s="1"/>
  <c r="N3" i="2"/>
  <c r="Y3" i="2"/>
  <c r="W3" i="2"/>
  <c r="V3" i="2"/>
  <c r="U3" i="2"/>
  <c r="S3" i="2"/>
  <c r="R3" i="2"/>
  <c r="P3" i="2"/>
  <c r="K3" i="2"/>
  <c r="S5" i="2"/>
  <c r="F2" i="2" l="1"/>
  <c r="BO6" i="2"/>
  <c r="BN6" i="2"/>
  <c r="BM6" i="2"/>
  <c r="BL6" i="2"/>
  <c r="BK6" i="2"/>
  <c r="BJ6" i="2"/>
  <c r="BI6" i="2"/>
  <c r="BH6" i="2"/>
  <c r="BG6" i="2"/>
  <c r="BF6" i="2"/>
  <c r="BE6" i="2"/>
  <c r="BD6" i="2"/>
  <c r="BC6" i="2"/>
  <c r="BB6" i="2"/>
  <c r="BA6" i="2"/>
  <c r="AZ6" i="2"/>
  <c r="AY6" i="2"/>
  <c r="AX6" i="2"/>
  <c r="AW6" i="2"/>
  <c r="AV6" i="2"/>
  <c r="AU6" i="2"/>
  <c r="AT6" i="2"/>
  <c r="AS6" i="2"/>
  <c r="AR6" i="2"/>
  <c r="Z10" i="2"/>
  <c r="AA5" i="2"/>
  <c r="BO5" i="2"/>
  <c r="BN5" i="2"/>
  <c r="BM5" i="2"/>
  <c r="BL5" i="2"/>
  <c r="BK5" i="2"/>
  <c r="BJ5" i="2"/>
  <c r="BI5" i="2"/>
  <c r="BH5" i="2"/>
  <c r="BG5" i="2"/>
  <c r="BF5" i="2"/>
  <c r="BE5" i="2"/>
  <c r="BD5" i="2"/>
  <c r="BC5" i="2"/>
  <c r="BB5" i="2"/>
  <c r="BA5" i="2"/>
  <c r="AZ5" i="2"/>
  <c r="AY5" i="2"/>
  <c r="AX5" i="2"/>
  <c r="AW5" i="2"/>
  <c r="AV5" i="2"/>
  <c r="AU5" i="2"/>
  <c r="AT5" i="2"/>
  <c r="AS5" i="2"/>
  <c r="AR5" i="2"/>
  <c r="G10" i="2" l="1" a="1"/>
  <c r="G10" i="2" s="1"/>
  <c r="D3" i="33"/>
  <c r="V3" i="33"/>
  <c r="U3" i="33"/>
  <c r="N3" i="33"/>
  <c r="M3" i="33"/>
  <c r="L3" i="33"/>
  <c r="F3" i="33"/>
  <c r="E3" i="33"/>
  <c r="K3" i="33"/>
  <c r="J3" i="33"/>
  <c r="I3" i="33"/>
  <c r="H3" i="33"/>
  <c r="G3" i="33"/>
  <c r="C3" i="33"/>
  <c r="B3" i="33"/>
  <c r="A3" i="33"/>
  <c r="O5" i="2"/>
  <c r="Q5" i="2"/>
  <c r="AF5" i="2" l="1"/>
  <c r="AG5" i="2"/>
  <c r="AH5" i="2"/>
  <c r="AI5" i="2"/>
  <c r="U5" i="2" l="1"/>
  <c r="T5" i="2"/>
  <c r="AQ5" i="2" l="1"/>
  <c r="A1" i="23" l="1"/>
  <c r="A123" i="23" l="1"/>
  <c r="A122" i="23"/>
  <c r="A114" i="23"/>
  <c r="A106" i="23"/>
  <c r="A98" i="23"/>
  <c r="A121" i="23"/>
  <c r="A113" i="23"/>
  <c r="A105" i="23"/>
  <c r="A124" i="23"/>
  <c r="A100" i="23"/>
  <c r="A99" i="23"/>
  <c r="A4" i="12" s="1"/>
  <c r="A97" i="23"/>
  <c r="A120" i="23"/>
  <c r="K4" i="12" s="1"/>
  <c r="A112" i="23"/>
  <c r="A104" i="23"/>
  <c r="A119" i="23"/>
  <c r="A111" i="23"/>
  <c r="C4" i="12" s="1"/>
  <c r="A103" i="23"/>
  <c r="A108" i="23"/>
  <c r="A107" i="23"/>
  <c r="A126" i="23"/>
  <c r="A118" i="23"/>
  <c r="A110" i="23"/>
  <c r="A102" i="23"/>
  <c r="A125" i="23"/>
  <c r="A117" i="23"/>
  <c r="A109" i="23"/>
  <c r="A101" i="23"/>
  <c r="A116" i="23"/>
  <c r="A115" i="23"/>
  <c r="A77" i="23"/>
  <c r="A76" i="23"/>
  <c r="A75" i="23"/>
  <c r="A74" i="23"/>
  <c r="A67" i="23"/>
  <c r="A66" i="23"/>
  <c r="A88" i="23"/>
  <c r="A83" i="23"/>
  <c r="A86" i="23"/>
  <c r="A84" i="23"/>
  <c r="A82" i="23"/>
  <c r="A85" i="23"/>
  <c r="A89" i="23"/>
  <c r="A87" i="23"/>
  <c r="A81" i="23"/>
  <c r="A58" i="23"/>
  <c r="A16" i="23"/>
  <c r="A80" i="23"/>
  <c r="A78" i="23"/>
  <c r="A79" i="23"/>
  <c r="V4" i="33" s="1"/>
  <c r="A73" i="23"/>
  <c r="A71" i="23"/>
  <c r="A56" i="23"/>
  <c r="A70" i="23"/>
  <c r="M4" i="33" s="1"/>
  <c r="A64" i="23"/>
  <c r="A60" i="23"/>
  <c r="A55" i="23"/>
  <c r="A65" i="23"/>
  <c r="A69" i="23"/>
  <c r="A63" i="23"/>
  <c r="A59" i="23"/>
  <c r="A54" i="23"/>
  <c r="A5" i="23"/>
  <c r="A61" i="23"/>
  <c r="A72" i="23"/>
  <c r="A68" i="23"/>
  <c r="L2" i="33" s="1"/>
  <c r="A62" i="23"/>
  <c r="A57" i="23"/>
  <c r="A53" i="23"/>
  <c r="A17" i="23"/>
  <c r="A25" i="23"/>
  <c r="A37" i="23"/>
  <c r="A49" i="23"/>
  <c r="A22" i="23"/>
  <c r="A30" i="23"/>
  <c r="A34" i="23"/>
  <c r="A38" i="23"/>
  <c r="A42" i="23"/>
  <c r="A46" i="23"/>
  <c r="A48" i="23"/>
  <c r="A21" i="23"/>
  <c r="A29" i="23"/>
  <c r="A33" i="23"/>
  <c r="A41" i="23"/>
  <c r="A45" i="23"/>
  <c r="A18" i="23"/>
  <c r="A26" i="23"/>
  <c r="A19" i="23"/>
  <c r="A23" i="23"/>
  <c r="A27" i="23"/>
  <c r="A31" i="23"/>
  <c r="A35" i="23"/>
  <c r="A39" i="23"/>
  <c r="A43" i="23"/>
  <c r="A51" i="23"/>
  <c r="A47" i="23"/>
  <c r="A20" i="23"/>
  <c r="A24" i="23"/>
  <c r="A28" i="23"/>
  <c r="A32" i="23"/>
  <c r="A36" i="23"/>
  <c r="A40" i="23"/>
  <c r="A44" i="23"/>
  <c r="A50" i="23"/>
  <c r="A52" i="23"/>
  <c r="A6" i="23"/>
  <c r="A10" i="23"/>
  <c r="I4" i="33" s="1"/>
  <c r="A13" i="23"/>
  <c r="A7" i="23"/>
  <c r="A11" i="23"/>
  <c r="A14" i="23"/>
  <c r="A8" i="23"/>
  <c r="G4" i="33" s="1"/>
  <c r="A12" i="23"/>
  <c r="A15" i="23"/>
  <c r="A9" i="23"/>
  <c r="H4" i="33" s="1"/>
  <c r="A4" i="23"/>
  <c r="AJ5" i="2"/>
  <c r="B4" i="12"/>
  <c r="C3" i="12"/>
  <c r="A3" i="12"/>
  <c r="BV10" i="2" l="1"/>
  <c r="BW10" i="2"/>
  <c r="BY10" i="2"/>
  <c r="CA10" i="2"/>
  <c r="CD10" i="2"/>
  <c r="CH10" i="2"/>
  <c r="E4" i="33"/>
  <c r="C4" i="33"/>
  <c r="F4" i="33"/>
  <c r="V2" i="33"/>
  <c r="N4" i="33"/>
  <c r="A4" i="33"/>
  <c r="O4" i="33"/>
  <c r="N2" i="33"/>
  <c r="U4" i="33"/>
  <c r="P4" i="33"/>
  <c r="A2" i="33"/>
  <c r="B2" i="12"/>
  <c r="C2" i="12"/>
  <c r="D2" i="12"/>
  <c r="E2" i="12"/>
  <c r="F2" i="12"/>
  <c r="G2" i="12"/>
  <c r="H2" i="12"/>
  <c r="I2" i="12"/>
  <c r="J2" i="12"/>
  <c r="K2" i="12"/>
  <c r="L2" i="12"/>
  <c r="P5" i="2" l="1"/>
  <c r="L5" i="2"/>
  <c r="B5" i="2" l="1"/>
  <c r="D5" i="2"/>
  <c r="E5" i="2"/>
  <c r="F5" i="2"/>
  <c r="G5" i="2"/>
  <c r="H5" i="2"/>
  <c r="J5" i="2"/>
  <c r="K5" i="2"/>
  <c r="I5" i="2"/>
  <c r="R5" i="2"/>
  <c r="M5" i="2"/>
  <c r="N5" i="2"/>
  <c r="V5" i="2"/>
  <c r="W5" i="2"/>
  <c r="Y5" i="2"/>
  <c r="X5" i="2"/>
  <c r="Z5" i="2"/>
  <c r="AB5" i="2"/>
  <c r="AC5" i="2"/>
  <c r="AD5" i="2"/>
  <c r="AE5" i="2"/>
  <c r="C5" i="2"/>
  <c r="A5" i="2" l="1"/>
  <c r="M6" i="12" s="1"/>
  <c r="BT10" i="2" s="1"/>
  <c r="Z6" i="12" l="1"/>
  <c r="CG10" i="2" s="1"/>
  <c r="Y6" i="12"/>
  <c r="CF10" i="2" s="1"/>
  <c r="X6" i="12"/>
  <c r="CE10" i="2" s="1"/>
  <c r="AB6" i="12"/>
  <c r="CI10" i="2" s="1"/>
  <c r="V6" i="12"/>
  <c r="CC10" i="2" s="1"/>
  <c r="U6" i="12"/>
  <c r="CB10" i="2" s="1"/>
  <c r="S6" i="12"/>
  <c r="BZ10" i="2" s="1"/>
  <c r="Q6" i="12"/>
  <c r="BX10" i="2" s="1"/>
  <c r="N6" i="12"/>
  <c r="BU10"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<sst xmlns="http://schemas.openxmlformats.org/spreadsheetml/2006/main" count="619" uniqueCount="496">
  <si>
    <t xml:space="preserve">Project Commitment </t>
  </si>
  <si>
    <t>Project ID</t>
  </si>
  <si>
    <t>Project Name</t>
  </si>
  <si>
    <t>No. de projet</t>
  </si>
  <si>
    <t>Nom du projet</t>
  </si>
  <si>
    <t>project.id</t>
  </si>
  <si>
    <t>project.name</t>
  </si>
  <si>
    <t>Rainbow DSB</t>
  </si>
  <si>
    <t>Output</t>
  </si>
  <si>
    <t>English</t>
  </si>
  <si>
    <t>French</t>
  </si>
  <si>
    <t xml:space="preserve">Label Out </t>
  </si>
  <si>
    <t>Label English</t>
  </si>
  <si>
    <t>Label French</t>
  </si>
  <si>
    <t>Project Info</t>
  </si>
  <si>
    <t xml:space="preserve">Key </t>
  </si>
  <si>
    <t xml:space="preserve">Identification du projet </t>
  </si>
  <si>
    <t xml:space="preserve">Project Name </t>
  </si>
  <si>
    <t>Phase 1 - Start</t>
  </si>
  <si>
    <t>Phase 1 - Début</t>
  </si>
  <si>
    <t xml:space="preserve">Phase 1 - End </t>
  </si>
  <si>
    <t>Phase 1 - Fin</t>
  </si>
  <si>
    <t>Phase 2 - Start</t>
  </si>
  <si>
    <t>Phase 2 - Début</t>
  </si>
  <si>
    <t>Phase 2 - End</t>
  </si>
  <si>
    <t>Phase 2 - Fin</t>
  </si>
  <si>
    <t>Phase 3 - Start</t>
  </si>
  <si>
    <t>Phase 3 - Début</t>
  </si>
  <si>
    <t xml:space="preserve">Phase 3 - End </t>
  </si>
  <si>
    <t>Phase 3 - Fin</t>
  </si>
  <si>
    <t>Phase 4 - Start</t>
  </si>
  <si>
    <t>Phase 4 - Début</t>
  </si>
  <si>
    <t>Phase 4 - End</t>
  </si>
  <si>
    <t>Phase 4 - Fin</t>
  </si>
  <si>
    <t>Phase Dates</t>
  </si>
  <si>
    <t xml:space="preserve">Dates de phase </t>
  </si>
  <si>
    <t>Key Milestones</t>
  </si>
  <si>
    <t>Étapes Clés</t>
  </si>
  <si>
    <t xml:space="preserve">Site Purchase </t>
  </si>
  <si>
    <t xml:space="preserve">Achat du site </t>
  </si>
  <si>
    <t xml:space="preserve">Space Template Finalized </t>
  </si>
  <si>
    <t>Gabarit des espaces finalisé</t>
  </si>
  <si>
    <t xml:space="preserve">Signed Joint Use Agreement </t>
  </si>
  <si>
    <t>80% Design</t>
  </si>
  <si>
    <t>Design à 80%</t>
  </si>
  <si>
    <t xml:space="preserve">Class A Cost Estimate </t>
  </si>
  <si>
    <t>Rapport du consultant en coûts de classe A</t>
  </si>
  <si>
    <t>Site Plan Approval</t>
  </si>
  <si>
    <t>Approbation du plan de site</t>
  </si>
  <si>
    <t>Build Permit Obtained</t>
  </si>
  <si>
    <t xml:space="preserve">Permis de construire obtenu </t>
  </si>
  <si>
    <t xml:space="preserve">Tender Issued </t>
  </si>
  <si>
    <t>Projet soumissionné</t>
  </si>
  <si>
    <t>Construction Start</t>
  </si>
  <si>
    <t>Début de la construction</t>
  </si>
  <si>
    <t xml:space="preserve">School/Addition Opening </t>
  </si>
  <si>
    <t xml:space="preserve">école/ajout ouverte </t>
  </si>
  <si>
    <t>Project Reconciliation</t>
  </si>
  <si>
    <t>Réconciliation du projet</t>
  </si>
  <si>
    <t>Funding Requested</t>
  </si>
  <si>
    <t>Financement demandé</t>
  </si>
  <si>
    <t>Cost of Project (Excluding Site)</t>
  </si>
  <si>
    <t>Coût du projet (Excluant coût du site)</t>
  </si>
  <si>
    <t>Total Cost of Project (Including Site)</t>
  </si>
  <si>
    <t>Coût total</t>
  </si>
  <si>
    <t xml:space="preserve">Total CP Request </t>
  </si>
  <si>
    <t xml:space="preserve">Total Child Care Request </t>
  </si>
  <si>
    <t>Phase</t>
  </si>
  <si>
    <t>project.type</t>
  </si>
  <si>
    <t>project.category</t>
  </si>
  <si>
    <t>Addition</t>
  </si>
  <si>
    <t xml:space="preserve">Project ID </t>
  </si>
  <si>
    <t>Project Type</t>
  </si>
  <si>
    <t xml:space="preserve">Construction Status </t>
  </si>
  <si>
    <t xml:space="preserve">Section 1: Project Details </t>
  </si>
  <si>
    <t>Definition</t>
  </si>
  <si>
    <t>Each project is assigned a unique ID for tracking throughout its lifecycle. Projects with a demolition component require a separate ID for the demolition</t>
  </si>
  <si>
    <t>The official name or title of the project.</t>
  </si>
  <si>
    <t>Address</t>
  </si>
  <si>
    <t>The specific location or physical address where the project is situated or being carried out.</t>
  </si>
  <si>
    <t xml:space="preserve">City </t>
  </si>
  <si>
    <t xml:space="preserve">The city in which the project is located </t>
  </si>
  <si>
    <t xml:space="preserve">Postal Code </t>
  </si>
  <si>
    <t>A series of letters, numbers, or both, assigned to a specific geographic area by the postal service.</t>
  </si>
  <si>
    <t xml:space="preserve">Project Type </t>
  </si>
  <si>
    <t>A classification that describes the nature or scope of the project. Project types include: (1) New Construction, (2) Retrofit, (3) Addition, (4) Other, (5) Land Acquisition, (6) Demolition, (7) Purchase</t>
  </si>
  <si>
    <t xml:space="preserve">Project Category </t>
  </si>
  <si>
    <t>A broader classification that groups the project within a certain area or field. Project categories include: (1) Accommodation Pressure, (2) ASD Pilot Project, (3) Child Care, (4) Community Based CC, (5) Condition, (6) Consolidation, (7) FDK, (8) FL Capital Transitional, (9) Other</t>
  </si>
  <si>
    <t xml:space="preserve">Project Status </t>
  </si>
  <si>
    <t>The project status indicates where the project stands with  the ministry. Project statuses include: "Under Ministry Review," "In Progress", "Removed from tracker (Cancelled)", "Removed from tracker (Complete)".</t>
  </si>
  <si>
    <t>Construction status refers to the current stage or condition of a construction project. It provides an update on whete the project stands in its lifecycle includes stages such as "Planning," Pre-Procurement," "Completed," "On Hold," or "Cancelled</t>
  </si>
  <si>
    <t xml:space="preserve">Planning </t>
  </si>
  <si>
    <t xml:space="preserve">This stage of construction will encompass all the work required during the planning stage of a process. This planning process extends from the conception of the project to when the board hires the architect to desgin the project. </t>
  </si>
  <si>
    <t>Pre-Procurement</t>
  </si>
  <si>
    <t xml:space="preserve">This stage of the construction process encompasses all activities following the planning phase to get the project ready for tender. This stage includes sourcing and qualifying general contractors, site plan application process, addressing budget constraints, environmental assessments, and any legal/contractual issues. </t>
  </si>
  <si>
    <t xml:space="preserve">Tender Issuance </t>
  </si>
  <si>
    <t xml:space="preserve">This stage of construction process involves the formal process of inviting contractors to submit bids for a project. It includes the tender announcement, preparation of bids, submission of bids, and the boards evaluation of bids. </t>
  </si>
  <si>
    <t xml:space="preserve">Tender Closed </t>
  </si>
  <si>
    <t xml:space="preserve">This stage of the construction process occurs after the tender process has closed but before the school board has awarded the contract. </t>
  </si>
  <si>
    <t>Contract Award</t>
  </si>
  <si>
    <t xml:space="preserve">This stage of the construction process begins when the school board awards the contract to the selected contractor. </t>
  </si>
  <si>
    <t xml:space="preserve">Site Prep./Mobilization </t>
  </si>
  <si>
    <t>This stage of the construction process involves site preparation, including clearing the site, ensuring it is ready for construction, and moving equipment on site. At this stage the main construction activities have not yet begun.</t>
  </si>
  <si>
    <t>Construction</t>
  </si>
  <si>
    <t>This stage of the construction process will capture the main construction activities. This includes foundation, structural, mechanical, electrical, and plumbing work.</t>
  </si>
  <si>
    <t xml:space="preserve">Substantial Completion </t>
  </si>
  <si>
    <t>This stage of the construction signifies that the project is sufficiently complete to be used, even if minor work remains. At this point the project is functional, minor work like finishings remain, and inspections are still needed.</t>
  </si>
  <si>
    <t xml:space="preserve">Completed </t>
  </si>
  <si>
    <t xml:space="preserve">At this stage, the construction process is complete. Meaning the building is open, operating, and all inspections have been completed. </t>
  </si>
  <si>
    <t xml:space="preserve">Project Reconciliation </t>
  </si>
  <si>
    <t>Project reconciliation is the process that ensures all financial records and project activities align accurately at the end of the project. The school will be reviewing expenses, identifying discrepancies, settling change orders, and roviding the ministry with final reporting.</t>
  </si>
  <si>
    <t>Section 2: Square Footage Specification</t>
  </si>
  <si>
    <t>Anticipate Design Change?</t>
  </si>
  <si>
    <t>Whether the school board anticipate needing to change the design of the project. This would required an approval from the ministry.</t>
  </si>
  <si>
    <t>Square Footage of New Construction</t>
  </si>
  <si>
    <t xml:space="preserve">The school board to confirm the size of the project </t>
  </si>
  <si>
    <t xml:space="preserve">Square Footage of Renovation/Retrofit </t>
  </si>
  <si>
    <t>The school board to confirm the size of the renovation/retrofit</t>
  </si>
  <si>
    <t>Square Footage of Demolition</t>
  </si>
  <si>
    <t>The school board to confirm the size of the demolition</t>
  </si>
  <si>
    <t xml:space="preserve">Square Footage of New Child Care </t>
  </si>
  <si>
    <t xml:space="preserve">The school board to confirm the size of the new child care </t>
  </si>
  <si>
    <t>Square Footage of EarlyOn</t>
  </si>
  <si>
    <t>The school board to confirm the size of the EarlyOn</t>
  </si>
  <si>
    <t xml:space="preserve">Section 3: Phase 1- Pre-Tender </t>
  </si>
  <si>
    <t xml:space="preserve">Site Ownership Status </t>
  </si>
  <si>
    <t>The school board needs to confirm the status of the site ownership</t>
  </si>
  <si>
    <t>Not Site Identified</t>
  </si>
  <si>
    <t xml:space="preserve">The board requires a site but has not found one yet </t>
  </si>
  <si>
    <t xml:space="preserve">Site Identified Only </t>
  </si>
  <si>
    <t xml:space="preserve">The school has only identified the site </t>
  </si>
  <si>
    <t>Site under option agreement</t>
  </si>
  <si>
    <t xml:space="preserve">The site has been identified and is under contract (but not obligation) to sell/buy an asset at a predetermined price. </t>
  </si>
  <si>
    <t xml:space="preserve">Site Purchased </t>
  </si>
  <si>
    <t>The school board has purchased the site needed for the project</t>
  </si>
  <si>
    <t xml:space="preserve">Not Applicable </t>
  </si>
  <si>
    <t>Site requirements do not apply to the project</t>
  </si>
  <si>
    <t xml:space="preserve">Site Purchase Date </t>
  </si>
  <si>
    <t xml:space="preserve">This is the date the site ownership transfer has occurred. </t>
  </si>
  <si>
    <t>Space Template Approval Date</t>
  </si>
  <si>
    <t xml:space="preserve">This is the date the space template was approved by the Ministry. If the date is yet to be approved, please enter an estimated date. </t>
  </si>
  <si>
    <t xml:space="preserve">Type of Designed Used </t>
  </si>
  <si>
    <t xml:space="preserve">A drop down for CAs to select the type of design used for the project. Options include: "New", "Repeat" (short for another repeat design), "EDU Catalogue" </t>
  </si>
  <si>
    <t xml:space="preserve">Design Status </t>
  </si>
  <si>
    <t xml:space="preserve">A drop down for CAs to update the status of design completion </t>
  </si>
  <si>
    <t xml:space="preserve">Class A/B Cost Estimate- Date </t>
  </si>
  <si>
    <t>This is the date the board submitted their class A/B cost estimate to the ministry.</t>
  </si>
  <si>
    <t xml:space="preserve">Child Care Floorplan Approval - Date </t>
  </si>
  <si>
    <t>This is the date the board received their child care floor plan approval.</t>
  </si>
  <si>
    <t xml:space="preserve">Site, Design and Child Care Related Comments </t>
  </si>
  <si>
    <t xml:space="preserve">A general comment box for analysts to provide useful information regarding site, design and child care related items. </t>
  </si>
  <si>
    <t>Section 4: Phase 2 - Tender</t>
  </si>
  <si>
    <t xml:space="preserve">Site Plan Submisison Date </t>
  </si>
  <si>
    <t xml:space="preserve">This is the date the school board started their site plan application with the municipality. </t>
  </si>
  <si>
    <t xml:space="preserve">Site Plan Approval Date </t>
  </si>
  <si>
    <t xml:space="preserve">This is the date the school board received their site plan approval. </t>
  </si>
  <si>
    <t>Build Permit Obtained Date</t>
  </si>
  <si>
    <t xml:space="preserve">This is the date the school board received their building permit which allows them to begin construction or renovation on a property. </t>
  </si>
  <si>
    <t xml:space="preserve">Tender Issued Date </t>
  </si>
  <si>
    <t xml:space="preserve">This is the date the school board formally invites contractors to submit bids or proposals for the construction project. </t>
  </si>
  <si>
    <t>Tender Closed Date</t>
  </si>
  <si>
    <t xml:space="preserve">This is the date the school board closes the bidding and proposals for the project has ended. </t>
  </si>
  <si>
    <t xml:space="preserve">Section 5: Phase 3 - Construction </t>
  </si>
  <si>
    <t xml:space="preserve">Contract Award Date </t>
  </si>
  <si>
    <t>This is the date the board awards the contract to the suitable contractor. This happens after the board evaluates all the bids, selects the most suitable based on the project needs (includes consideration for lowest bid, the most qualified bid, or a combination of factors).</t>
  </si>
  <si>
    <t xml:space="preserve">Site Prep./Mobilization Date </t>
  </si>
  <si>
    <t>This phase involves preparing the construction site for building. It includes initial excavation to clear and level the ground, remove debris, and prepare the site for construction. Additionally, it involves mobilizing the site by bringing in necessary construction equipment and machinery, and setting up site offices and fences</t>
  </si>
  <si>
    <t>Construction Start -Date</t>
  </si>
  <si>
    <t>This is the official date that construction begins on a project. It includes extensive excavation for foundations, basements, or other substructures.</t>
  </si>
  <si>
    <t>% Construction Progress</t>
  </si>
  <si>
    <t>This is a metric used to quantify how much of a construction project has been completed. This can be calculated by the board by taking the Actual Costs to Date/Total Estimated Costs x 100</t>
  </si>
  <si>
    <t>Substantial Completion Date</t>
  </si>
  <si>
    <t xml:space="preserve">This marks the point when a project is sufficiently complete where final inspections can be done for school opening. </t>
  </si>
  <si>
    <t>Section 6: Phase 4 - Project Completion</t>
  </si>
  <si>
    <t xml:space="preserve">School Opening Date </t>
  </si>
  <si>
    <t xml:space="preserve">This is the date the school opens for enrolment. </t>
  </si>
  <si>
    <t xml:space="preserve">Child Care Opening Date </t>
  </si>
  <si>
    <t xml:space="preserve">This is the date that the child care portion of the project opens. </t>
  </si>
  <si>
    <t>Project Reconciliation Date</t>
  </si>
  <si>
    <t>By this date the school board will identify any variances between the project’s incurred costs and the budget. If variances are found, the school board will request additional funding from the ministry. Once the project’s financial reconciliation is completed and confirmed by the Ministry, the project will be considered complete.</t>
  </si>
  <si>
    <t xml:space="preserve">Section 7: Approved Project Funding </t>
  </si>
  <si>
    <t xml:space="preserve">This section is populated based on the projects most recent approval. </t>
  </si>
  <si>
    <t xml:space="preserve">Section 8: Projected Construction Cost </t>
  </si>
  <si>
    <t xml:space="preserve">Basis of Cost Estimate </t>
  </si>
  <si>
    <t>This column is intended to identiy the level of the cost estimate for the projected construction cost. The drop-down menu has been created in a hierarchical order, with the most accurate reports listed last.</t>
  </si>
  <si>
    <t xml:space="preserve">In this section, the school board will estimate the cost of each construction </t>
  </si>
  <si>
    <t xml:space="preserve">Section 9: Communication Protocol </t>
  </si>
  <si>
    <t xml:space="preserve">Signage </t>
  </si>
  <si>
    <t xml:space="preserve">Opening Ceremony - Date </t>
  </si>
  <si>
    <t>Section 10: General Comments</t>
  </si>
  <si>
    <t xml:space="preserve">Name </t>
  </si>
  <si>
    <t xml:space="preserve">Title </t>
  </si>
  <si>
    <t xml:space="preserve">Email </t>
  </si>
  <si>
    <t xml:space="preserve">Phone </t>
  </si>
  <si>
    <t>Monthly Project Updates</t>
  </si>
  <si>
    <t>Board Name</t>
  </si>
  <si>
    <t>Min Cost of Risk ($M)</t>
  </si>
  <si>
    <t>Max Cost of Risk ($M)</t>
  </si>
  <si>
    <t>Min Delay of Risk (Months)</t>
  </si>
  <si>
    <t>Max Delay of Risk (Months)</t>
  </si>
  <si>
    <t>Type de projet</t>
  </si>
  <si>
    <t xml:space="preserve">Catégorie de projet </t>
  </si>
  <si>
    <t>IP</t>
  </si>
  <si>
    <t>Service de garde</t>
  </si>
  <si>
    <t>Autre</t>
  </si>
  <si>
    <t>Base de l'estimation des coûts</t>
  </si>
  <si>
    <t>Coûts du site</t>
  </si>
  <si>
    <t>opening.ceremony</t>
  </si>
  <si>
    <t>comments</t>
  </si>
  <si>
    <t>Site Purchased</t>
  </si>
  <si>
    <t xml:space="preserve">New </t>
  </si>
  <si>
    <t>30%-80% Complete</t>
  </si>
  <si>
    <t xml:space="preserve">Board Estimate </t>
  </si>
  <si>
    <t xml:space="preserve">EDC </t>
  </si>
  <si>
    <t>No/Non</t>
  </si>
  <si>
    <t xml:space="preserve">Delay </t>
  </si>
  <si>
    <t xml:space="preserve">Mitigate </t>
  </si>
  <si>
    <t>Remove from tracker (Cancelled)</t>
  </si>
  <si>
    <t>Repeat</t>
  </si>
  <si>
    <t>&gt;80% Complete</t>
  </si>
  <si>
    <t>Class D Estimate</t>
  </si>
  <si>
    <t xml:space="preserve">Ad Hoc </t>
  </si>
  <si>
    <t>Remove from tracker (Complete)</t>
  </si>
  <si>
    <t>&lt;30% Complete</t>
  </si>
  <si>
    <t xml:space="preserve">Tender Results </t>
  </si>
  <si>
    <t>In Progress</t>
  </si>
  <si>
    <t xml:space="preserve">EDU Catalogue </t>
  </si>
  <si>
    <t xml:space="preserve">Monthly Update Sheet </t>
  </si>
  <si>
    <t>Meeting Date</t>
  </si>
  <si>
    <t>Section 1: Project Details</t>
  </si>
  <si>
    <t>Détails associés aux projets</t>
  </si>
  <si>
    <t>Postal Code</t>
  </si>
  <si>
    <t>Approval Period</t>
  </si>
  <si>
    <t>Project Status</t>
  </si>
  <si>
    <t>Construction Status</t>
  </si>
  <si>
    <t>Square Footage of Renovaton/Retrofit</t>
  </si>
  <si>
    <t>Square Footage of New Child Care</t>
  </si>
  <si>
    <t xml:space="preserve">Square Footage of Community Space </t>
  </si>
  <si>
    <t xml:space="preserve">Section 3: Phase 1 - Pre-Tender </t>
  </si>
  <si>
    <t>Site Ownership Status</t>
  </si>
  <si>
    <t>Site Purchase Date</t>
  </si>
  <si>
    <t xml:space="preserve">Space Template Approval Date </t>
  </si>
  <si>
    <t xml:space="preserve">Type of Design Used </t>
  </si>
  <si>
    <t xml:space="preserve">Class A/B Cost Estimate -Date </t>
  </si>
  <si>
    <t xml:space="preserve">Site, Design and Child Care Related Comments: Include details of scope change if applicable </t>
  </si>
  <si>
    <t>Tender Closed</t>
  </si>
  <si>
    <t>Site Plan Submission Date</t>
  </si>
  <si>
    <t>Site Plan Approval Date</t>
  </si>
  <si>
    <t>Section 5: Phase 3 - Construction</t>
  </si>
  <si>
    <t>Construction Start - Date</t>
  </si>
  <si>
    <t>Substantial Completion</t>
  </si>
  <si>
    <t>Child Care Opening Date</t>
  </si>
  <si>
    <t xml:space="preserve"> Financement approuvé du projet</t>
  </si>
  <si>
    <t>LP/EDC</t>
  </si>
  <si>
    <t>CP</t>
  </si>
  <si>
    <t>CC</t>
  </si>
  <si>
    <t xml:space="preserve">Other </t>
  </si>
  <si>
    <t xml:space="preserve">Total Approved Funding </t>
  </si>
  <si>
    <t>Coût prévu du projet</t>
  </si>
  <si>
    <t>Land Cost</t>
  </si>
  <si>
    <t>Building Cost - School</t>
  </si>
  <si>
    <t>Soft Costs - School</t>
  </si>
  <si>
    <t xml:space="preserve">Building Cost - Child Care </t>
  </si>
  <si>
    <t xml:space="preserve">Soft Costs -Child Care </t>
  </si>
  <si>
    <t>Unique Site Costs - School</t>
  </si>
  <si>
    <t xml:space="preserve">Unique Site Costs - Child Care </t>
  </si>
  <si>
    <t xml:space="preserve">Unique Site Costs - Other </t>
  </si>
  <si>
    <t>Municipal/Extraordinary Cost - School</t>
  </si>
  <si>
    <t>Municipal/Extraordinary Cost - Child Care</t>
  </si>
  <si>
    <t>Municipal/Extraordinary Cost - Other</t>
  </si>
  <si>
    <t xml:space="preserve">Total </t>
  </si>
  <si>
    <t>Variance</t>
  </si>
  <si>
    <t>Revised Funding Request</t>
  </si>
  <si>
    <t>Section 9: Communications Protocol</t>
  </si>
  <si>
    <t>Opening Ceremony - Date</t>
  </si>
  <si>
    <t xml:space="preserve">Section 10: General Comments </t>
  </si>
  <si>
    <t>Commentaires</t>
  </si>
  <si>
    <t xml:space="preserve">Section 10: Project Risks and Mitigation Stategies </t>
  </si>
  <si>
    <t>Risk Type</t>
  </si>
  <si>
    <t>Risk Rating</t>
  </si>
  <si>
    <t>Risk Exposure Start Date</t>
  </si>
  <si>
    <t>Min-Max Cost of Risk ($M)</t>
  </si>
  <si>
    <t>Min-Max Delay of Risk (Months)</t>
  </si>
  <si>
    <t>Mitigation Stategies/Comments</t>
  </si>
  <si>
    <t>CA Comments</t>
  </si>
  <si>
    <t>Contract Awarded</t>
  </si>
  <si>
    <t xml:space="preserve">Site Preparation Cost </t>
  </si>
  <si>
    <t xml:space="preserve">Site Funding Source </t>
  </si>
  <si>
    <t>Site Prep/Mobilization</t>
  </si>
  <si>
    <t xml:space="preserve">Building Cost - Other </t>
  </si>
  <si>
    <r>
      <t xml:space="preserve">ALL ESTIMATED DATES = UNBOLDED  
ALL ACTUAL DATES = </t>
    </r>
    <r>
      <rPr>
        <b/>
        <sz val="18"/>
        <rFont val="Arial Nova Cond Light"/>
        <family val="2"/>
      </rPr>
      <t xml:space="preserve">BOLDED </t>
    </r>
  </si>
  <si>
    <t>Ad-hoc &amp; Potential Projects</t>
  </si>
  <si>
    <t xml:space="preserve">Timing </t>
  </si>
  <si>
    <t xml:space="preserve">Cost </t>
  </si>
  <si>
    <t xml:space="preserve">Funding Source </t>
  </si>
  <si>
    <t>Accommodation Pressure</t>
  </si>
  <si>
    <t xml:space="preserve">Land </t>
  </si>
  <si>
    <t xml:space="preserve"> </t>
  </si>
  <si>
    <t>Demolition</t>
  </si>
  <si>
    <t>School Consolidation</t>
  </si>
  <si>
    <t xml:space="preserve">Purchase </t>
  </si>
  <si>
    <t>New School</t>
  </si>
  <si>
    <t>Other</t>
  </si>
  <si>
    <t xml:space="preserve">Parent ID </t>
  </si>
  <si>
    <t xml:space="preserve">Submission Type </t>
  </si>
  <si>
    <t>Year Open</t>
  </si>
  <si>
    <t>Comments</t>
  </si>
  <si>
    <t>LP</t>
  </si>
  <si>
    <t>Not Applicable</t>
  </si>
  <si>
    <t>Design Status</t>
  </si>
  <si>
    <t xml:space="preserve">Actual/Estimated </t>
  </si>
  <si>
    <t xml:space="preserve">Language </t>
  </si>
  <si>
    <t>Yes / No</t>
  </si>
  <si>
    <t>Cost Basis</t>
  </si>
  <si>
    <t>Design</t>
  </si>
  <si>
    <t>Site Plan</t>
  </si>
  <si>
    <t>Actual</t>
  </si>
  <si>
    <t>Yes / Oui</t>
  </si>
  <si>
    <t>No Site Identified</t>
  </si>
  <si>
    <t xml:space="preserve">Yes/Oui </t>
  </si>
  <si>
    <t>Estimate</t>
  </si>
  <si>
    <t xml:space="preserve">Pre-Procurement </t>
  </si>
  <si>
    <t>No / Non</t>
  </si>
  <si>
    <t>Site Identified Only</t>
  </si>
  <si>
    <t>Repeat Design</t>
  </si>
  <si>
    <t>Facility Condition</t>
  </si>
  <si>
    <t>Tender Issuance</t>
  </si>
  <si>
    <t>Site Under Option Agreement</t>
  </si>
  <si>
    <t xml:space="preserve">Architect Estimate </t>
  </si>
  <si>
    <t>French Language Access</t>
  </si>
  <si>
    <t>Renovation</t>
  </si>
  <si>
    <t xml:space="preserve">Class C Estimate </t>
  </si>
  <si>
    <t>Disposition</t>
  </si>
  <si>
    <t>Site Preparation</t>
  </si>
  <si>
    <t xml:space="preserve">Class B Estimate </t>
  </si>
  <si>
    <t>Class A Estimate</t>
  </si>
  <si>
    <t>Completion</t>
  </si>
  <si>
    <t>Cost Reconciliation</t>
  </si>
  <si>
    <t>Phase (List)</t>
  </si>
  <si>
    <t>Project Risks</t>
  </si>
  <si>
    <t xml:space="preserve">Risk Rating </t>
  </si>
  <si>
    <t>Mitigation Strategies</t>
  </si>
  <si>
    <t xml:space="preserve">Low </t>
  </si>
  <si>
    <t>Accept</t>
  </si>
  <si>
    <t>Medium</t>
  </si>
  <si>
    <t>Delay/Cost</t>
  </si>
  <si>
    <t>High</t>
  </si>
  <si>
    <t xml:space="preserve">Transfer </t>
  </si>
  <si>
    <t xml:space="preserve">Avoid </t>
  </si>
  <si>
    <t>Market Risk</t>
  </si>
  <si>
    <t>Governance Risk</t>
  </si>
  <si>
    <t>Organization/Project Management Risk</t>
  </si>
  <si>
    <t>Design Risk</t>
  </si>
  <si>
    <t>Procurement/Tender Risk</t>
  </si>
  <si>
    <t>Site Readiness/Enabling Works</t>
  </si>
  <si>
    <t>Permit, Licenses and Approvals</t>
  </si>
  <si>
    <t>Type of Design</t>
  </si>
  <si>
    <t xml:space="preserve">Construction Risk </t>
  </si>
  <si>
    <t xml:space="preserve">Testing and Commissioning </t>
  </si>
  <si>
    <t xml:space="preserve">Repeat </t>
  </si>
  <si>
    <t xml:space="preserve">Catalogue </t>
  </si>
  <si>
    <t>Longitude</t>
  </si>
  <si>
    <t>Financial Close-Out</t>
  </si>
  <si>
    <t>Sign Installed</t>
  </si>
  <si>
    <t>Remove?</t>
  </si>
  <si>
    <t>Funding - Site Acquisition</t>
  </si>
  <si>
    <t>Funding - Demolition</t>
  </si>
  <si>
    <t>Funding - All Other Associated Projects</t>
  </si>
  <si>
    <t>Estimated Cost - Land</t>
  </si>
  <si>
    <t>Estimated Cost - Demolition</t>
  </si>
  <si>
    <t>Estimated Cost - All Other Associated Projects</t>
  </si>
  <si>
    <t>Official School Name</t>
  </si>
  <si>
    <t>Record Status</t>
  </si>
  <si>
    <t>Pre-Tender Check-In Date</t>
  </si>
  <si>
    <t xml:space="preserve">Section 8: Projected Cost </t>
  </si>
  <si>
    <t>Estimated Cost - Construction Project</t>
  </si>
  <si>
    <t>Funding - Construction Project</t>
  </si>
  <si>
    <t>Meeting Minutes</t>
  </si>
  <si>
    <t>*((tbl*((monthly*((col*((project_id</t>
  </si>
  <si>
    <t>*((var*((date_meeting</t>
  </si>
  <si>
    <t>*((col*((project_type</t>
  </si>
  <si>
    <t>*((col*((project_category</t>
  </si>
  <si>
    <t>*((col*((record_status</t>
  </si>
  <si>
    <t>*((col*((construction_status*((formula*((down</t>
  </si>
  <si>
    <t>*((col*((site_status</t>
  </si>
  <si>
    <t>*((col*((date_space_template</t>
  </si>
  <si>
    <t>*((col*((design_status</t>
  </si>
  <si>
    <t>*((col*((date_pretender</t>
  </si>
  <si>
    <t>*((col*((date_cc_floorplan</t>
  </si>
  <si>
    <t>*((col*((date_building_permit</t>
  </si>
  <si>
    <t>*((col*((date_tender_issue</t>
  </si>
  <si>
    <t>*((col*((date_tender_closed</t>
  </si>
  <si>
    <t>*((col*((date_substantial_completion</t>
  </si>
  <si>
    <t>*((col*((date_opening</t>
  </si>
  <si>
    <t>*((col*((date_completion</t>
  </si>
  <si>
    <t>*((col*((funding_construction</t>
  </si>
  <si>
    <t>*((col*((funding_site</t>
  </si>
  <si>
    <t>*((col*((funding_demo</t>
  </si>
  <si>
    <t>*((col*((funding_other_projects</t>
  </si>
  <si>
    <t>*((col*((cost_basis</t>
  </si>
  <si>
    <t>*((col*((cost_estimate_construction</t>
  </si>
  <si>
    <t>*((col*((cost_estimate_land</t>
  </si>
  <si>
    <t>*((col*((cost_estimate_demo</t>
  </si>
  <si>
    <t>*((col*((cost_estimate_other_projects</t>
  </si>
  <si>
    <t>*((col*((risk_type</t>
  </si>
  <si>
    <t>*((col*((risk_rating</t>
  </si>
  <si>
    <t>*((col*((risk_date_start</t>
  </si>
  <si>
    <t>*((col*((risk_cost_min</t>
  </si>
  <si>
    <t>*((col*((risk_cost_max</t>
  </si>
  <si>
    <t>*((col*((risk_delay_min</t>
  </si>
  <si>
    <t>*((col*((risk_delay_max</t>
  </si>
  <si>
    <t>*((col*((risk_mitigation</t>
  </si>
  <si>
    <t>*((col*((meeting_minutes</t>
  </si>
  <si>
    <t>*((col*((project_name</t>
  </si>
  <si>
    <t>*((col*((date_site_purchase</t>
  </si>
  <si>
    <t>*((col*((date_site_plan_submission</t>
  </si>
  <si>
    <t>*((col*((date_opening_cc</t>
  </si>
  <si>
    <t>monthly_v2.0</t>
  </si>
  <si>
    <t>*((col*((date_construction</t>
  </si>
  <si>
    <t>Funding - All Associated Projects</t>
  </si>
  <si>
    <t>Site Purchased Prior to Capital Approval</t>
  </si>
  <si>
    <t>*((col*((funding_all*((formula*((down</t>
  </si>
  <si>
    <t>*((tbl*((basic_project_info*((col*((project_id</t>
  </si>
  <si>
    <t>*((col*((project_name_official</t>
  </si>
  <si>
    <t>*((col*((location_address</t>
  </si>
  <si>
    <t>*((col*((location_postal_code</t>
  </si>
  <si>
    <t>*((col*((location_longitude</t>
  </si>
  <si>
    <t>*((col*((sign_installed</t>
  </si>
  <si>
    <t>*((col*((date_opening_ceremony</t>
  </si>
  <si>
    <t>*((tbl*((pc*((col*((project_id</t>
  </si>
  <si>
    <t>Space Template Approved</t>
  </si>
  <si>
    <t>Site Plan Approved</t>
  </si>
  <si>
    <t>Pre-Tender Checkin</t>
  </si>
  <si>
    <t>Tender Approved</t>
  </si>
  <si>
    <t>Post-Tender Checkin</t>
  </si>
  <si>
    <t>Financial Close</t>
  </si>
  <si>
    <t>*((col*((date_site_plan_approved</t>
  </si>
  <si>
    <t>*((col*((date_tender</t>
  </si>
  <si>
    <t>*((col*((date_posttender</t>
  </si>
  <si>
    <t>*((col*((location_latitude</t>
  </si>
  <si>
    <t>Latitude</t>
  </si>
  <si>
    <t>*((col*((location_city</t>
  </si>
  <si>
    <t>Senior Buisness Official</t>
  </si>
  <si>
    <t>Primary Contact</t>
  </si>
  <si>
    <t>School Board Contact List</t>
  </si>
  <si>
    <t>Director of Education</t>
  </si>
  <si>
    <t>Finance Contact</t>
  </si>
  <si>
    <t>Construction/Project Management Contact</t>
  </si>
  <si>
    <t>*((tbl*((board_contacts*((col*((name</t>
  </si>
  <si>
    <t>*((col*((title</t>
  </si>
  <si>
    <t>*((col*((email</t>
  </si>
  <si>
    <t>*((col*((phone</t>
  </si>
  <si>
    <t>99-123</t>
  </si>
  <si>
    <t>Example Project</t>
  </si>
  <si>
    <t>*((col*((basic_project_info_comments</t>
  </si>
  <si>
    <t>*((col*((meeting_minutes_minus_1</t>
  </si>
  <si>
    <t>*((col*((meeting_minutes_minus_2</t>
  </si>
  <si>
    <t>*((col*((meeting_minutes_minus_3</t>
  </si>
  <si>
    <t>*((col*((meeting_minutes_minus_4</t>
  </si>
  <si>
    <t>*((col*((meeting_minutes_minus_5</t>
  </si>
  <si>
    <t>*((col*((meeting_minutes_minus_6</t>
  </si>
  <si>
    <t>*((col*((meeting_minutes_minus_7</t>
  </si>
  <si>
    <t>*((col*((meeting_minutes_minus_8</t>
  </si>
  <si>
    <t>*((col*((meeting_minutes_minus_9</t>
  </si>
  <si>
    <t>*((col*((meeting_minutes_minus_10</t>
  </si>
  <si>
    <t>*((col*((meeting_minutes_minus_11</t>
  </si>
  <si>
    <t>*((col*((meeting_minutes_minus_12</t>
  </si>
  <si>
    <t>*((col*((meeting_minutes_minus_13</t>
  </si>
  <si>
    <t>*((col*((meeting_minutes_minus_14</t>
  </si>
  <si>
    <t>*((col*((meeting_minutes_minus_15</t>
  </si>
  <si>
    <t>*((col*((meeting_minutes_minus_16</t>
  </si>
  <si>
    <t>*((col*((meeting_minutes_minus_17</t>
  </si>
  <si>
    <t>*((col*((meeting_minutes_minus_18</t>
  </si>
  <si>
    <t>*((col*((meeting_minutes_minus_19</t>
  </si>
  <si>
    <t>*((col*((meeting_minutes_minus_20</t>
  </si>
  <si>
    <t>*((col*((meeting_minutes_minus_21</t>
  </si>
  <si>
    <t>*((col*((meeting_minutes_minus_22</t>
  </si>
  <si>
    <t>*((col*((meeting_minutes_minus_23</t>
  </si>
  <si>
    <t>*((col*((meeting_minutes_minus_24</t>
  </si>
  <si>
    <t>Section 9: Historical Meeting Minutes</t>
  </si>
  <si>
    <t>*((table_end*((meeting_minutes_heading</t>
  </si>
  <si>
    <t>Post-Tender Check-In</t>
  </si>
  <si>
    <t>Constants</t>
  </si>
  <si>
    <t>Orange Date</t>
  </si>
  <si>
    <t>Red Date</t>
  </si>
  <si>
    <t>*((var*((board_number_name</t>
  </si>
  <si>
    <t>Basic Project Information</t>
  </si>
  <si>
    <t>*((var*((missing_data_count*((formula*((right</t>
  </si>
  <si>
    <t>cc_amount</t>
  </si>
  <si>
    <t>*((col*((funding_cc</t>
  </si>
  <si>
    <t>*((col*((site_ownership_formula*((formula*((down</t>
  </si>
  <si>
    <t>*((var*((temp_site_purchase_formula*((formula*((up</t>
  </si>
  <si>
    <t>*((var*((true_false_formula*((formula*((down</t>
  </si>
  <si>
    <t>Role</t>
  </si>
  <si>
    <t>*((col*((role</t>
  </si>
  <si>
    <t>Project Commitments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</si>
</sst>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43" formatCode="_-* #,##0.00_-;\-* #,##0.00_-;_-* &quot;-&quot;??_-;_-@_-"/>
    <numFmt numFmtId="164" formatCode="_(* #,##0.00_);_(* \(#,##0.00\);_(* &quot;-&quot;??_);_(@_)"/>
    <numFmt numFmtId="165" formatCode="mmm\-yyyy"/>
    <numFmt numFmtId="166" formatCode="_-* #,##0_-;\-* #,##0_-;_-* &quot;-&quot;??_-;_-@_-"/>
    <numFmt numFmtId="167" formatCode="[$-F800]dddd\,\ mmmm\ dd\,\ yyyy"/>
    <numFmt numFmtId="168" formatCode="_-&quot;$&quot;* #,##0_-;\-&quot;$&quot;* #,##0_-;_-&quot;$&quot;* &quot;-&quot;??_-;_-@_-"/>
  </numFmts>
  <fonts count="32" x14ac:knownFonts="1">
    <font>
      <sz val="11"/>
      <color theme="1"/>
      <name val="Calibri"/>
      <family val="2"/>
      <scheme val="minor"/>
    </font>
    <font>
      <sz val="16"/>
      <name val="Arial Nova Cond Light"/>
      <family val="2"/>
    </font>
    <font>
      <b/>
      <sz val="16"/>
      <name val="Arial Nova Cond Light"/>
      <family val="2"/>
    </font>
    <font>
      <b/>
      <sz val="11"/>
      <name val="Arial Nova Cond Light"/>
      <family val="2"/>
    </font>
    <font>
      <b/>
      <sz val="11"/>
      <color theme="1"/>
      <name val="Arial Nova Cond Light"/>
      <family val="2"/>
    </font>
    <font>
      <sz val="11"/>
      <color theme="1"/>
      <name val="Arial Nova Cond Light"/>
      <family val="2"/>
    </font>
    <font>
      <sz val="11"/>
      <name val="Arial Nova Cond Light"/>
      <family val="2"/>
    </font>
    <font>
      <b/>
      <sz val="11"/>
      <color theme="0"/>
      <name val="Arial Nova Cond Light"/>
      <family val="2"/>
    </font>
    <font>
      <sz val="11"/>
      <color theme="1"/>
      <name val="Calibri"/>
      <family val="2"/>
      <scheme val="minor"/>
    </font>
    <font>
      <b/>
      <sz val="11"/>
      <color theme="1"/>
      <name val="Calibri"/>
      <family val="2"/>
      <scheme val="minor"/>
    </font>
    <font>
      <sz val="12"/>
      <color theme="1"/>
      <name val="Arial"/>
      <family val="2"/>
    </font>
    <font>
      <b/>
      <sz val="12"/>
      <color theme="1"/>
      <name val="Arial Nova Cond Light"/>
      <family val="2"/>
    </font>
    <font>
      <b/>
      <sz val="14"/>
      <color theme="1"/>
      <name val="Arial Nova Cond Light"/>
      <family val="2"/>
    </font>
    <font>
      <sz val="14"/>
      <color theme="1"/>
      <name val="Arial Nova Cond Light"/>
      <family val="2"/>
    </font>
    <font>
      <b/>
      <sz val="20"/>
      <name val="Arial Nova Cond Light"/>
      <family val="2"/>
    </font>
    <font>
      <b/>
      <sz val="11"/>
      <color theme="1" tint="0.34998626667073579"/>
      <name val="Arial Nova Cond Light"/>
      <family val="2"/>
    </font>
    <font>
      <sz val="18"/>
      <name val="Arial Nova Cond Light"/>
      <family val="2"/>
    </font>
    <font>
      <sz val="8"/>
      <name val="Calibri"/>
      <family val="2"/>
      <scheme val="minor"/>
    </font>
    <font>
      <b/>
      <sz val="18"/>
      <name val="Arial"/>
      <family val="2"/>
    </font>
    <font>
      <sz val="10"/>
      <name val="Arial"/>
      <family val="2"/>
    </font>
    <font>
      <sz val="11"/>
      <name val="Calibri"/>
      <family val="2"/>
      <scheme val="minor"/>
    </font>
    <font>
      <b/>
      <sz val="18"/>
      <name val="Arial Nova Cond Light"/>
      <family val="2"/>
    </font>
    <font>
      <b/>
      <u/>
      <sz val="11"/>
      <color theme="1"/>
      <name val="Calibri"/>
      <family val="2"/>
      <scheme val="minor"/>
    </font>
    <font>
      <b/>
      <sz val="22"/>
      <color rgb="FFFF0000"/>
      <name val="Arial Nova Cond Light"/>
      <family val="2"/>
    </font>
    <font>
      <b/>
      <sz val="24"/>
      <name val="Arial Nova Cond Light"/>
      <family val="2"/>
    </font>
    <font>
      <sz val="12"/>
      <color rgb="FFFF0000"/>
      <name val="Arial Nova Cond Light"/>
      <family val="2"/>
    </font>
    <font>
      <sz val="16"/>
      <color theme="0"/>
      <name val="Arial Nova Cond Light"/>
      <family val="2"/>
    </font>
    <font>
      <sz val="12"/>
      <color theme="0"/>
      <name val="Arial Nova Cond Light"/>
      <family val="2"/>
    </font>
    <font>
      <sz val="14"/>
      <name val="Arial Nova Cond Light"/>
      <family val="2"/>
    </font>
    <font>
      <sz val="11"/>
      <color theme="0"/>
      <name val="Calibri"/>
      <family val="2"/>
      <scheme val="minor"/>
    </font>
    <font>
      <b/>
      <sz val="11"/>
      <name val="Calibri"/>
      <family val="2"/>
      <scheme val="minor"/>
    </font>
    <font>
      <b/>
      <sz val="28"/>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rgb="FFFFC000"/>
        <bgColor indexed="64"/>
      </patternFill>
    </fill>
    <fill>
      <patternFill patternType="solid">
        <fgColor them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2" tint="-0.249977111117893"/>
        <bgColor indexed="64"/>
      </patternFill>
    </fill>
  </fills>
  <borders count="35">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thin">
        <color indexed="64"/>
      </left>
      <right style="thin">
        <color indexed="64"/>
      </right>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top style="thick">
        <color auto="1"/>
      </top>
      <bottom style="thick">
        <color auto="1"/>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ck">
        <color auto="1"/>
      </left>
      <right/>
      <top/>
      <bottom/>
      <diagonal/>
    </border>
    <border>
      <left style="medium">
        <color indexed="64"/>
      </left>
      <right/>
      <top/>
      <bottom/>
      <diagonal/>
    </border>
  </borders>
  <cellStyleXfs count="7">
    <xf numFmtId="0" fontId="0" fillId="0" borderId="0"/>
    <xf numFmtId="43" fontId="8" fillId="0" borderId="0" applyFont="0" applyFill="0" applyBorder="0" applyAlignment="0" applyProtection="0"/>
    <xf numFmtId="9" fontId="8" fillId="0" borderId="0" applyFont="0" applyFill="0" applyBorder="0" applyAlignment="0" applyProtection="0"/>
    <xf numFmtId="0" fontId="10" fillId="0" borderId="0"/>
    <xf numFmtId="164" fontId="8" fillId="0" borderId="0" applyFont="0" applyFill="0" applyBorder="0" applyAlignment="0" applyProtection="0"/>
    <xf numFmtId="44" fontId="8" fillId="0" borderId="0" applyFont="0" applyFill="0" applyBorder="0" applyAlignment="0" applyProtection="0"/>
    <xf numFmtId="0" fontId="19" fillId="0" borderId="0"/>
  </cellStyleXfs>
  <cellXfs count="178">
    <xf numFmtId="0" fontId="0" fillId="0" borderId="0" xfId="0"/>
    <xf numFmtId="0" fontId="6" fillId="0" borderId="0" xfId="0" applyFont="1" applyAlignment="1">
      <alignment horizontal="center" vertical="center"/>
    </xf>
    <xf numFmtId="0" fontId="5" fillId="2" borderId="0" xfId="0" applyFont="1" applyFill="1" applyAlignment="1">
      <alignment horizontal="center" vertical="center"/>
    </xf>
    <xf numFmtId="0" fontId="5" fillId="3" borderId="2" xfId="0" applyFont="1" applyFill="1" applyBorder="1" applyAlignment="1">
      <alignment horizontal="center" vertical="center"/>
    </xf>
    <xf numFmtId="0" fontId="9" fillId="0" borderId="0" xfId="0" applyFont="1"/>
    <xf numFmtId="0" fontId="0" fillId="0" borderId="0" xfId="0" applyAlignment="1">
      <alignment horizontal="left" vertical="center"/>
    </xf>
    <xf numFmtId="0" fontId="0" fillId="0" borderId="0" xfId="0" applyAlignment="1">
      <alignment vertical="center"/>
    </xf>
    <xf numFmtId="0" fontId="5" fillId="2" borderId="8" xfId="0" applyFont="1" applyFill="1" applyBorder="1" applyAlignment="1">
      <alignment horizontal="center" vertical="top" wrapText="1"/>
    </xf>
    <xf numFmtId="0" fontId="5" fillId="2" borderId="3" xfId="0" applyFont="1" applyFill="1" applyBorder="1" applyAlignment="1">
      <alignment horizontal="center" vertical="top" wrapText="1"/>
    </xf>
    <xf numFmtId="0" fontId="5" fillId="2" borderId="14" xfId="0" applyFont="1" applyFill="1" applyBorder="1" applyAlignment="1">
      <alignment horizontal="center" vertical="top" wrapText="1"/>
    </xf>
    <xf numFmtId="0" fontId="15" fillId="4" borderId="2" xfId="0" applyFont="1" applyFill="1" applyBorder="1" applyAlignment="1">
      <alignment horizontal="center" vertical="center"/>
    </xf>
    <xf numFmtId="0" fontId="15" fillId="4" borderId="9" xfId="0" applyFont="1" applyFill="1" applyBorder="1" applyAlignment="1">
      <alignment horizontal="center" vertical="center"/>
    </xf>
    <xf numFmtId="0" fontId="15" fillId="4" borderId="10" xfId="0" applyFont="1" applyFill="1" applyBorder="1" applyAlignment="1">
      <alignment horizontal="center" vertical="center"/>
    </xf>
    <xf numFmtId="0" fontId="15" fillId="4" borderId="11" xfId="0" applyFont="1" applyFill="1" applyBorder="1" applyAlignment="1">
      <alignment horizontal="center" vertical="center"/>
    </xf>
    <xf numFmtId="0" fontId="15" fillId="4" borderId="15" xfId="0" applyFont="1" applyFill="1" applyBorder="1" applyAlignment="1">
      <alignment horizontal="center" vertical="center"/>
    </xf>
    <xf numFmtId="165" fontId="5" fillId="3" borderId="8" xfId="0" applyNumberFormat="1" applyFont="1" applyFill="1" applyBorder="1" applyAlignment="1">
      <alignment horizontal="center" vertical="top" wrapText="1"/>
    </xf>
    <xf numFmtId="0" fontId="15" fillId="4" borderId="9" xfId="0" applyFont="1" applyFill="1" applyBorder="1" applyAlignment="1" applyProtection="1">
      <alignment horizontal="center" vertical="center"/>
      <protection locked="0"/>
    </xf>
    <xf numFmtId="0" fontId="15" fillId="4" borderId="15" xfId="0" applyFont="1" applyFill="1" applyBorder="1" applyAlignment="1" applyProtection="1">
      <alignment horizontal="center" vertical="center"/>
      <protection locked="0"/>
    </xf>
    <xf numFmtId="0" fontId="5" fillId="2" borderId="14" xfId="0" applyFont="1" applyFill="1" applyBorder="1" applyAlignment="1" applyProtection="1">
      <alignment horizontal="center" vertical="top" wrapText="1"/>
      <protection locked="0"/>
    </xf>
    <xf numFmtId="0" fontId="5" fillId="2" borderId="0" xfId="0" applyFont="1" applyFill="1" applyAlignment="1" applyProtection="1">
      <alignment horizontal="center" vertical="center"/>
      <protection locked="0"/>
    </xf>
    <xf numFmtId="166" fontId="5" fillId="2" borderId="8" xfId="1" applyNumberFormat="1" applyFont="1" applyFill="1" applyBorder="1" applyAlignment="1" applyProtection="1">
      <alignment horizontal="center" vertical="top" wrapText="1"/>
      <protection locked="0"/>
    </xf>
    <xf numFmtId="166" fontId="5" fillId="0" borderId="3" xfId="1" applyNumberFormat="1" applyFont="1" applyFill="1" applyBorder="1" applyAlignment="1" applyProtection="1">
      <alignment horizontal="center" vertical="top" wrapText="1"/>
      <protection locked="0"/>
    </xf>
    <xf numFmtId="0" fontId="5" fillId="0" borderId="0" xfId="0" applyFont="1" applyAlignment="1" applyProtection="1">
      <alignment horizontal="center" vertical="center"/>
      <protection locked="0"/>
    </xf>
    <xf numFmtId="14" fontId="9" fillId="0" borderId="0" xfId="0" applyNumberFormat="1" applyFont="1"/>
    <xf numFmtId="0" fontId="9" fillId="0" borderId="0" xfId="0" applyFont="1" applyAlignment="1">
      <alignment vertical="center"/>
    </xf>
    <xf numFmtId="0" fontId="2" fillId="2" borderId="0" xfId="0" applyFont="1" applyFill="1" applyAlignment="1">
      <alignment horizontal="center" vertical="center"/>
    </xf>
    <xf numFmtId="0" fontId="1" fillId="2" borderId="0" xfId="0" applyFont="1" applyFill="1" applyAlignment="1">
      <alignment horizontal="center" vertical="center"/>
    </xf>
    <xf numFmtId="0" fontId="13" fillId="2" borderId="0" xfId="0" applyFont="1" applyFill="1" applyAlignment="1">
      <alignment horizontal="center" vertical="center"/>
    </xf>
    <xf numFmtId="0" fontId="5" fillId="2" borderId="2" xfId="0" applyFont="1" applyFill="1" applyBorder="1" applyAlignment="1">
      <alignment horizontal="center" vertical="center"/>
    </xf>
    <xf numFmtId="3" fontId="3" fillId="3" borderId="13" xfId="0" applyNumberFormat="1"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4" fillId="3" borderId="12" xfId="0" applyFont="1" applyFill="1" applyBorder="1" applyAlignment="1" applyProtection="1">
      <alignment horizontal="center" vertical="center" wrapText="1"/>
      <protection locked="0"/>
    </xf>
    <xf numFmtId="0" fontId="4" fillId="3" borderId="12" xfId="0" applyFont="1" applyFill="1" applyBorder="1" applyAlignment="1">
      <alignment horizontal="center" vertical="center" wrapText="1"/>
    </xf>
    <xf numFmtId="167" fontId="0" fillId="0" borderId="0" xfId="0" applyNumberFormat="1"/>
    <xf numFmtId="0" fontId="0" fillId="0" borderId="0" xfId="0" applyAlignment="1">
      <alignment horizontal="center" vertical="center"/>
    </xf>
    <xf numFmtId="0" fontId="14" fillId="2" borderId="0" xfId="0" applyFont="1" applyFill="1" applyAlignment="1">
      <alignment horizontal="center" vertical="top"/>
    </xf>
    <xf numFmtId="0" fontId="4" fillId="3" borderId="13" xfId="0" applyFont="1" applyFill="1" applyBorder="1" applyAlignment="1">
      <alignment horizontal="center" vertical="center" wrapText="1"/>
    </xf>
    <xf numFmtId="0" fontId="0" fillId="0" borderId="0" xfId="0" applyAlignment="1">
      <alignment horizontal="center"/>
    </xf>
    <xf numFmtId="166" fontId="5" fillId="2" borderId="14" xfId="1" applyNumberFormat="1" applyFont="1" applyFill="1" applyBorder="1" applyAlignment="1" applyProtection="1">
      <alignment horizontal="center" vertical="top" wrapText="1"/>
      <protection locked="0"/>
    </xf>
    <xf numFmtId="44" fontId="5" fillId="0" borderId="3" xfId="5" applyFont="1" applyFill="1" applyBorder="1" applyAlignment="1" applyProtection="1">
      <alignment horizontal="center" vertical="top" wrapText="1"/>
      <protection locked="0"/>
    </xf>
    <xf numFmtId="49" fontId="5" fillId="2" borderId="3" xfId="2" applyNumberFormat="1" applyFont="1" applyFill="1" applyBorder="1" applyAlignment="1" applyProtection="1">
      <alignment horizontal="center" vertical="top" wrapText="1"/>
    </xf>
    <xf numFmtId="165" fontId="5" fillId="3" borderId="3" xfId="0" applyNumberFormat="1" applyFont="1" applyFill="1" applyBorder="1" applyAlignment="1">
      <alignment horizontal="center" vertical="top" wrapText="1"/>
    </xf>
    <xf numFmtId="0" fontId="7" fillId="4" borderId="7" xfId="0" applyFont="1" applyFill="1" applyBorder="1" applyAlignment="1">
      <alignment horizontal="center" vertical="center"/>
    </xf>
    <xf numFmtId="0" fontId="4" fillId="3" borderId="23"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3" xfId="0" applyFont="1" applyFill="1" applyBorder="1" applyAlignment="1" applyProtection="1">
      <alignment horizontal="center" vertical="center" wrapText="1"/>
      <protection locked="0"/>
    </xf>
    <xf numFmtId="3" fontId="3" fillId="3" borderId="3" xfId="0" applyNumberFormat="1" applyFont="1" applyFill="1" applyBorder="1" applyAlignment="1">
      <alignment horizontal="center" vertical="center" wrapText="1"/>
    </xf>
    <xf numFmtId="0" fontId="5" fillId="2" borderId="3" xfId="0" applyFont="1" applyFill="1" applyBorder="1" applyAlignment="1">
      <alignment horizontal="center" vertical="center"/>
    </xf>
    <xf numFmtId="0" fontId="4" fillId="3" borderId="24"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4" fillId="3" borderId="26" xfId="0" applyFont="1" applyFill="1" applyBorder="1" applyAlignment="1">
      <alignment horizontal="center" vertical="center" wrapText="1"/>
    </xf>
    <xf numFmtId="0" fontId="4" fillId="3" borderId="27" xfId="0" applyFont="1" applyFill="1" applyBorder="1" applyAlignment="1">
      <alignment horizontal="center" vertical="center" wrapText="1"/>
    </xf>
    <xf numFmtId="0" fontId="0" fillId="5" borderId="0" xfId="0" applyFill="1"/>
    <xf numFmtId="0" fontId="18" fillId="0" borderId="0" xfId="0" applyFont="1"/>
    <xf numFmtId="0" fontId="0" fillId="0" borderId="0" xfId="0" applyAlignment="1">
      <alignment wrapText="1"/>
    </xf>
    <xf numFmtId="0" fontId="19" fillId="0" borderId="0" xfId="0" applyFont="1"/>
    <xf numFmtId="0" fontId="12" fillId="3" borderId="1" xfId="0" applyFont="1" applyFill="1" applyBorder="1" applyAlignment="1">
      <alignment horizontal="left" vertical="center"/>
    </xf>
    <xf numFmtId="0" fontId="4" fillId="3" borderId="3" xfId="0" applyFont="1" applyFill="1" applyBorder="1" applyAlignment="1">
      <alignment horizontal="center" vertical="center"/>
    </xf>
    <xf numFmtId="44" fontId="5" fillId="0" borderId="3" xfId="5" applyFont="1" applyFill="1" applyBorder="1" applyAlignment="1" applyProtection="1">
      <alignment horizontal="center" vertical="top"/>
      <protection locked="0"/>
    </xf>
    <xf numFmtId="0" fontId="3" fillId="3" borderId="13" xfId="0" applyFont="1" applyFill="1" applyBorder="1" applyAlignment="1">
      <alignment horizontal="center" vertical="center" wrapText="1"/>
    </xf>
    <xf numFmtId="165" fontId="5" fillId="3" borderId="14" xfId="0" applyNumberFormat="1" applyFont="1" applyFill="1" applyBorder="1" applyAlignment="1">
      <alignment horizontal="center" vertical="top" wrapText="1"/>
    </xf>
    <xf numFmtId="0" fontId="4" fillId="5" borderId="3" xfId="0" applyFont="1" applyFill="1" applyBorder="1" applyAlignment="1">
      <alignment horizontal="center" vertical="center" wrapText="1"/>
    </xf>
    <xf numFmtId="0" fontId="4" fillId="3" borderId="31" xfId="0" applyFont="1" applyFill="1" applyBorder="1" applyAlignment="1">
      <alignment horizontal="center" vertical="center" wrapText="1"/>
    </xf>
    <xf numFmtId="0" fontId="0" fillId="10" borderId="3" xfId="0" applyFill="1" applyBorder="1" applyAlignment="1">
      <alignment vertical="center" wrapText="1"/>
    </xf>
    <xf numFmtId="0" fontId="9" fillId="11" borderId="3" xfId="0" applyFont="1" applyFill="1" applyBorder="1" applyAlignment="1">
      <alignment horizontal="center" vertical="center"/>
    </xf>
    <xf numFmtId="0" fontId="0" fillId="6" borderId="3" xfId="0" applyFill="1" applyBorder="1" applyAlignment="1">
      <alignment vertical="center" wrapText="1"/>
    </xf>
    <xf numFmtId="0" fontId="0" fillId="6" borderId="3" xfId="0" applyFill="1" applyBorder="1" applyAlignment="1">
      <alignment vertical="center"/>
    </xf>
    <xf numFmtId="0" fontId="9" fillId="6" borderId="3" xfId="0" applyFont="1" applyFill="1" applyBorder="1" applyAlignment="1">
      <alignment horizontal="center" vertical="center" wrapText="1"/>
    </xf>
    <xf numFmtId="0" fontId="0" fillId="5" borderId="3" xfId="0" applyFill="1" applyBorder="1" applyAlignment="1">
      <alignment vertical="center" wrapText="1"/>
    </xf>
    <xf numFmtId="0" fontId="22" fillId="11" borderId="3" xfId="0" applyFont="1" applyFill="1" applyBorder="1" applyAlignment="1">
      <alignment horizontal="center" vertical="center"/>
    </xf>
    <xf numFmtId="0" fontId="22" fillId="6" borderId="3" xfId="0" applyFont="1" applyFill="1" applyBorder="1" applyAlignment="1">
      <alignment horizontal="center" vertical="center"/>
    </xf>
    <xf numFmtId="0" fontId="22" fillId="10" borderId="3" xfId="0" applyFont="1" applyFill="1" applyBorder="1" applyAlignment="1">
      <alignment horizontal="center" vertical="center"/>
    </xf>
    <xf numFmtId="0" fontId="22" fillId="10" borderId="3" xfId="0" applyFont="1" applyFill="1" applyBorder="1" applyAlignment="1">
      <alignment horizontal="right" vertical="center"/>
    </xf>
    <xf numFmtId="0" fontId="22" fillId="6" borderId="3" xfId="0" applyFont="1" applyFill="1" applyBorder="1" applyAlignment="1">
      <alignment horizontal="center" vertical="center" wrapText="1"/>
    </xf>
    <xf numFmtId="0" fontId="22" fillId="10" borderId="0" xfId="0" applyFont="1" applyFill="1" applyAlignment="1">
      <alignment horizontal="right" vertical="center"/>
    </xf>
    <xf numFmtId="0" fontId="22" fillId="5" borderId="3" xfId="0" applyFont="1" applyFill="1" applyBorder="1" applyAlignment="1">
      <alignment horizontal="center" vertical="center" wrapText="1"/>
    </xf>
    <xf numFmtId="0" fontId="22" fillId="0" borderId="0" xfId="0" applyFont="1" applyAlignment="1">
      <alignment vertical="center"/>
    </xf>
    <xf numFmtId="0" fontId="14" fillId="2" borderId="0" xfId="0" applyFont="1" applyFill="1" applyAlignment="1">
      <alignment horizontal="center" vertical="top"/>
    </xf>
    <xf numFmtId="0" fontId="5" fillId="3" borderId="3" xfId="0" applyFont="1" applyFill="1" applyBorder="1" applyAlignment="1">
      <alignment horizontal="center" vertical="top" wrapText="1"/>
    </xf>
    <xf numFmtId="0" fontId="5" fillId="0" borderId="3" xfId="0" applyFont="1" applyFill="1" applyBorder="1" applyAlignment="1">
      <alignment horizontal="center" vertical="top" wrapText="1"/>
    </xf>
    <xf numFmtId="0" fontId="5" fillId="0" borderId="14" xfId="0" applyFont="1" applyFill="1" applyBorder="1" applyAlignment="1">
      <alignment horizontal="center" vertical="top" wrapText="1"/>
    </xf>
    <xf numFmtId="168" fontId="5" fillId="3" borderId="3" xfId="5" applyNumberFormat="1" applyFont="1" applyFill="1" applyBorder="1" applyAlignment="1" applyProtection="1">
      <alignment horizontal="center" vertical="top" wrapText="1"/>
      <protection locked="0"/>
    </xf>
    <xf numFmtId="0" fontId="14" fillId="2" borderId="0" xfId="0" applyFont="1" applyFill="1" applyAlignment="1">
      <alignment horizontal="center" vertical="top"/>
    </xf>
    <xf numFmtId="0" fontId="12" fillId="3" borderId="5" xfId="0" applyFont="1" applyFill="1" applyBorder="1" applyAlignment="1">
      <alignment horizontal="left" vertical="center"/>
    </xf>
    <xf numFmtId="0" fontId="0" fillId="0" borderId="0" xfId="0" applyAlignment="1">
      <alignment horizontal="center"/>
    </xf>
    <xf numFmtId="0" fontId="14" fillId="2" borderId="0" xfId="0" applyFont="1" applyFill="1" applyAlignment="1">
      <alignment horizontal="center" vertical="top"/>
    </xf>
    <xf numFmtId="0" fontId="12" fillId="3" borderId="19" xfId="0" applyFont="1" applyFill="1" applyBorder="1" applyAlignment="1">
      <alignment horizontal="left" vertical="center"/>
    </xf>
    <xf numFmtId="0" fontId="12" fillId="3" borderId="21" xfId="0" applyFont="1" applyFill="1" applyBorder="1" applyAlignment="1">
      <alignment horizontal="left" vertical="center"/>
    </xf>
    <xf numFmtId="165" fontId="5" fillId="3" borderId="8" xfId="0" applyNumberFormat="1" applyFont="1" applyFill="1" applyBorder="1" applyAlignment="1" applyProtection="1">
      <alignment horizontal="center" vertical="top" wrapText="1"/>
    </xf>
    <xf numFmtId="0" fontId="5" fillId="0" borderId="3" xfId="0" applyFont="1" applyFill="1" applyBorder="1" applyAlignment="1" applyProtection="1">
      <alignment horizontal="center" vertical="top" wrapText="1"/>
      <protection locked="0"/>
    </xf>
    <xf numFmtId="0" fontId="12" fillId="8" borderId="19" xfId="0" applyFont="1" applyFill="1" applyBorder="1" applyAlignment="1">
      <alignment vertical="center"/>
    </xf>
    <xf numFmtId="0" fontId="12" fillId="8" borderId="21" xfId="0" applyFont="1" applyFill="1" applyBorder="1" applyAlignment="1">
      <alignment vertical="center"/>
    </xf>
    <xf numFmtId="0" fontId="12" fillId="8" borderId="20" xfId="0" applyFont="1" applyFill="1" applyBorder="1" applyAlignment="1">
      <alignment vertical="center"/>
    </xf>
    <xf numFmtId="0" fontId="12" fillId="3" borderId="5" xfId="0" applyFont="1" applyFill="1" applyBorder="1" applyAlignment="1">
      <alignment horizontal="left" vertical="center"/>
    </xf>
    <xf numFmtId="0" fontId="4" fillId="3" borderId="3" xfId="0" applyFont="1" applyFill="1" applyBorder="1" applyAlignment="1">
      <alignment horizontal="left" vertical="center" wrapText="1"/>
    </xf>
    <xf numFmtId="0" fontId="14" fillId="2" borderId="0" xfId="0" applyFont="1" applyFill="1" applyAlignment="1">
      <alignment vertical="top"/>
    </xf>
    <xf numFmtId="0" fontId="12" fillId="3" borderId="19" xfId="0" applyFont="1" applyFill="1" applyBorder="1" applyAlignment="1">
      <alignment vertical="center"/>
    </xf>
    <xf numFmtId="0" fontId="12" fillId="3" borderId="21" xfId="0" applyFont="1" applyFill="1" applyBorder="1" applyAlignment="1">
      <alignment vertical="center"/>
    </xf>
    <xf numFmtId="2" fontId="0" fillId="0" borderId="0" xfId="0" applyNumberFormat="1"/>
    <xf numFmtId="0" fontId="16" fillId="9" borderId="33" xfId="0" applyFont="1" applyFill="1" applyBorder="1" applyAlignment="1">
      <alignment vertical="top"/>
    </xf>
    <xf numFmtId="0" fontId="16" fillId="9" borderId="0" xfId="0" applyFont="1" applyFill="1" applyBorder="1" applyAlignment="1">
      <alignment vertical="top"/>
    </xf>
    <xf numFmtId="0" fontId="24" fillId="2" borderId="0" xfId="0" applyFont="1" applyFill="1" applyAlignment="1">
      <alignment vertical="top"/>
    </xf>
    <xf numFmtId="0" fontId="0" fillId="0" borderId="0" xfId="0" applyProtection="1">
      <protection locked="0"/>
    </xf>
    <xf numFmtId="0" fontId="25" fillId="2" borderId="0" xfId="0" applyFont="1" applyFill="1" applyAlignment="1">
      <alignment horizontal="center" vertical="center" wrapText="1"/>
    </xf>
    <xf numFmtId="0" fontId="26" fillId="2" borderId="0" xfId="0" applyFont="1" applyFill="1" applyAlignment="1">
      <alignment horizontal="center" vertical="center"/>
    </xf>
    <xf numFmtId="165" fontId="5" fillId="0" borderId="8" xfId="0" applyNumberFormat="1" applyFont="1" applyFill="1" applyBorder="1" applyAlignment="1">
      <alignment horizontal="center" vertical="top" wrapText="1"/>
    </xf>
    <xf numFmtId="165" fontId="5" fillId="0" borderId="3" xfId="0" applyNumberFormat="1" applyFont="1" applyFill="1" applyBorder="1" applyAlignment="1">
      <alignment horizontal="center" vertical="top" wrapText="1"/>
    </xf>
    <xf numFmtId="167" fontId="5" fillId="0" borderId="14" xfId="0" applyNumberFormat="1" applyFont="1" applyFill="1" applyBorder="1" applyAlignment="1">
      <alignment horizontal="center" vertical="top" wrapText="1"/>
    </xf>
    <xf numFmtId="166" fontId="5" fillId="0" borderId="8" xfId="1" applyNumberFormat="1" applyFont="1" applyFill="1" applyBorder="1" applyAlignment="1" applyProtection="1">
      <alignment horizontal="center" vertical="top" wrapText="1"/>
      <protection locked="0"/>
    </xf>
    <xf numFmtId="166" fontId="5" fillId="0" borderId="14" xfId="1" applyNumberFormat="1" applyFont="1" applyFill="1" applyBorder="1" applyAlignment="1" applyProtection="1">
      <alignment horizontal="center" vertical="top" wrapText="1"/>
      <protection locked="0"/>
    </xf>
    <xf numFmtId="49" fontId="5" fillId="0" borderId="3" xfId="2" applyNumberFormat="1" applyFont="1" applyFill="1" applyBorder="1" applyAlignment="1" applyProtection="1">
      <alignment horizontal="center" vertical="top" wrapText="1"/>
    </xf>
    <xf numFmtId="0" fontId="0" fillId="0" borderId="0" xfId="0" applyFill="1"/>
    <xf numFmtId="0" fontId="5" fillId="0" borderId="8" xfId="0" applyFont="1" applyFill="1" applyBorder="1" applyAlignment="1">
      <alignment horizontal="center" vertical="top" wrapText="1"/>
    </xf>
    <xf numFmtId="0" fontId="5" fillId="0" borderId="0" xfId="0" applyFont="1" applyFill="1" applyAlignment="1" applyProtection="1">
      <alignment horizontal="center" vertical="center"/>
      <protection locked="0"/>
    </xf>
    <xf numFmtId="0" fontId="27" fillId="2" borderId="0" xfId="0" applyFont="1" applyFill="1" applyAlignment="1">
      <alignment horizontal="center" vertical="center" wrapText="1"/>
    </xf>
    <xf numFmtId="0" fontId="5" fillId="0" borderId="3" xfId="0" applyFont="1" applyFill="1" applyBorder="1" applyAlignment="1" applyProtection="1">
      <alignment horizontal="left" vertical="top" wrapText="1"/>
      <protection locked="0"/>
    </xf>
    <xf numFmtId="0" fontId="25" fillId="0" borderId="0" xfId="0" applyFont="1" applyFill="1" applyAlignment="1">
      <alignment horizontal="center" vertical="center"/>
    </xf>
    <xf numFmtId="0" fontId="6" fillId="0" borderId="0" xfId="0" applyFont="1" applyFill="1" applyBorder="1" applyAlignment="1" applyProtection="1">
      <alignment horizontal="center" vertical="top" wrapText="1"/>
      <protection locked="0"/>
    </xf>
    <xf numFmtId="0" fontId="7" fillId="4" borderId="34" xfId="0" applyFont="1" applyFill="1" applyBorder="1" applyAlignment="1">
      <alignment horizontal="center" vertical="center"/>
    </xf>
    <xf numFmtId="0" fontId="4" fillId="3" borderId="32" xfId="0" applyFont="1" applyFill="1" applyBorder="1" applyAlignment="1">
      <alignment horizontal="center" vertical="center"/>
    </xf>
    <xf numFmtId="0" fontId="5" fillId="3" borderId="34" xfId="0" applyFont="1" applyFill="1" applyBorder="1" applyAlignment="1">
      <alignment horizontal="center" vertical="center"/>
    </xf>
    <xf numFmtId="0" fontId="15" fillId="4" borderId="34" xfId="0" applyFont="1" applyFill="1" applyBorder="1" applyAlignment="1">
      <alignment horizontal="center" vertical="center"/>
    </xf>
    <xf numFmtId="49" fontId="5" fillId="2" borderId="32" xfId="2" applyNumberFormat="1" applyFont="1" applyFill="1" applyBorder="1" applyAlignment="1" applyProtection="1">
      <alignment horizontal="center" vertical="top" wrapText="1"/>
    </xf>
    <xf numFmtId="0" fontId="5" fillId="0" borderId="32" xfId="0" applyFont="1" applyFill="1" applyBorder="1" applyAlignment="1">
      <alignment horizontal="center" vertical="top" wrapText="1"/>
    </xf>
    <xf numFmtId="0" fontId="5" fillId="2" borderId="32" xfId="0" applyFont="1" applyFill="1" applyBorder="1" applyAlignment="1">
      <alignment horizontal="center" vertical="top" wrapText="1"/>
    </xf>
    <xf numFmtId="0" fontId="1" fillId="0" borderId="0" xfId="0" applyFont="1" applyFill="1" applyBorder="1" applyAlignment="1">
      <alignment horizontal="center" vertical="center"/>
    </xf>
    <xf numFmtId="2" fontId="1" fillId="0" borderId="0" xfId="0" applyNumberFormat="1" applyFont="1" applyFill="1" applyBorder="1" applyAlignment="1">
      <alignment horizontal="center" vertical="center"/>
    </xf>
    <xf numFmtId="0" fontId="20" fillId="0" borderId="0" xfId="0" applyFont="1" applyFill="1" applyBorder="1"/>
    <xf numFmtId="0" fontId="28" fillId="0" borderId="0" xfId="0" applyFont="1" applyFill="1" applyBorder="1" applyAlignment="1">
      <alignment horizontal="center" vertical="center"/>
    </xf>
    <xf numFmtId="0" fontId="6" fillId="0" borderId="0" xfId="0" applyFont="1" applyFill="1" applyBorder="1" applyAlignment="1">
      <alignment horizontal="center" vertical="center"/>
    </xf>
    <xf numFmtId="3" fontId="20" fillId="0" borderId="0" xfId="0" applyNumberFormat="1" applyFont="1" applyFill="1" applyBorder="1"/>
    <xf numFmtId="0" fontId="3" fillId="0" borderId="0" xfId="0" applyFont="1" applyFill="1" applyBorder="1" applyAlignment="1">
      <alignment horizontal="left" vertical="center"/>
    </xf>
    <xf numFmtId="0" fontId="5" fillId="3" borderId="3" xfId="0" applyFont="1" applyFill="1" applyBorder="1" applyAlignment="1" applyProtection="1">
      <alignment horizontal="left" vertical="top" wrapText="1"/>
    </xf>
    <xf numFmtId="167" fontId="11" fillId="0" borderId="0" xfId="0" applyNumberFormat="1" applyFont="1" applyFill="1" applyAlignment="1" applyProtection="1">
      <alignment horizontal="center" vertical="center"/>
      <protection locked="0"/>
    </xf>
    <xf numFmtId="168" fontId="5" fillId="0" borderId="3" xfId="5" applyNumberFormat="1" applyFont="1" applyFill="1" applyBorder="1" applyAlignment="1" applyProtection="1">
      <alignment horizontal="center" vertical="top" wrapText="1"/>
      <protection locked="0"/>
    </xf>
    <xf numFmtId="165" fontId="5" fillId="2" borderId="14" xfId="0" applyNumberFormat="1" applyFont="1" applyFill="1" applyBorder="1" applyAlignment="1">
      <alignment horizontal="center" vertical="top" wrapText="1"/>
    </xf>
    <xf numFmtId="165" fontId="5" fillId="0" borderId="14" xfId="0" applyNumberFormat="1" applyFont="1" applyFill="1" applyBorder="1" applyAlignment="1">
      <alignment horizontal="center" vertical="top" wrapText="1"/>
    </xf>
    <xf numFmtId="166" fontId="5" fillId="0" borderId="3" xfId="1" applyNumberFormat="1" applyFont="1" applyFill="1" applyBorder="1" applyAlignment="1" applyProtection="1">
      <alignment horizontal="center" vertical="top" wrapText="1"/>
    </xf>
    <xf numFmtId="0" fontId="5" fillId="0" borderId="0" xfId="0" applyFont="1" applyFill="1" applyAlignment="1">
      <alignment horizontal="center"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30" fillId="0" borderId="0" xfId="0" applyFont="1" applyAlignment="1">
      <alignment horizontal="center" vertical="center" wrapText="1"/>
    </xf>
    <xf numFmtId="3" fontId="9" fillId="0" borderId="0" xfId="0" applyNumberFormat="1" applyFont="1" applyAlignment="1">
      <alignment horizontal="center" vertical="center"/>
    </xf>
    <xf numFmtId="0" fontId="29" fillId="0" borderId="0" xfId="0" applyFont="1"/>
    <xf numFmtId="0" fontId="9" fillId="7" borderId="0" xfId="0" applyFont="1" applyFill="1" applyAlignment="1"/>
    <xf numFmtId="165" fontId="5" fillId="2" borderId="14" xfId="0" applyNumberFormat="1" applyFont="1" applyFill="1" applyBorder="1" applyAlignment="1" applyProtection="1">
      <alignment horizontal="center" vertical="top" wrapText="1"/>
      <protection locked="0"/>
    </xf>
    <xf numFmtId="0" fontId="5" fillId="0" borderId="3" xfId="0" applyFont="1" applyFill="1" applyBorder="1" applyAlignment="1" applyProtection="1">
      <alignment horizontal="center" vertical="top" wrapText="1"/>
    </xf>
    <xf numFmtId="0" fontId="5" fillId="0" borderId="32" xfId="0" applyFont="1" applyFill="1" applyBorder="1" applyAlignment="1" applyProtection="1">
      <alignment horizontal="center" vertical="top" wrapText="1"/>
    </xf>
    <xf numFmtId="0" fontId="9" fillId="11" borderId="32" xfId="0" applyFont="1" applyFill="1" applyBorder="1" applyAlignment="1">
      <alignment horizontal="center" vertical="center"/>
    </xf>
    <xf numFmtId="0" fontId="9" fillId="11" borderId="14" xfId="0" applyFont="1" applyFill="1" applyBorder="1" applyAlignment="1">
      <alignment horizontal="center" vertical="center"/>
    </xf>
    <xf numFmtId="0" fontId="0" fillId="6" borderId="32" xfId="0" applyFill="1" applyBorder="1" applyAlignment="1">
      <alignment horizontal="center" vertical="center" wrapText="1"/>
    </xf>
    <xf numFmtId="0" fontId="0" fillId="6" borderId="14" xfId="0" applyFill="1" applyBorder="1" applyAlignment="1">
      <alignment horizontal="center" vertical="center" wrapText="1"/>
    </xf>
    <xf numFmtId="0" fontId="22" fillId="6" borderId="32" xfId="0" applyFont="1" applyFill="1" applyBorder="1" applyAlignment="1">
      <alignment horizontal="center" vertical="center" wrapText="1"/>
    </xf>
    <xf numFmtId="0" fontId="22" fillId="6" borderId="14" xfId="0" applyFont="1" applyFill="1" applyBorder="1" applyAlignment="1">
      <alignment horizontal="center" vertical="center" wrapText="1"/>
    </xf>
    <xf numFmtId="0" fontId="14" fillId="0" borderId="0" xfId="0" applyFont="1" applyFill="1" applyAlignment="1">
      <alignment horizontal="left" vertical="top"/>
    </xf>
    <xf numFmtId="0" fontId="12" fillId="3" borderId="19" xfId="0" applyFont="1" applyFill="1" applyBorder="1" applyAlignment="1">
      <alignment horizontal="left" vertical="center"/>
    </xf>
    <xf numFmtId="0" fontId="12" fillId="3" borderId="21" xfId="0" applyFont="1" applyFill="1" applyBorder="1" applyAlignment="1">
      <alignment horizontal="left" vertical="center"/>
    </xf>
    <xf numFmtId="0" fontId="12" fillId="3" borderId="20" xfId="0" applyFont="1" applyFill="1" applyBorder="1" applyAlignment="1">
      <alignment horizontal="left" vertical="center"/>
    </xf>
    <xf numFmtId="0" fontId="12" fillId="3" borderId="4" xfId="0" applyFont="1" applyFill="1" applyBorder="1" applyAlignment="1">
      <alignment horizontal="left" vertical="center"/>
    </xf>
    <xf numFmtId="0" fontId="12" fillId="3" borderId="5" xfId="0" applyFont="1" applyFill="1" applyBorder="1" applyAlignment="1">
      <alignment horizontal="left" vertical="center"/>
    </xf>
    <xf numFmtId="0" fontId="12" fillId="3" borderId="22" xfId="0" applyFont="1" applyFill="1" applyBorder="1" applyAlignment="1">
      <alignment horizontal="left" vertical="center"/>
    </xf>
    <xf numFmtId="0" fontId="23" fillId="2" borderId="18" xfId="0" applyFont="1" applyFill="1" applyBorder="1" applyAlignment="1">
      <alignment horizontal="left" vertical="center"/>
    </xf>
    <xf numFmtId="0" fontId="12" fillId="3" borderId="4" xfId="0" applyFont="1" applyFill="1" applyBorder="1" applyAlignment="1" applyProtection="1">
      <alignment horizontal="left" vertical="center"/>
      <protection locked="0"/>
    </xf>
    <xf numFmtId="0" fontId="12" fillId="3" borderId="5" xfId="0" applyFont="1" applyFill="1" applyBorder="1" applyAlignment="1" applyProtection="1">
      <alignment horizontal="left" vertical="center"/>
      <protection locked="0"/>
    </xf>
    <xf numFmtId="0" fontId="12" fillId="3" borderId="19" xfId="0" applyFont="1" applyFill="1" applyBorder="1" applyAlignment="1" applyProtection="1">
      <alignment horizontal="left" vertical="center"/>
      <protection locked="0"/>
    </xf>
    <xf numFmtId="0" fontId="12" fillId="3" borderId="21" xfId="0" applyFont="1" applyFill="1" applyBorder="1" applyAlignment="1" applyProtection="1">
      <alignment horizontal="left" vertical="center"/>
      <protection locked="0"/>
    </xf>
    <xf numFmtId="0" fontId="12" fillId="3" borderId="16" xfId="0" applyFont="1" applyFill="1" applyBorder="1" applyAlignment="1">
      <alignment horizontal="center" vertical="center"/>
    </xf>
    <xf numFmtId="0" fontId="12" fillId="3" borderId="17" xfId="0" applyFont="1" applyFill="1" applyBorder="1" applyAlignment="1">
      <alignment horizontal="center" vertical="center"/>
    </xf>
    <xf numFmtId="0" fontId="24" fillId="9" borderId="28" xfId="0" applyFont="1" applyFill="1" applyBorder="1" applyAlignment="1">
      <alignment horizontal="left" vertical="top" wrapText="1"/>
    </xf>
    <xf numFmtId="0" fontId="24" fillId="9" borderId="30" xfId="0" applyFont="1" applyFill="1" applyBorder="1" applyAlignment="1">
      <alignment horizontal="left" vertical="top" wrapText="1"/>
    </xf>
    <xf numFmtId="0" fontId="24" fillId="9" borderId="29" xfId="0" applyFont="1" applyFill="1" applyBorder="1" applyAlignment="1">
      <alignment horizontal="left" vertical="top" wrapText="1"/>
    </xf>
    <xf numFmtId="0" fontId="14" fillId="0" borderId="0" xfId="0" applyFont="1" applyAlignment="1">
      <alignment horizontal="center" vertical="top"/>
    </xf>
    <xf numFmtId="0" fontId="31" fillId="0" borderId="0" xfId="0" applyFont="1" applyAlignment="1">
      <alignment horizontal="left"/>
    </xf>
    <xf numFmtId="0" fontId="9" fillId="6" borderId="0" xfId="0" applyFont="1" applyFill="1" applyAlignment="1">
      <alignment horizontal="center" wrapText="1"/>
    </xf>
    <xf numFmtId="0" fontId="0" fillId="0" borderId="0" xfId="0" applyAlignment="1">
      <alignment horizontal="center"/>
    </xf>
    <xf numFmtId="0" fontId="0" fillId="0" borderId="0" xfId="0" applyAlignment="1">
      <alignment horizontal="center" vertical="center"/>
    </xf>
  </cellXfs>
  <cellStyles count="7">
    <cellStyle name="Comma" xfId="1" builtinId="3"/>
    <cellStyle name="Comma 3" xfId="4" xr:uid="{9F3620BC-6570-4821-A109-B7C59E51EC5E}"/>
    <cellStyle name="Currency" xfId="5" builtinId="4"/>
    <cellStyle name="Normal" xfId="0" builtinId="0"/>
    <cellStyle name="Normal 2 4" xfId="6" xr:uid="{7FC29283-96A4-4073-9126-33BE5960D54B}"/>
    <cellStyle name="Normal 6" xfId="3" xr:uid="{E7BD5715-E06F-4718-B724-93599D421480}"/>
    <cellStyle name="Percent" xfId="2" builtinId="5"/>
  </cellStyles>
  <dxfs count="13">
    <dxf>
      <fill>
        <patternFill>
          <bgColor rgb="FFFF0000"/>
        </patternFill>
      </fill>
    </dxf>
    <dxf>
      <fill>
        <patternFill>
          <bgColor rgb="FFFF0000"/>
        </patternFill>
      </fill>
    </dxf>
    <dxf>
      <fill>
        <patternFill>
          <bgColor theme="0" tint="-0.24994659260841701"/>
        </patternFill>
      </fill>
    </dxf>
    <dxf>
      <fill>
        <patternFill>
          <bgColor rgb="FFFFC000"/>
        </patternFill>
      </fill>
    </dxf>
    <dxf>
      <fill>
        <patternFill>
          <bgColor rgb="FFFF0000"/>
        </patternFill>
      </fill>
    </dxf>
    <dxf>
      <font>
        <b/>
        <i val="0"/>
      </font>
      <fill>
        <patternFill>
          <bgColor rgb="FFFFFF00"/>
        </patternFill>
      </fill>
      <border>
        <left style="thin">
          <color rgb="FFFF0000"/>
        </left>
        <right style="thin">
          <color rgb="FFFF0000"/>
        </right>
        <top style="thin">
          <color rgb="FFFF0000"/>
        </top>
        <bottom style="thin">
          <color rgb="FFFF0000"/>
        </bottom>
      </border>
    </dxf>
    <dxf>
      <fill>
        <patternFill>
          <bgColor theme="0" tint="-0.24994659260841701"/>
        </patternFill>
      </fill>
    </dxf>
    <dxf>
      <protection locked="0" hidden="0"/>
    </dxf>
    <dxf>
      <protection locked="0" hidden="0"/>
    </dxf>
    <dxf>
      <protection locked="0" hidden="0"/>
    </dxf>
    <dxf>
      <protection locked="0" hidden="0"/>
    </dxf>
    <dxf>
      <protection locked="0" hidden="0"/>
    </dxf>
    <dxf>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979BA2-5FA0-47BC-B88F-AD5C45D85D62}" name="Table1" displayName="Table1" ref="A4:E29" totalsRowShown="0" dataDxfId="12">
  <autoFilter ref="A4:E29" xr:uid="{D7979BA2-5FA0-47BC-B88F-AD5C45D85D62}"/>
  <tableColumns count="5">
    <tableColumn id="2" xr3:uid="{99834B35-951E-4502-A771-3689BFB7D62F}" name="Name " dataDxfId="11"/>
    <tableColumn id="1" xr3:uid="{6AB9033E-F018-4C58-886E-9609663EFA86}" name="Role" dataDxfId="10"/>
    <tableColumn id="3" xr3:uid="{0419F9DE-D756-4638-A048-C435C33D4D34}" name="Title " dataDxfId="9"/>
    <tableColumn id="4" xr3:uid="{2F5FA33B-5CD4-42A0-9444-5EAD2A474103}" name="Email " dataDxfId="8"/>
    <tableColumn id="5" xr3:uid="{415C1599-E34E-4EAC-9960-CC647B2DD4C5}" name="Phone " dataDxfId="7"/>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0ED83-D47B-4F41-B910-6D2A63C600F2}">
  <dimension ref="A1"/>
  <sheetViews>
    <sheetView workbookViewId="0"/>
  </sheetViews>
  <sheetFormatPr defaultRowHeight="15" x14ac:dyDescent="0.25"/>
  <sheetData>
    <row r="1" spans="1:1" x14ac:dyDescent="0.25">
      <c r="A1" t="s">
        <v>417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6A51F-45BC-4E25-B367-60D0EF6583CD}">
  <dimension ref="A1:H66"/>
  <sheetViews>
    <sheetView workbookViewId="0">
      <selection activeCell="E7" sqref="E7"/>
    </sheetView>
  </sheetViews>
  <sheetFormatPr defaultRowHeight="15" x14ac:dyDescent="0.25"/>
  <cols>
    <col min="1" max="1" width="34.85546875" style="78" bestFit="1" customWidth="1"/>
    <col min="2" max="2" width="88.7109375" style="6" bestFit="1" customWidth="1"/>
    <col min="5" max="5" width="20.28515625" customWidth="1"/>
  </cols>
  <sheetData>
    <row r="1" spans="1:2" s="39" customFormat="1" x14ac:dyDescent="0.25">
      <c r="A1" s="71" t="s">
        <v>74</v>
      </c>
      <c r="B1" s="66" t="s">
        <v>75</v>
      </c>
    </row>
    <row r="2" spans="1:2" ht="30" x14ac:dyDescent="0.25">
      <c r="A2" s="72" t="s">
        <v>71</v>
      </c>
      <c r="B2" s="67" t="s">
        <v>76</v>
      </c>
    </row>
    <row r="3" spans="1:2" x14ac:dyDescent="0.25">
      <c r="A3" s="72" t="s">
        <v>17</v>
      </c>
      <c r="B3" s="67" t="s">
        <v>77</v>
      </c>
    </row>
    <row r="4" spans="1:2" x14ac:dyDescent="0.25">
      <c r="A4" s="72" t="s">
        <v>78</v>
      </c>
      <c r="B4" s="68" t="s">
        <v>79</v>
      </c>
    </row>
    <row r="5" spans="1:2" x14ac:dyDescent="0.25">
      <c r="A5" s="72" t="s">
        <v>80</v>
      </c>
      <c r="B5" s="68" t="s">
        <v>81</v>
      </c>
    </row>
    <row r="6" spans="1:2" x14ac:dyDescent="0.25">
      <c r="A6" s="72" t="s">
        <v>82</v>
      </c>
      <c r="B6" s="68" t="s">
        <v>83</v>
      </c>
    </row>
    <row r="7" spans="1:2" ht="45" x14ac:dyDescent="0.25">
      <c r="A7" s="72" t="s">
        <v>84</v>
      </c>
      <c r="B7" s="67" t="s">
        <v>85</v>
      </c>
    </row>
    <row r="8" spans="1:2" ht="45" x14ac:dyDescent="0.25">
      <c r="A8" s="72" t="s">
        <v>86</v>
      </c>
      <c r="B8" s="67" t="s">
        <v>87</v>
      </c>
    </row>
    <row r="9" spans="1:2" ht="45" x14ac:dyDescent="0.25">
      <c r="A9" s="72" t="s">
        <v>88</v>
      </c>
      <c r="B9" s="67" t="s">
        <v>89</v>
      </c>
    </row>
    <row r="10" spans="1:2" ht="45" x14ac:dyDescent="0.25">
      <c r="A10" s="73" t="s">
        <v>73</v>
      </c>
      <c r="B10" s="65" t="s">
        <v>90</v>
      </c>
    </row>
    <row r="11" spans="1:2" ht="45" x14ac:dyDescent="0.25">
      <c r="A11" s="74" t="s">
        <v>91</v>
      </c>
      <c r="B11" s="65" t="s">
        <v>92</v>
      </c>
    </row>
    <row r="12" spans="1:2" ht="60" x14ac:dyDescent="0.25">
      <c r="A12" s="74" t="s">
        <v>93</v>
      </c>
      <c r="B12" s="65" t="s">
        <v>94</v>
      </c>
    </row>
    <row r="13" spans="1:2" ht="45" x14ac:dyDescent="0.25">
      <c r="A13" s="74" t="s">
        <v>95</v>
      </c>
      <c r="B13" s="65" t="s">
        <v>96</v>
      </c>
    </row>
    <row r="14" spans="1:2" ht="30" x14ac:dyDescent="0.25">
      <c r="A14" s="74" t="s">
        <v>97</v>
      </c>
      <c r="B14" s="65" t="s">
        <v>98</v>
      </c>
    </row>
    <row r="15" spans="1:2" ht="30" x14ac:dyDescent="0.25">
      <c r="A15" s="74" t="s">
        <v>99</v>
      </c>
      <c r="B15" s="65" t="s">
        <v>100</v>
      </c>
    </row>
    <row r="16" spans="1:2" ht="45" x14ac:dyDescent="0.25">
      <c r="A16" s="74" t="s">
        <v>101</v>
      </c>
      <c r="B16" s="65" t="s">
        <v>102</v>
      </c>
    </row>
    <row r="17" spans="1:8" ht="30" x14ac:dyDescent="0.25">
      <c r="A17" s="74" t="s">
        <v>103</v>
      </c>
      <c r="B17" s="65" t="s">
        <v>104</v>
      </c>
    </row>
    <row r="18" spans="1:8" ht="45" x14ac:dyDescent="0.25">
      <c r="A18" s="74" t="s">
        <v>105</v>
      </c>
      <c r="B18" s="65" t="s">
        <v>106</v>
      </c>
    </row>
    <row r="19" spans="1:8" ht="30" x14ac:dyDescent="0.25">
      <c r="A19" s="74" t="s">
        <v>107</v>
      </c>
      <c r="B19" s="65" t="s">
        <v>108</v>
      </c>
    </row>
    <row r="20" spans="1:8" ht="45" x14ac:dyDescent="0.25">
      <c r="A20" s="74" t="s">
        <v>109</v>
      </c>
      <c r="B20" s="65" t="s">
        <v>110</v>
      </c>
    </row>
    <row r="21" spans="1:8" x14ac:dyDescent="0.25">
      <c r="A21" s="150" t="s">
        <v>111</v>
      </c>
      <c r="B21" s="151"/>
    </row>
    <row r="22" spans="1:8" ht="30" x14ac:dyDescent="0.25">
      <c r="A22" s="75" t="s">
        <v>112</v>
      </c>
      <c r="B22" s="67" t="s">
        <v>113</v>
      </c>
    </row>
    <row r="23" spans="1:8" x14ac:dyDescent="0.25">
      <c r="A23" s="75" t="s">
        <v>114</v>
      </c>
      <c r="B23" s="67" t="s">
        <v>115</v>
      </c>
    </row>
    <row r="24" spans="1:8" ht="30" x14ac:dyDescent="0.25">
      <c r="A24" s="75" t="s">
        <v>116</v>
      </c>
      <c r="B24" s="67" t="s">
        <v>117</v>
      </c>
    </row>
    <row r="25" spans="1:8" x14ac:dyDescent="0.25">
      <c r="A25" s="75" t="s">
        <v>118</v>
      </c>
      <c r="B25" s="67" t="s">
        <v>119</v>
      </c>
    </row>
    <row r="26" spans="1:8" x14ac:dyDescent="0.25">
      <c r="A26" s="75" t="s">
        <v>120</v>
      </c>
      <c r="B26" s="67" t="s">
        <v>121</v>
      </c>
    </row>
    <row r="27" spans="1:8" x14ac:dyDescent="0.25">
      <c r="A27" s="75" t="s">
        <v>122</v>
      </c>
      <c r="B27" s="67" t="s">
        <v>123</v>
      </c>
    </row>
    <row r="28" spans="1:8" x14ac:dyDescent="0.25">
      <c r="A28" s="150" t="s">
        <v>124</v>
      </c>
      <c r="B28" s="151"/>
      <c r="C28" s="4"/>
      <c r="D28" s="4"/>
      <c r="E28" s="4"/>
      <c r="F28" s="4"/>
      <c r="G28" s="4"/>
      <c r="H28" s="4"/>
    </row>
    <row r="29" spans="1:8" x14ac:dyDescent="0.25">
      <c r="A29" s="73" t="s">
        <v>125</v>
      </c>
      <c r="B29" s="65" t="s">
        <v>126</v>
      </c>
    </row>
    <row r="30" spans="1:8" x14ac:dyDescent="0.25">
      <c r="A30" s="74" t="s">
        <v>127</v>
      </c>
      <c r="B30" s="65" t="s">
        <v>128</v>
      </c>
    </row>
    <row r="31" spans="1:8" x14ac:dyDescent="0.25">
      <c r="A31" s="74" t="s">
        <v>129</v>
      </c>
      <c r="B31" s="65" t="s">
        <v>130</v>
      </c>
    </row>
    <row r="32" spans="1:8" ht="30" x14ac:dyDescent="0.25">
      <c r="A32" s="74" t="s">
        <v>131</v>
      </c>
      <c r="B32" s="65" t="s">
        <v>132</v>
      </c>
    </row>
    <row r="33" spans="1:2" ht="16.5" customHeight="1" x14ac:dyDescent="0.25">
      <c r="A33" s="76" t="s">
        <v>133</v>
      </c>
      <c r="B33" s="65" t="s">
        <v>134</v>
      </c>
    </row>
    <row r="34" spans="1:2" ht="16.5" customHeight="1" x14ac:dyDescent="0.25">
      <c r="A34" s="76" t="s">
        <v>135</v>
      </c>
      <c r="B34" s="65" t="s">
        <v>136</v>
      </c>
    </row>
    <row r="35" spans="1:2" ht="18.75" customHeight="1" x14ac:dyDescent="0.25">
      <c r="A35" s="75" t="s">
        <v>137</v>
      </c>
      <c r="B35" s="67" t="s">
        <v>138</v>
      </c>
    </row>
    <row r="36" spans="1:2" ht="30" x14ac:dyDescent="0.25">
      <c r="A36" s="75" t="s">
        <v>139</v>
      </c>
      <c r="B36" s="67" t="s">
        <v>140</v>
      </c>
    </row>
    <row r="37" spans="1:2" ht="30" x14ac:dyDescent="0.25">
      <c r="A37" s="75" t="s">
        <v>141</v>
      </c>
      <c r="B37" s="67" t="s">
        <v>142</v>
      </c>
    </row>
    <row r="38" spans="1:2" ht="18.75" customHeight="1" x14ac:dyDescent="0.25">
      <c r="A38" s="75" t="s">
        <v>143</v>
      </c>
      <c r="B38" s="67" t="s">
        <v>144</v>
      </c>
    </row>
    <row r="39" spans="1:2" ht="18.75" customHeight="1" x14ac:dyDescent="0.25">
      <c r="A39" s="77" t="s">
        <v>145</v>
      </c>
      <c r="B39" s="70" t="s">
        <v>146</v>
      </c>
    </row>
    <row r="40" spans="1:2" ht="18.75" customHeight="1" x14ac:dyDescent="0.25">
      <c r="A40" s="75" t="s">
        <v>147</v>
      </c>
      <c r="B40" s="67" t="s">
        <v>148</v>
      </c>
    </row>
    <row r="41" spans="1:2" ht="30" x14ac:dyDescent="0.25">
      <c r="A41" s="75" t="s">
        <v>149</v>
      </c>
      <c r="B41" s="67" t="s">
        <v>150</v>
      </c>
    </row>
    <row r="42" spans="1:2" x14ac:dyDescent="0.25">
      <c r="A42" s="150" t="s">
        <v>151</v>
      </c>
      <c r="B42" s="151"/>
    </row>
    <row r="43" spans="1:2" x14ac:dyDescent="0.25">
      <c r="A43" s="75" t="s">
        <v>152</v>
      </c>
      <c r="B43" s="67" t="s">
        <v>153</v>
      </c>
    </row>
    <row r="44" spans="1:2" x14ac:dyDescent="0.25">
      <c r="A44" s="75" t="s">
        <v>154</v>
      </c>
      <c r="B44" s="67" t="s">
        <v>155</v>
      </c>
    </row>
    <row r="45" spans="1:2" ht="30" x14ac:dyDescent="0.25">
      <c r="A45" s="75" t="s">
        <v>156</v>
      </c>
      <c r="B45" s="67" t="s">
        <v>157</v>
      </c>
    </row>
    <row r="46" spans="1:2" ht="30" x14ac:dyDescent="0.25">
      <c r="A46" s="75" t="s">
        <v>158</v>
      </c>
      <c r="B46" s="67" t="s">
        <v>159</v>
      </c>
    </row>
    <row r="47" spans="1:2" x14ac:dyDescent="0.25">
      <c r="A47" s="75" t="s">
        <v>160</v>
      </c>
      <c r="B47" s="67" t="s">
        <v>161</v>
      </c>
    </row>
    <row r="48" spans="1:2" x14ac:dyDescent="0.25">
      <c r="A48" s="150" t="s">
        <v>162</v>
      </c>
      <c r="B48" s="151"/>
    </row>
    <row r="49" spans="1:2" ht="45" x14ac:dyDescent="0.25">
      <c r="A49" s="75" t="s">
        <v>163</v>
      </c>
      <c r="B49" s="67" t="s">
        <v>164</v>
      </c>
    </row>
    <row r="50" spans="1:2" ht="60" x14ac:dyDescent="0.25">
      <c r="A50" s="75" t="s">
        <v>165</v>
      </c>
      <c r="B50" s="67" t="s">
        <v>166</v>
      </c>
    </row>
    <row r="51" spans="1:2" ht="30" x14ac:dyDescent="0.25">
      <c r="A51" s="75" t="s">
        <v>167</v>
      </c>
      <c r="B51" s="67" t="s">
        <v>168</v>
      </c>
    </row>
    <row r="52" spans="1:2" ht="30" x14ac:dyDescent="0.25">
      <c r="A52" s="77" t="s">
        <v>169</v>
      </c>
      <c r="B52" s="70" t="s">
        <v>170</v>
      </c>
    </row>
    <row r="53" spans="1:2" ht="30" x14ac:dyDescent="0.25">
      <c r="A53" s="75" t="s">
        <v>171</v>
      </c>
      <c r="B53" s="67" t="s">
        <v>172</v>
      </c>
    </row>
    <row r="54" spans="1:2" x14ac:dyDescent="0.25">
      <c r="A54" s="150" t="s">
        <v>173</v>
      </c>
      <c r="B54" s="151"/>
    </row>
    <row r="55" spans="1:2" x14ac:dyDescent="0.25">
      <c r="A55" s="75" t="s">
        <v>174</v>
      </c>
      <c r="B55" s="67" t="s">
        <v>175</v>
      </c>
    </row>
    <row r="56" spans="1:2" x14ac:dyDescent="0.25">
      <c r="A56" s="75" t="s">
        <v>176</v>
      </c>
      <c r="B56" s="67" t="s">
        <v>177</v>
      </c>
    </row>
    <row r="57" spans="1:2" ht="60" x14ac:dyDescent="0.25">
      <c r="A57" s="77" t="s">
        <v>178</v>
      </c>
      <c r="B57" s="70" t="s">
        <v>179</v>
      </c>
    </row>
    <row r="58" spans="1:2" x14ac:dyDescent="0.25">
      <c r="A58" s="150" t="s">
        <v>180</v>
      </c>
      <c r="B58" s="151"/>
    </row>
    <row r="59" spans="1:2" x14ac:dyDescent="0.25">
      <c r="A59" s="152" t="s">
        <v>181</v>
      </c>
      <c r="B59" s="153"/>
    </row>
    <row r="60" spans="1:2" x14ac:dyDescent="0.25">
      <c r="A60" s="150" t="s">
        <v>182</v>
      </c>
      <c r="B60" s="151"/>
    </row>
    <row r="61" spans="1:2" ht="45" x14ac:dyDescent="0.25">
      <c r="A61" s="75" t="s">
        <v>183</v>
      </c>
      <c r="B61" s="67" t="s">
        <v>184</v>
      </c>
    </row>
    <row r="62" spans="1:2" x14ac:dyDescent="0.25">
      <c r="A62" s="154" t="s">
        <v>185</v>
      </c>
      <c r="B62" s="155"/>
    </row>
    <row r="63" spans="1:2" x14ac:dyDescent="0.25">
      <c r="A63" s="150" t="s">
        <v>186</v>
      </c>
      <c r="B63" s="151"/>
    </row>
    <row r="64" spans="1:2" x14ac:dyDescent="0.25">
      <c r="A64" s="75" t="s">
        <v>187</v>
      </c>
      <c r="B64" s="69"/>
    </row>
    <row r="65" spans="1:2" x14ac:dyDescent="0.25">
      <c r="A65" s="75" t="s">
        <v>188</v>
      </c>
      <c r="B65" s="69"/>
    </row>
    <row r="66" spans="1:2" x14ac:dyDescent="0.25">
      <c r="A66" s="150" t="s">
        <v>189</v>
      </c>
      <c r="B66" s="151"/>
    </row>
  </sheetData>
  <sheetProtection sheet="1" objects="1" scenarios="1"/>
  <mergeCells count="11">
    <mergeCell ref="A66:B66"/>
    <mergeCell ref="A21:B21"/>
    <mergeCell ref="A28:B28"/>
    <mergeCell ref="A42:B42"/>
    <mergeCell ref="A48:B48"/>
    <mergeCell ref="A54:B54"/>
    <mergeCell ref="A58:B58"/>
    <mergeCell ref="A59:B59"/>
    <mergeCell ref="A62:B62"/>
    <mergeCell ref="A60:B60"/>
    <mergeCell ref="A63:B6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E87A5-FB4E-4910-9735-DDAC46808C30}">
  <dimension ref="A1:E29"/>
  <sheetViews>
    <sheetView workbookViewId="0">
      <pane xSplit="1" ySplit="4" topLeftCell="B5" activePane="bottomRight" state="frozen"/>
      <selection pane="topRight" activeCell="B1" sqref="B1"/>
      <selection pane="bottomLeft" activeCell="A5" sqref="A5"/>
      <selection pane="bottomRight" activeCell="A5" sqref="A5"/>
    </sheetView>
  </sheetViews>
  <sheetFormatPr defaultRowHeight="15" x14ac:dyDescent="0.25"/>
  <cols>
    <col min="1" max="1" width="47.5703125" customWidth="1"/>
    <col min="2" max="2" width="35.28515625" customWidth="1"/>
    <col min="3" max="3" width="28.28515625" customWidth="1"/>
    <col min="4" max="4" width="27" customWidth="1"/>
    <col min="5" max="5" width="35.28515625" customWidth="1"/>
  </cols>
  <sheetData>
    <row r="1" spans="1:5" ht="25.5" x14ac:dyDescent="0.25">
      <c r="A1" s="156" t="s">
        <v>444</v>
      </c>
      <c r="B1" s="156"/>
    </row>
    <row r="4" spans="1:5" x14ac:dyDescent="0.25">
      <c r="A4" t="s">
        <v>190</v>
      </c>
      <c r="B4" t="s">
        <v>493</v>
      </c>
      <c r="C4" t="s">
        <v>191</v>
      </c>
      <c r="D4" t="s">
        <v>192</v>
      </c>
      <c r="E4" t="s">
        <v>193</v>
      </c>
    </row>
    <row r="5" spans="1:5" x14ac:dyDescent="0.25">
      <c r="A5" s="104" t="s">
        <v>448</v>
      </c>
      <c r="B5" s="104" t="s">
        <v>494</v>
      </c>
      <c r="C5" s="104" t="s">
        <v>449</v>
      </c>
      <c r="D5" s="104" t="s">
        <v>450</v>
      </c>
      <c r="E5" s="104" t="s">
        <v>451</v>
      </c>
    </row>
    <row r="6" spans="1:5" x14ac:dyDescent="0.25">
      <c r="A6" s="104"/>
      <c r="B6" s="104"/>
      <c r="C6" s="104"/>
      <c r="D6" s="104"/>
      <c r="E6" s="104"/>
    </row>
    <row r="7" spans="1:5" x14ac:dyDescent="0.25">
      <c r="A7" s="104"/>
      <c r="B7" s="104"/>
      <c r="C7" s="104"/>
      <c r="D7" s="104"/>
      <c r="E7" s="104"/>
    </row>
    <row r="8" spans="1:5" x14ac:dyDescent="0.25">
      <c r="A8" s="104"/>
      <c r="B8" s="104"/>
      <c r="C8" s="104"/>
      <c r="D8" s="104"/>
      <c r="E8" s="104"/>
    </row>
    <row r="9" spans="1:5" x14ac:dyDescent="0.25">
      <c r="A9" s="104"/>
      <c r="B9" s="104"/>
      <c r="C9" s="104"/>
      <c r="D9" s="104"/>
      <c r="E9" s="104"/>
    </row>
    <row r="10" spans="1:5" x14ac:dyDescent="0.25">
      <c r="A10" s="104"/>
      <c r="B10" s="104"/>
      <c r="C10" s="104"/>
      <c r="D10" s="104"/>
      <c r="E10" s="104"/>
    </row>
    <row r="11" spans="1:5" x14ac:dyDescent="0.25">
      <c r="A11" s="104"/>
      <c r="B11" s="104"/>
      <c r="C11" s="104"/>
      <c r="D11" s="104"/>
      <c r="E11" s="104"/>
    </row>
    <row r="12" spans="1:5" x14ac:dyDescent="0.25">
      <c r="A12" s="104"/>
      <c r="B12" s="104"/>
      <c r="C12" s="104"/>
      <c r="D12" s="104"/>
      <c r="E12" s="104"/>
    </row>
    <row r="13" spans="1:5" x14ac:dyDescent="0.25">
      <c r="A13" s="104"/>
      <c r="B13" s="104"/>
      <c r="C13" s="104"/>
      <c r="D13" s="104"/>
      <c r="E13" s="104"/>
    </row>
    <row r="14" spans="1:5" x14ac:dyDescent="0.25">
      <c r="A14" s="104"/>
      <c r="B14" s="104"/>
      <c r="C14" s="104"/>
      <c r="D14" s="104"/>
      <c r="E14" s="104"/>
    </row>
    <row r="15" spans="1:5" x14ac:dyDescent="0.25">
      <c r="A15" s="104"/>
      <c r="B15" s="104"/>
      <c r="C15" s="104"/>
      <c r="D15" s="104"/>
      <c r="E15" s="104"/>
    </row>
    <row r="16" spans="1:5" x14ac:dyDescent="0.25">
      <c r="A16" s="104"/>
      <c r="B16" s="104"/>
      <c r="C16" s="104"/>
      <c r="D16" s="104"/>
      <c r="E16" s="104"/>
    </row>
    <row r="17" spans="1:5" x14ac:dyDescent="0.25">
      <c r="A17" s="104"/>
      <c r="B17" s="104"/>
      <c r="C17" s="104"/>
      <c r="D17" s="104"/>
      <c r="E17" s="104"/>
    </row>
    <row r="18" spans="1:5" x14ac:dyDescent="0.25">
      <c r="A18" s="104"/>
      <c r="B18" s="104"/>
      <c r="C18" s="104"/>
      <c r="D18" s="104"/>
      <c r="E18" s="104"/>
    </row>
    <row r="19" spans="1:5" x14ac:dyDescent="0.25">
      <c r="A19" s="104"/>
      <c r="B19" s="104"/>
      <c r="C19" s="104"/>
      <c r="D19" s="104"/>
      <c r="E19" s="104"/>
    </row>
    <row r="20" spans="1:5" x14ac:dyDescent="0.25">
      <c r="A20" s="104"/>
      <c r="B20" s="104"/>
      <c r="C20" s="104"/>
      <c r="D20" s="104"/>
      <c r="E20" s="104"/>
    </row>
    <row r="21" spans="1:5" x14ac:dyDescent="0.25">
      <c r="A21" s="104"/>
      <c r="B21" s="104"/>
      <c r="C21" s="104"/>
      <c r="D21" s="104"/>
      <c r="E21" s="104"/>
    </row>
    <row r="22" spans="1:5" x14ac:dyDescent="0.25">
      <c r="A22" s="104"/>
      <c r="B22" s="104"/>
      <c r="C22" s="104"/>
      <c r="D22" s="104"/>
      <c r="E22" s="104"/>
    </row>
    <row r="23" spans="1:5" x14ac:dyDescent="0.25">
      <c r="A23" s="104"/>
      <c r="B23" s="104"/>
      <c r="C23" s="104"/>
      <c r="D23" s="104"/>
      <c r="E23" s="104"/>
    </row>
    <row r="24" spans="1:5" x14ac:dyDescent="0.25">
      <c r="A24" s="104"/>
      <c r="B24" s="104"/>
      <c r="C24" s="104"/>
      <c r="D24" s="104"/>
      <c r="E24" s="104"/>
    </row>
    <row r="25" spans="1:5" x14ac:dyDescent="0.25">
      <c r="A25" s="104"/>
      <c r="B25" s="104"/>
      <c r="C25" s="104"/>
      <c r="D25" s="104"/>
      <c r="E25" s="104"/>
    </row>
    <row r="26" spans="1:5" x14ac:dyDescent="0.25">
      <c r="A26" s="104"/>
      <c r="B26" s="104"/>
      <c r="C26" s="104"/>
      <c r="D26" s="104"/>
      <c r="E26" s="104"/>
    </row>
    <row r="27" spans="1:5" x14ac:dyDescent="0.25">
      <c r="A27" s="104"/>
      <c r="B27" s="104"/>
      <c r="C27" s="104"/>
      <c r="D27" s="104"/>
      <c r="E27" s="104"/>
    </row>
    <row r="28" spans="1:5" x14ac:dyDescent="0.25">
      <c r="A28" s="104"/>
      <c r="B28" s="104"/>
      <c r="C28" s="104"/>
      <c r="D28" s="104"/>
      <c r="E28" s="104"/>
    </row>
    <row r="29" spans="1:5" x14ac:dyDescent="0.25">
      <c r="A29" s="104"/>
      <c r="B29" s="104"/>
      <c r="C29" s="104"/>
      <c r="D29" s="104"/>
      <c r="E29" s="104"/>
    </row>
  </sheetData>
  <sheetProtection formatColumns="0" formatRows="0"/>
  <mergeCells count="1">
    <mergeCell ref="A1:B1"/>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1B7FC53-60F4-4D32-9171-505B6887D568}">
          <x14:formula1>
            <xm:f>List!$B$32:$B$36</xm:f>
          </x14:formula1>
          <xm:sqref>B5:B29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8088B-80A4-45E3-8E27-8F767BFD2D92}">
  <sheetPr codeName="Sheet2"/>
  <dimension ref="A1:SC119"/>
  <sheetViews>
    <sheetView tabSelected="1" workbookViewId="0">
      <pane xSplit="3" ySplit="8" topLeftCell="M9" activePane="bottomRight" state="frozen"/>
      <selection pane="topRight" activeCell="D1" sqref="D1"/>
      <selection pane="bottomLeft" activeCell="A9" sqref="A9"/>
      <selection pane="bottomRight" activeCell="M5" sqref="M5"/>
    </sheetView>
  </sheetViews>
  <sheetFormatPr defaultColWidth="10.42578125" defaultRowHeight="14.25" customHeight="1" outlineLevelCol="1" x14ac:dyDescent="0.25"/>
  <cols>
    <col min="1" max="1" width="9.28515625" style="2" customWidth="1"/>
    <col min="2" max="2" width="39.42578125" style="2" customWidth="1"/>
    <col min="3" max="3" width="51" style="28" customWidth="1" collapsed="1"/>
    <col min="4" max="4" width="25" style="2" customWidth="1"/>
    <col min="5" max="5" width="29.7109375" style="2" customWidth="1"/>
    <col min="6" max="6" width="33.85546875" style="2" bestFit="1" customWidth="1"/>
    <col min="7" max="7" width="29.7109375" style="2" customWidth="1"/>
    <col min="8" max="9" width="15" style="2" customWidth="1"/>
    <col min="10" max="10" width="17.7109375" style="2" customWidth="1"/>
    <col min="11" max="11" width="15" style="2" customWidth="1"/>
    <col min="12" max="12" width="17.5703125" style="2" customWidth="1"/>
    <col min="13" max="13" width="15" style="2" customWidth="1"/>
    <col min="14" max="16" width="14.85546875" style="2" customWidth="1"/>
    <col min="17" max="17" width="14.85546875" style="2" customWidth="1" collapsed="1"/>
    <col min="18" max="22" width="14.85546875" style="2" customWidth="1"/>
    <col min="23" max="23" width="18.140625" style="2" customWidth="1"/>
    <col min="24" max="24" width="14.85546875" style="2" customWidth="1" collapsed="1"/>
    <col min="25" max="25" width="14.85546875" style="2" customWidth="1"/>
    <col min="26" max="27" width="23.42578125" style="2" customWidth="1"/>
    <col min="28" max="28" width="17.7109375" style="22" customWidth="1"/>
    <col min="29" max="29" width="39.140625" style="22" customWidth="1"/>
    <col min="30" max="30" width="28.5703125" style="22" customWidth="1"/>
    <col min="31" max="31" width="23.85546875" style="19" customWidth="1"/>
    <col min="32" max="32" width="16.85546875" style="19" customWidth="1"/>
    <col min="33" max="33" width="16.28515625" style="19" customWidth="1"/>
    <col min="34" max="34" width="15.5703125" style="19" customWidth="1"/>
    <col min="35" max="35" width="16.28515625" style="19" customWidth="1"/>
    <col min="36" max="42" width="20.42578125" style="28" hidden="1" customWidth="1" outlineLevel="1"/>
    <col min="43" max="43" width="17.7109375" style="28" hidden="1" customWidth="1" outlineLevel="1"/>
    <col min="44" max="44" width="50.5703125" customWidth="1" collapsed="1"/>
    <col min="45" max="67" width="42.7109375" customWidth="1"/>
    <col min="68" max="88" width="0" style="129" hidden="1" customWidth="1"/>
    <col min="89" max="497" width="10.42578125" style="129"/>
    <col min="498" max="16384" width="10.42578125" style="131"/>
  </cols>
  <sheetData>
    <row r="1" spans="1:497" s="127" customFormat="1" ht="30" x14ac:dyDescent="0.25">
      <c r="A1" s="103" t="s">
        <v>194</v>
      </c>
      <c r="B1" s="97"/>
      <c r="C1" s="37"/>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row>
    <row r="2" spans="1:497" s="127" customFormat="1" ht="43.5" customHeight="1" x14ac:dyDescent="0.25">
      <c r="A2" s="101" t="s">
        <v>485</v>
      </c>
      <c r="B2" s="102"/>
      <c r="C2" s="102"/>
      <c r="D2" s="26"/>
      <c r="E2" s="106" t="s">
        <v>487</v>
      </c>
      <c r="F2" s="106">
        <f>COLUMNS($D$3:$AI$3) - COUNTIF($D$3:$AI$3, "")</f>
        <v>1</v>
      </c>
      <c r="G2" s="26"/>
      <c r="H2" s="26"/>
      <c r="I2" s="26"/>
      <c r="J2" s="116" t="e">
        <f>IF($BQ$11,  "Date Missing Here", "")</f>
        <v>#VALUE!</v>
      </c>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row>
    <row r="3" spans="1:497" s="127" customFormat="1" ht="33.75" customHeight="1" thickBot="1" x14ac:dyDescent="0.3">
      <c r="A3" s="163" t="s">
        <v>228</v>
      </c>
      <c r="B3" s="163"/>
      <c r="C3" s="135" t="s">
        <v>379</v>
      </c>
      <c r="D3" s="26"/>
      <c r="E3" s="26"/>
      <c r="F3" s="26"/>
      <c r="G3" s="26"/>
      <c r="H3" s="105" t="str">
        <f>IF(COUNTBLANK($A$9:$A$100)=COUNTBLANK(H9:H100),"","Data Missing Here")</f>
        <v/>
      </c>
      <c r="I3" s="105" t="str">
        <f>IF(COUNTBLANK($A$9:$A$100)=COUNTBLANK(I9:I100),"","Data Missing Here")</f>
        <v/>
      </c>
      <c r="J3" s="118" t="s">
        <v>491</v>
      </c>
      <c r="K3" s="105" t="str">
        <f t="shared" ref="K3:Y3" si="0">IF(COUNTBLANK($A$9:$A$100)=COUNTBLANK(K9:K100),"","Date Missing Here")</f>
        <v/>
      </c>
      <c r="L3" s="105"/>
      <c r="M3" s="105" t="str">
        <f t="shared" si="0"/>
        <v/>
      </c>
      <c r="N3" s="105" t="str">
        <f t="shared" si="0"/>
        <v/>
      </c>
      <c r="O3" s="105" t="str">
        <f t="shared" si="0"/>
        <v/>
      </c>
      <c r="P3" s="105" t="str">
        <f t="shared" si="0"/>
        <v/>
      </c>
      <c r="Q3" s="105" t="str">
        <f t="shared" si="0"/>
        <v/>
      </c>
      <c r="R3" s="105" t="str">
        <f t="shared" si="0"/>
        <v/>
      </c>
      <c r="S3" s="105" t="str">
        <f t="shared" si="0"/>
        <v/>
      </c>
      <c r="T3" s="105" t="str">
        <f t="shared" si="0"/>
        <v/>
      </c>
      <c r="U3" s="105" t="str">
        <f t="shared" si="0"/>
        <v/>
      </c>
      <c r="V3" s="105" t="str">
        <f t="shared" si="0"/>
        <v/>
      </c>
      <c r="W3" s="105" t="str">
        <f t="shared" si="0"/>
        <v/>
      </c>
      <c r="X3" s="105" t="str">
        <f t="shared" si="0"/>
        <v/>
      </c>
      <c r="Y3" s="105" t="str">
        <f t="shared" si="0"/>
        <v/>
      </c>
      <c r="Z3" s="26"/>
      <c r="AA3" s="26"/>
      <c r="AB3" s="26"/>
      <c r="AC3" s="26"/>
      <c r="AD3" s="26"/>
      <c r="AE3" s="105" t="str">
        <f>IF(COUNTBLANK($A$9:$A$100)=COUNTBLANK(AE9:AE100),"","Data Missing Here")</f>
        <v/>
      </c>
      <c r="AF3" s="105" t="str">
        <f t="shared" ref="AF3:AI3" si="1">IF(COUNTBLANK($A$9:$A$100)=COUNTBLANK(AF9:AF100),"","Data Missing Here")</f>
        <v/>
      </c>
      <c r="AG3" s="105" t="str">
        <f t="shared" si="1"/>
        <v/>
      </c>
      <c r="AH3" s="105" t="str">
        <f t="shared" si="1"/>
        <v/>
      </c>
      <c r="AI3" s="105" t="str">
        <f t="shared" si="1"/>
        <v/>
      </c>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row>
    <row r="4" spans="1:497" s="130" customFormat="1" ht="24.75" customHeight="1" thickBot="1" x14ac:dyDescent="0.3">
      <c r="A4" s="160" t="s">
        <v>229</v>
      </c>
      <c r="B4" s="161"/>
      <c r="C4" s="161"/>
      <c r="D4" s="161"/>
      <c r="E4" s="161"/>
      <c r="F4" s="161"/>
      <c r="G4" s="162"/>
      <c r="H4" s="98" t="s">
        <v>238</v>
      </c>
      <c r="I4" s="99"/>
      <c r="J4" s="99"/>
      <c r="K4" s="99"/>
      <c r="L4" s="99"/>
      <c r="M4" s="98" t="s">
        <v>151</v>
      </c>
      <c r="N4" s="99"/>
      <c r="O4" s="99"/>
      <c r="P4" s="99"/>
      <c r="Q4" s="99"/>
      <c r="R4" s="99"/>
      <c r="S4" s="99"/>
      <c r="T4" s="160" t="s">
        <v>248</v>
      </c>
      <c r="U4" s="161"/>
      <c r="V4" s="162"/>
      <c r="W4" s="157" t="s">
        <v>173</v>
      </c>
      <c r="X4" s="158"/>
      <c r="Y4" s="159"/>
      <c r="Z4" s="166" t="s">
        <v>180</v>
      </c>
      <c r="AA4" s="167"/>
      <c r="AB4" s="167"/>
      <c r="AC4" s="167"/>
      <c r="AD4" s="167"/>
      <c r="AE4" s="164" t="s">
        <v>374</v>
      </c>
      <c r="AF4" s="165"/>
      <c r="AG4" s="165"/>
      <c r="AH4" s="165"/>
      <c r="AI4" s="165"/>
      <c r="AJ4" s="160" t="s">
        <v>277</v>
      </c>
      <c r="AK4" s="161"/>
      <c r="AL4" s="161"/>
      <c r="AM4" s="161"/>
      <c r="AN4" s="161"/>
      <c r="AO4" s="161"/>
      <c r="AP4" s="161"/>
      <c r="AQ4" s="162"/>
      <c r="AR4" s="164" t="s">
        <v>479</v>
      </c>
      <c r="AS4" s="165"/>
      <c r="AT4" s="165"/>
      <c r="AU4" s="165"/>
      <c r="AV4" s="165"/>
      <c r="AW4" s="85"/>
      <c r="AX4" s="85"/>
      <c r="AY4" s="85"/>
      <c r="AZ4" s="85"/>
      <c r="BA4" s="85"/>
      <c r="BB4" s="85"/>
      <c r="BC4" s="85"/>
      <c r="BD4" s="85"/>
      <c r="BE4" s="85"/>
      <c r="BF4" s="85"/>
      <c r="BG4" s="85"/>
      <c r="BH4" s="85"/>
      <c r="BI4" s="85"/>
      <c r="BJ4" s="85"/>
      <c r="BK4" s="85"/>
      <c r="BL4" s="85"/>
      <c r="BM4" s="85"/>
      <c r="BN4" s="85"/>
      <c r="BO4" s="95"/>
      <c r="BP4" s="129"/>
      <c r="BQ4" s="129"/>
      <c r="BR4" s="129"/>
      <c r="BS4" s="129"/>
      <c r="BT4" s="129"/>
      <c r="BU4" s="129"/>
      <c r="BV4" s="129"/>
      <c r="BW4" s="129"/>
      <c r="BX4" s="129"/>
      <c r="BY4" s="129"/>
      <c r="BZ4" s="129"/>
      <c r="CA4" s="129"/>
      <c r="CB4" s="129"/>
      <c r="CC4" s="129"/>
      <c r="CD4" s="129"/>
      <c r="CE4" s="129"/>
      <c r="CF4" s="129"/>
      <c r="CG4" s="129"/>
      <c r="CH4" s="129"/>
      <c r="CI4" s="129"/>
      <c r="CJ4" s="129"/>
      <c r="CK4" s="129"/>
      <c r="CL4" s="129"/>
      <c r="CM4" s="129"/>
      <c r="CN4" s="129"/>
      <c r="CO4" s="129"/>
      <c r="CP4" s="129"/>
      <c r="CQ4" s="129"/>
      <c r="CR4" s="129"/>
      <c r="CS4" s="129"/>
      <c r="CT4" s="129"/>
      <c r="CU4" s="129"/>
      <c r="CV4" s="129"/>
      <c r="CW4" s="129"/>
      <c r="CX4" s="129"/>
      <c r="CY4" s="129"/>
      <c r="CZ4" s="129"/>
      <c r="DA4" s="129"/>
      <c r="DB4" s="129"/>
      <c r="DC4" s="129"/>
      <c r="DD4" s="129"/>
      <c r="DE4" s="129"/>
      <c r="DF4" s="129"/>
      <c r="DG4" s="129"/>
      <c r="DH4" s="129"/>
      <c r="DI4" s="129"/>
      <c r="DJ4" s="129"/>
      <c r="DK4" s="129"/>
      <c r="DL4" s="129"/>
      <c r="DM4" s="129"/>
      <c r="DN4" s="129"/>
      <c r="DO4" s="129"/>
      <c r="DP4" s="129"/>
      <c r="DQ4" s="129"/>
      <c r="DR4" s="129"/>
      <c r="DS4" s="129"/>
      <c r="DT4" s="129"/>
      <c r="DU4" s="129"/>
      <c r="DV4" s="129"/>
      <c r="DW4" s="129"/>
      <c r="DX4" s="129"/>
      <c r="DY4" s="129"/>
      <c r="DZ4" s="129"/>
      <c r="EA4" s="129"/>
      <c r="EB4" s="129"/>
      <c r="EC4" s="129"/>
      <c r="ED4" s="129"/>
      <c r="EE4" s="129"/>
      <c r="EF4" s="129"/>
      <c r="EG4" s="129"/>
      <c r="EH4" s="129"/>
      <c r="EI4" s="129"/>
      <c r="EJ4" s="129"/>
      <c r="EK4" s="129"/>
      <c r="EL4" s="129"/>
      <c r="EM4" s="129"/>
      <c r="EN4" s="129"/>
      <c r="EO4" s="129"/>
      <c r="EP4" s="129"/>
      <c r="EQ4" s="129"/>
      <c r="ER4" s="129"/>
      <c r="ES4" s="129"/>
      <c r="ET4" s="129"/>
      <c r="EU4" s="129"/>
      <c r="EV4" s="129"/>
      <c r="EW4" s="129"/>
      <c r="EX4" s="129"/>
      <c r="EY4" s="129"/>
      <c r="EZ4" s="129"/>
      <c r="FA4" s="129"/>
      <c r="FB4" s="129"/>
      <c r="FC4" s="129"/>
      <c r="FD4" s="129"/>
      <c r="FE4" s="129"/>
      <c r="FF4" s="129"/>
      <c r="FG4" s="129"/>
      <c r="FH4" s="129"/>
      <c r="FI4" s="129"/>
      <c r="FJ4" s="129"/>
      <c r="FK4" s="129"/>
      <c r="FL4" s="129"/>
      <c r="FM4" s="129"/>
      <c r="FN4" s="129"/>
      <c r="FO4" s="129"/>
      <c r="FP4" s="129"/>
      <c r="FQ4" s="129"/>
      <c r="FR4" s="129"/>
      <c r="FS4" s="129"/>
      <c r="FT4" s="129"/>
      <c r="FU4" s="129"/>
      <c r="FV4" s="129"/>
      <c r="FW4" s="129"/>
      <c r="FX4" s="129"/>
      <c r="FY4" s="129"/>
      <c r="FZ4" s="129"/>
      <c r="GA4" s="129"/>
      <c r="GB4" s="129"/>
      <c r="GC4" s="129"/>
      <c r="GD4" s="129"/>
      <c r="GE4" s="129"/>
      <c r="GF4" s="129"/>
      <c r="GG4" s="129"/>
      <c r="GH4" s="129"/>
      <c r="GI4" s="129"/>
      <c r="GJ4" s="129"/>
      <c r="GK4" s="129"/>
      <c r="GL4" s="129"/>
      <c r="GM4" s="129"/>
      <c r="GN4" s="129"/>
      <c r="GO4" s="129"/>
      <c r="GP4" s="129"/>
      <c r="GQ4" s="129"/>
      <c r="GR4" s="129"/>
      <c r="GS4" s="129"/>
      <c r="GT4" s="129"/>
      <c r="GU4" s="129"/>
      <c r="GV4" s="129"/>
      <c r="GW4" s="129"/>
      <c r="GX4" s="129"/>
      <c r="GY4" s="129"/>
      <c r="GZ4" s="129"/>
      <c r="HA4" s="129"/>
      <c r="HB4" s="129"/>
      <c r="HC4" s="129"/>
      <c r="HD4" s="129"/>
      <c r="HE4" s="129"/>
      <c r="HF4" s="129"/>
      <c r="HG4" s="129"/>
      <c r="HH4" s="129"/>
      <c r="HI4" s="129"/>
      <c r="HJ4" s="129"/>
      <c r="HK4" s="129"/>
      <c r="HL4" s="129"/>
      <c r="HM4" s="129"/>
      <c r="HN4" s="129"/>
      <c r="HO4" s="129"/>
      <c r="HP4" s="129"/>
      <c r="HQ4" s="129"/>
      <c r="HR4" s="129"/>
      <c r="HS4" s="129"/>
      <c r="HT4" s="129"/>
      <c r="HU4" s="129"/>
      <c r="HV4" s="129"/>
      <c r="HW4" s="129"/>
      <c r="HX4" s="129"/>
      <c r="HY4" s="129"/>
      <c r="HZ4" s="129"/>
      <c r="IA4" s="129"/>
      <c r="IB4" s="129"/>
      <c r="IC4" s="129"/>
      <c r="ID4" s="129"/>
      <c r="IE4" s="129"/>
      <c r="IF4" s="129"/>
      <c r="IG4" s="129"/>
      <c r="IH4" s="129"/>
      <c r="II4" s="129"/>
      <c r="IJ4" s="129"/>
      <c r="IK4" s="129"/>
      <c r="IL4" s="129"/>
      <c r="IM4" s="129"/>
      <c r="IN4" s="129"/>
      <c r="IO4" s="129"/>
      <c r="IP4" s="129"/>
      <c r="IQ4" s="129"/>
      <c r="IR4" s="129"/>
      <c r="IS4" s="129"/>
      <c r="IT4" s="129"/>
      <c r="IU4" s="129"/>
      <c r="IV4" s="129"/>
      <c r="IW4" s="129"/>
      <c r="IX4" s="129"/>
      <c r="IY4" s="129"/>
      <c r="IZ4" s="129"/>
      <c r="JA4" s="129"/>
      <c r="JB4" s="129"/>
      <c r="JC4" s="129"/>
      <c r="JD4" s="129"/>
      <c r="JE4" s="129"/>
      <c r="JF4" s="129"/>
      <c r="JG4" s="129"/>
      <c r="JH4" s="129"/>
      <c r="JI4" s="129"/>
      <c r="JJ4" s="129"/>
      <c r="JK4" s="129"/>
      <c r="JL4" s="129"/>
      <c r="JM4" s="129"/>
      <c r="JN4" s="129"/>
      <c r="JO4" s="129"/>
      <c r="JP4" s="129"/>
      <c r="JQ4" s="129"/>
      <c r="JR4" s="129"/>
      <c r="JS4" s="129"/>
      <c r="JT4" s="129"/>
      <c r="JU4" s="129"/>
      <c r="JV4" s="129"/>
      <c r="JW4" s="129"/>
      <c r="JX4" s="129"/>
      <c r="JY4" s="129"/>
      <c r="JZ4" s="129"/>
      <c r="KA4" s="129"/>
      <c r="KB4" s="129"/>
      <c r="KC4" s="129"/>
      <c r="KD4" s="129"/>
      <c r="KE4" s="129"/>
      <c r="KF4" s="129"/>
      <c r="KG4" s="129"/>
      <c r="KH4" s="129"/>
      <c r="KI4" s="129"/>
      <c r="KJ4" s="129"/>
      <c r="KK4" s="129"/>
      <c r="KL4" s="129"/>
      <c r="KM4" s="129"/>
      <c r="KN4" s="129"/>
      <c r="KO4" s="129"/>
      <c r="KP4" s="129"/>
      <c r="KQ4" s="129"/>
      <c r="KR4" s="129"/>
      <c r="KS4" s="129"/>
      <c r="KT4" s="129"/>
      <c r="KU4" s="129"/>
      <c r="KV4" s="129"/>
      <c r="KW4" s="129"/>
      <c r="KX4" s="129"/>
      <c r="KY4" s="129"/>
      <c r="KZ4" s="129"/>
      <c r="LA4" s="129"/>
      <c r="LB4" s="129"/>
      <c r="LC4" s="129"/>
      <c r="LD4" s="129"/>
      <c r="LE4" s="129"/>
      <c r="LF4" s="129"/>
      <c r="LG4" s="129"/>
      <c r="LH4" s="129"/>
      <c r="LI4" s="129"/>
      <c r="LJ4" s="129"/>
      <c r="LK4" s="129"/>
      <c r="LL4" s="129"/>
      <c r="LM4" s="129"/>
      <c r="LN4" s="129"/>
      <c r="LO4" s="129"/>
      <c r="LP4" s="129"/>
      <c r="LQ4" s="129"/>
      <c r="LR4" s="129"/>
      <c r="LS4" s="129"/>
      <c r="LT4" s="129"/>
      <c r="LU4" s="129"/>
      <c r="LV4" s="129"/>
      <c r="LW4" s="129"/>
      <c r="LX4" s="129"/>
      <c r="LY4" s="129"/>
      <c r="LZ4" s="129"/>
      <c r="MA4" s="129"/>
      <c r="MB4" s="129"/>
      <c r="MC4" s="129"/>
      <c r="MD4" s="129"/>
      <c r="ME4" s="129"/>
      <c r="MF4" s="129"/>
      <c r="MG4" s="129"/>
      <c r="MH4" s="129"/>
      <c r="MI4" s="129"/>
      <c r="MJ4" s="129"/>
      <c r="MK4" s="129"/>
      <c r="ML4" s="129"/>
      <c r="MM4" s="129"/>
      <c r="MN4" s="129"/>
      <c r="MO4" s="129"/>
      <c r="MP4" s="129"/>
      <c r="MQ4" s="129"/>
      <c r="MR4" s="129"/>
      <c r="MS4" s="129"/>
      <c r="MT4" s="129"/>
      <c r="MU4" s="129"/>
      <c r="MV4" s="129"/>
      <c r="MW4" s="129"/>
      <c r="MX4" s="129"/>
      <c r="MY4" s="129"/>
      <c r="MZ4" s="129"/>
      <c r="NA4" s="129"/>
      <c r="NB4" s="129"/>
      <c r="NC4" s="129"/>
      <c r="ND4" s="129"/>
      <c r="NE4" s="129"/>
      <c r="NF4" s="129"/>
      <c r="NG4" s="129"/>
      <c r="NH4" s="129"/>
      <c r="NI4" s="129"/>
      <c r="NJ4" s="129"/>
      <c r="NK4" s="129"/>
      <c r="NL4" s="129"/>
      <c r="NM4" s="129"/>
      <c r="NN4" s="129"/>
      <c r="NO4" s="129"/>
      <c r="NP4" s="129"/>
      <c r="NQ4" s="129"/>
      <c r="NR4" s="129"/>
      <c r="NS4" s="129"/>
      <c r="NT4" s="129"/>
      <c r="NU4" s="129"/>
      <c r="NV4" s="129"/>
      <c r="NW4" s="129"/>
      <c r="NX4" s="129"/>
      <c r="NY4" s="129"/>
      <c r="NZ4" s="129"/>
      <c r="OA4" s="129"/>
      <c r="OB4" s="129"/>
      <c r="OC4" s="129"/>
      <c r="OD4" s="129"/>
      <c r="OE4" s="129"/>
      <c r="OF4" s="129"/>
      <c r="OG4" s="129"/>
      <c r="OH4" s="129"/>
      <c r="OI4" s="129"/>
      <c r="OJ4" s="129"/>
      <c r="OK4" s="129"/>
      <c r="OL4" s="129"/>
      <c r="OM4" s="129"/>
      <c r="ON4" s="129"/>
      <c r="OO4" s="129"/>
      <c r="OP4" s="129"/>
      <c r="OQ4" s="129"/>
      <c r="OR4" s="129"/>
      <c r="OS4" s="129"/>
      <c r="OT4" s="129"/>
      <c r="OU4" s="129"/>
      <c r="OV4" s="129"/>
      <c r="OW4" s="129"/>
      <c r="OX4" s="129"/>
      <c r="OY4" s="129"/>
      <c r="OZ4" s="129"/>
      <c r="PA4" s="129"/>
      <c r="PB4" s="129"/>
      <c r="PC4" s="129"/>
      <c r="PD4" s="129"/>
      <c r="PE4" s="129"/>
      <c r="PF4" s="129"/>
      <c r="PG4" s="129"/>
      <c r="PH4" s="129"/>
      <c r="PI4" s="129"/>
      <c r="PJ4" s="129"/>
      <c r="PK4" s="129"/>
      <c r="PL4" s="129"/>
      <c r="PM4" s="129"/>
      <c r="PN4" s="129"/>
      <c r="PO4" s="129"/>
      <c r="PP4" s="129"/>
      <c r="PQ4" s="129"/>
      <c r="PR4" s="129"/>
      <c r="PS4" s="129"/>
      <c r="PT4" s="129"/>
      <c r="PU4" s="129"/>
      <c r="PV4" s="129"/>
      <c r="PW4" s="129"/>
      <c r="PX4" s="129"/>
      <c r="PY4" s="129"/>
      <c r="PZ4" s="129"/>
      <c r="QA4" s="129"/>
      <c r="QB4" s="129"/>
      <c r="QC4" s="129"/>
      <c r="QD4" s="129"/>
      <c r="QE4" s="129"/>
      <c r="QF4" s="129"/>
      <c r="QG4" s="129"/>
      <c r="QH4" s="129"/>
      <c r="QI4" s="129"/>
      <c r="QJ4" s="129"/>
      <c r="QK4" s="129"/>
      <c r="QL4" s="129"/>
      <c r="QM4" s="129"/>
      <c r="QN4" s="129"/>
      <c r="QO4" s="129"/>
      <c r="QP4" s="129"/>
      <c r="QQ4" s="129"/>
      <c r="QR4" s="129"/>
      <c r="QS4" s="129"/>
      <c r="QT4" s="129"/>
      <c r="QU4" s="129"/>
      <c r="QV4" s="129"/>
      <c r="QW4" s="129"/>
      <c r="QX4" s="129"/>
      <c r="QY4" s="129"/>
      <c r="QZ4" s="129"/>
      <c r="RA4" s="129"/>
      <c r="RB4" s="129"/>
      <c r="RC4" s="129"/>
      <c r="RD4" s="129"/>
      <c r="RE4" s="129"/>
      <c r="RF4" s="129"/>
      <c r="RG4" s="129"/>
      <c r="RH4" s="129"/>
      <c r="RI4" s="129"/>
      <c r="RJ4" s="129"/>
      <c r="RK4" s="129"/>
      <c r="RL4" s="129"/>
      <c r="RM4" s="129"/>
      <c r="RN4" s="129"/>
      <c r="RO4" s="129"/>
      <c r="RP4" s="129"/>
      <c r="RQ4" s="129"/>
      <c r="RR4" s="129"/>
      <c r="RS4" s="129"/>
      <c r="RT4" s="129"/>
      <c r="RU4" s="129"/>
      <c r="RV4" s="129"/>
      <c r="RW4" s="129"/>
      <c r="RX4" s="129"/>
      <c r="RY4" s="129"/>
      <c r="RZ4" s="129"/>
      <c r="SA4" s="129"/>
      <c r="SB4" s="129"/>
      <c r="SC4" s="129"/>
    </row>
    <row r="5" spans="1:497" ht="15" x14ac:dyDescent="0.25">
      <c r="A5" s="44" t="str">
        <f>"Col "&amp;COLUMN()</f>
        <v>Col 1</v>
      </c>
      <c r="B5" s="44" t="str">
        <f t="shared" ref="B5:BO5" si="2">"Col "&amp;COLUMN()</f>
        <v>Col 2</v>
      </c>
      <c r="C5" s="44" t="str">
        <f t="shared" si="2"/>
        <v>Col 3</v>
      </c>
      <c r="D5" s="44" t="str">
        <f t="shared" si="2"/>
        <v>Col 4</v>
      </c>
      <c r="E5" s="44" t="str">
        <f t="shared" si="2"/>
        <v>Col 5</v>
      </c>
      <c r="F5" s="44" t="str">
        <f t="shared" si="2"/>
        <v>Col 6</v>
      </c>
      <c r="G5" s="44" t="str">
        <f t="shared" si="2"/>
        <v>Col 7</v>
      </c>
      <c r="H5" s="44" t="str">
        <f t="shared" si="2"/>
        <v>Col 8</v>
      </c>
      <c r="I5" s="44" t="str">
        <f t="shared" si="2"/>
        <v>Col 9</v>
      </c>
      <c r="J5" s="44" t="str">
        <f t="shared" si="2"/>
        <v>Col 10</v>
      </c>
      <c r="K5" s="44" t="str">
        <f t="shared" si="2"/>
        <v>Col 11</v>
      </c>
      <c r="L5" s="44" t="str">
        <f t="shared" si="2"/>
        <v>Col 12</v>
      </c>
      <c r="M5" s="44" t="str">
        <f t="shared" si="2"/>
        <v>Col 13</v>
      </c>
      <c r="N5" s="44" t="str">
        <f t="shared" si="2"/>
        <v>Col 14</v>
      </c>
      <c r="O5" s="44" t="str">
        <f t="shared" si="2"/>
        <v>Col 15</v>
      </c>
      <c r="P5" s="44" t="str">
        <f t="shared" si="2"/>
        <v>Col 16</v>
      </c>
      <c r="Q5" s="44" t="str">
        <f t="shared" si="2"/>
        <v>Col 17</v>
      </c>
      <c r="R5" s="44" t="str">
        <f t="shared" si="2"/>
        <v>Col 18</v>
      </c>
      <c r="S5" s="44" t="str">
        <f t="shared" si="2"/>
        <v>Col 19</v>
      </c>
      <c r="T5" s="44" t="str">
        <f t="shared" si="2"/>
        <v>Col 20</v>
      </c>
      <c r="U5" s="44" t="str">
        <f t="shared" si="2"/>
        <v>Col 21</v>
      </c>
      <c r="V5" s="44" t="str">
        <f t="shared" si="2"/>
        <v>Col 22</v>
      </c>
      <c r="W5" s="44" t="str">
        <f t="shared" si="2"/>
        <v>Col 23</v>
      </c>
      <c r="X5" s="44" t="str">
        <f t="shared" si="2"/>
        <v>Col 24</v>
      </c>
      <c r="Y5" s="44" t="str">
        <f t="shared" si="2"/>
        <v>Col 25</v>
      </c>
      <c r="Z5" s="44" t="str">
        <f t="shared" si="2"/>
        <v>Col 26</v>
      </c>
      <c r="AA5" s="44" t="str">
        <f t="shared" si="2"/>
        <v>Col 27</v>
      </c>
      <c r="AB5" s="44" t="str">
        <f t="shared" si="2"/>
        <v>Col 28</v>
      </c>
      <c r="AC5" s="44" t="str">
        <f t="shared" si="2"/>
        <v>Col 29</v>
      </c>
      <c r="AD5" s="44" t="str">
        <f t="shared" si="2"/>
        <v>Col 30</v>
      </c>
      <c r="AE5" s="44" t="str">
        <f t="shared" si="2"/>
        <v>Col 31</v>
      </c>
      <c r="AF5" s="44" t="str">
        <f t="shared" si="2"/>
        <v>Col 32</v>
      </c>
      <c r="AG5" s="44" t="str">
        <f t="shared" si="2"/>
        <v>Col 33</v>
      </c>
      <c r="AH5" s="44" t="str">
        <f t="shared" si="2"/>
        <v>Col 34</v>
      </c>
      <c r="AI5" s="44" t="str">
        <f t="shared" si="2"/>
        <v>Col 35</v>
      </c>
      <c r="AJ5" s="44" t="str">
        <f t="shared" si="2"/>
        <v>Col 36</v>
      </c>
      <c r="AK5" s="44"/>
      <c r="AL5" s="44"/>
      <c r="AM5" s="44"/>
      <c r="AN5" s="44"/>
      <c r="AO5" s="44"/>
      <c r="AP5" s="44"/>
      <c r="AQ5" s="44" t="str">
        <f t="shared" si="2"/>
        <v>Col 43</v>
      </c>
      <c r="AR5" s="44" t="str">
        <f t="shared" si="2"/>
        <v>Col 44</v>
      </c>
      <c r="AS5" s="44" t="str">
        <f t="shared" si="2"/>
        <v>Col 45</v>
      </c>
      <c r="AT5" s="44" t="str">
        <f t="shared" si="2"/>
        <v>Col 46</v>
      </c>
      <c r="AU5" s="44" t="str">
        <f t="shared" si="2"/>
        <v>Col 47</v>
      </c>
      <c r="AV5" s="44" t="str">
        <f t="shared" si="2"/>
        <v>Col 48</v>
      </c>
      <c r="AW5" s="44" t="str">
        <f t="shared" si="2"/>
        <v>Col 49</v>
      </c>
      <c r="AX5" s="44" t="str">
        <f t="shared" si="2"/>
        <v>Col 50</v>
      </c>
      <c r="AY5" s="44" t="str">
        <f t="shared" si="2"/>
        <v>Col 51</v>
      </c>
      <c r="AZ5" s="44" t="str">
        <f t="shared" si="2"/>
        <v>Col 52</v>
      </c>
      <c r="BA5" s="44" t="str">
        <f t="shared" si="2"/>
        <v>Col 53</v>
      </c>
      <c r="BB5" s="44" t="str">
        <f t="shared" si="2"/>
        <v>Col 54</v>
      </c>
      <c r="BC5" s="44" t="str">
        <f t="shared" si="2"/>
        <v>Col 55</v>
      </c>
      <c r="BD5" s="44" t="str">
        <f t="shared" si="2"/>
        <v>Col 56</v>
      </c>
      <c r="BE5" s="44" t="str">
        <f t="shared" si="2"/>
        <v>Col 57</v>
      </c>
      <c r="BF5" s="44" t="str">
        <f t="shared" si="2"/>
        <v>Col 58</v>
      </c>
      <c r="BG5" s="44" t="str">
        <f t="shared" si="2"/>
        <v>Col 59</v>
      </c>
      <c r="BH5" s="44" t="str">
        <f t="shared" si="2"/>
        <v>Col 60</v>
      </c>
      <c r="BI5" s="44" t="str">
        <f t="shared" si="2"/>
        <v>Col 61</v>
      </c>
      <c r="BJ5" s="44" t="str">
        <f t="shared" si="2"/>
        <v>Col 62</v>
      </c>
      <c r="BK5" s="44" t="str">
        <f t="shared" si="2"/>
        <v>Col 63</v>
      </c>
      <c r="BL5" s="44" t="str">
        <f t="shared" si="2"/>
        <v>Col 64</v>
      </c>
      <c r="BM5" s="44" t="str">
        <f t="shared" si="2"/>
        <v>Col 65</v>
      </c>
      <c r="BN5" s="44" t="str">
        <f t="shared" si="2"/>
        <v>Col 66</v>
      </c>
      <c r="BO5" s="120" t="str">
        <f t="shared" si="2"/>
        <v>Col 67</v>
      </c>
    </row>
    <row r="6" spans="1:497" ht="60.75" customHeight="1" x14ac:dyDescent="0.25">
      <c r="A6" s="46" t="s">
        <v>1</v>
      </c>
      <c r="B6" s="96" t="s">
        <v>2</v>
      </c>
      <c r="C6" s="59" t="s">
        <v>377</v>
      </c>
      <c r="D6" s="46" t="s">
        <v>72</v>
      </c>
      <c r="E6" s="46" t="s">
        <v>86</v>
      </c>
      <c r="F6" s="47" t="s">
        <v>372</v>
      </c>
      <c r="G6" s="47" t="s">
        <v>234</v>
      </c>
      <c r="H6" s="48" t="s">
        <v>239</v>
      </c>
      <c r="I6" s="46" t="s">
        <v>143</v>
      </c>
      <c r="J6" s="48" t="s">
        <v>240</v>
      </c>
      <c r="K6" s="48" t="s">
        <v>241</v>
      </c>
      <c r="L6" s="46" t="s">
        <v>147</v>
      </c>
      <c r="M6" s="46" t="s">
        <v>246</v>
      </c>
      <c r="N6" s="46" t="s">
        <v>247</v>
      </c>
      <c r="O6" s="46" t="s">
        <v>49</v>
      </c>
      <c r="P6" s="46" t="s">
        <v>373</v>
      </c>
      <c r="Q6" s="46" t="s">
        <v>158</v>
      </c>
      <c r="R6" s="46" t="s">
        <v>245</v>
      </c>
      <c r="S6" s="46" t="s">
        <v>481</v>
      </c>
      <c r="T6" s="46" t="s">
        <v>285</v>
      </c>
      <c r="U6" s="46" t="s">
        <v>249</v>
      </c>
      <c r="V6" s="48" t="s">
        <v>250</v>
      </c>
      <c r="W6" s="46" t="s">
        <v>174</v>
      </c>
      <c r="X6" s="46" t="s">
        <v>251</v>
      </c>
      <c r="Y6" s="46" t="s">
        <v>362</v>
      </c>
      <c r="Z6" s="46" t="s">
        <v>419</v>
      </c>
      <c r="AA6" s="46" t="s">
        <v>376</v>
      </c>
      <c r="AB6" s="46" t="s">
        <v>365</v>
      </c>
      <c r="AC6" s="46" t="s">
        <v>366</v>
      </c>
      <c r="AD6" s="46" t="s">
        <v>367</v>
      </c>
      <c r="AE6" s="47" t="s">
        <v>183</v>
      </c>
      <c r="AF6" s="47" t="s">
        <v>375</v>
      </c>
      <c r="AG6" s="47" t="s">
        <v>368</v>
      </c>
      <c r="AH6" s="47" t="s">
        <v>369</v>
      </c>
      <c r="AI6" s="47" t="s">
        <v>370</v>
      </c>
      <c r="AJ6" s="46" t="s">
        <v>278</v>
      </c>
      <c r="AK6" s="46" t="s">
        <v>279</v>
      </c>
      <c r="AL6" s="46" t="s">
        <v>280</v>
      </c>
      <c r="AM6" s="46" t="s">
        <v>196</v>
      </c>
      <c r="AN6" s="46" t="s">
        <v>197</v>
      </c>
      <c r="AO6" s="46" t="s">
        <v>198</v>
      </c>
      <c r="AP6" s="46" t="s">
        <v>199</v>
      </c>
      <c r="AQ6" s="46" t="s">
        <v>283</v>
      </c>
      <c r="AR6" s="59" t="str">
        <f>"*((tbl*((meeting_minutes_heading"&amp;AR9</f>
        <v>*((tbl*((meeting_minutes_heading*((col*((meeting_minutes_minus_1</v>
      </c>
      <c r="AS6" s="59" t="str">
        <f>AS9</f>
        <v>*((col*((meeting_minutes_minus_2</v>
      </c>
      <c r="AT6" s="59" t="str">
        <f t="shared" ref="AT6:BO6" si="3">AT9</f>
        <v>*((col*((meeting_minutes_minus_3</v>
      </c>
      <c r="AU6" s="59" t="str">
        <f t="shared" si="3"/>
        <v>*((col*((meeting_minutes_minus_4</v>
      </c>
      <c r="AV6" s="59" t="str">
        <f t="shared" si="3"/>
        <v>*((col*((meeting_minutes_minus_5</v>
      </c>
      <c r="AW6" s="59" t="str">
        <f t="shared" si="3"/>
        <v>*((col*((meeting_minutes_minus_6</v>
      </c>
      <c r="AX6" s="59" t="str">
        <f t="shared" si="3"/>
        <v>*((col*((meeting_minutes_minus_7</v>
      </c>
      <c r="AY6" s="59" t="str">
        <f t="shared" si="3"/>
        <v>*((col*((meeting_minutes_minus_8</v>
      </c>
      <c r="AZ6" s="59" t="str">
        <f t="shared" si="3"/>
        <v>*((col*((meeting_minutes_minus_9</v>
      </c>
      <c r="BA6" s="59" t="str">
        <f t="shared" si="3"/>
        <v>*((col*((meeting_minutes_minus_10</v>
      </c>
      <c r="BB6" s="59" t="str">
        <f t="shared" si="3"/>
        <v>*((col*((meeting_minutes_minus_11</v>
      </c>
      <c r="BC6" s="59" t="str">
        <f t="shared" si="3"/>
        <v>*((col*((meeting_minutes_minus_12</v>
      </c>
      <c r="BD6" s="59" t="str">
        <f t="shared" si="3"/>
        <v>*((col*((meeting_minutes_minus_13</v>
      </c>
      <c r="BE6" s="59" t="str">
        <f t="shared" si="3"/>
        <v>*((col*((meeting_minutes_minus_14</v>
      </c>
      <c r="BF6" s="59" t="str">
        <f t="shared" si="3"/>
        <v>*((col*((meeting_minutes_minus_15</v>
      </c>
      <c r="BG6" s="59" t="str">
        <f t="shared" si="3"/>
        <v>*((col*((meeting_minutes_minus_16</v>
      </c>
      <c r="BH6" s="59" t="str">
        <f t="shared" si="3"/>
        <v>*((col*((meeting_minutes_minus_17</v>
      </c>
      <c r="BI6" s="59" t="str">
        <f t="shared" si="3"/>
        <v>*((col*((meeting_minutes_minus_18</v>
      </c>
      <c r="BJ6" s="59" t="str">
        <f t="shared" si="3"/>
        <v>*((col*((meeting_minutes_minus_19</v>
      </c>
      <c r="BK6" s="59" t="str">
        <f t="shared" si="3"/>
        <v>*((col*((meeting_minutes_minus_20</v>
      </c>
      <c r="BL6" s="59" t="str">
        <f t="shared" si="3"/>
        <v>*((col*((meeting_minutes_minus_21</v>
      </c>
      <c r="BM6" s="59" t="str">
        <f t="shared" si="3"/>
        <v>*((col*((meeting_minutes_minus_22</v>
      </c>
      <c r="BN6" s="59" t="str">
        <f t="shared" si="3"/>
        <v>*((col*((meeting_minutes_minus_23</v>
      </c>
      <c r="BO6" s="121" t="str">
        <f t="shared" si="3"/>
        <v>*((col*((meeting_minutes_minus_24</v>
      </c>
      <c r="BQ6" s="133" t="s">
        <v>480</v>
      </c>
      <c r="BS6" s="129" t="s">
        <v>488</v>
      </c>
      <c r="BT6" s="132" t="str">
        <f>'Project Commitment'!M4</f>
        <v>Site Purchase Date</v>
      </c>
      <c r="BU6" s="132" t="str">
        <f>'Project Commitment'!N4</f>
        <v xml:space="preserve">Space Template Approval Date </v>
      </c>
      <c r="BV6" s="132" t="str">
        <f>'Project Commitment'!O4</f>
        <v xml:space="preserve">Child Care Floorplan Approval - Date </v>
      </c>
      <c r="BW6" s="132" t="str">
        <f>'Project Commitment'!P4</f>
        <v>Site Plan Submission Date</v>
      </c>
      <c r="BX6" s="132" t="str">
        <f>'Project Commitment'!Q4</f>
        <v>Site Plan Approval Date</v>
      </c>
      <c r="BY6" s="132" t="str">
        <f>'Project Commitment'!R4</f>
        <v>Build Permit Obtained</v>
      </c>
      <c r="BZ6" s="132" t="str">
        <f>'Project Commitment'!S4</f>
        <v>Pre-Tender Check-In Date</v>
      </c>
      <c r="CA6" s="132" t="str">
        <f>'Project Commitment'!T4</f>
        <v xml:space="preserve">Tender Issued Date </v>
      </c>
      <c r="CB6" s="132" t="str">
        <f>'Project Commitment'!U4</f>
        <v>Tender Closed</v>
      </c>
      <c r="CC6" s="132" t="str">
        <f>'Project Commitment'!V4</f>
        <v>Post-Tender Check-In</v>
      </c>
      <c r="CD6" s="132" t="str">
        <f>'Project Commitment'!W4</f>
        <v>Contract Awarded</v>
      </c>
      <c r="CE6" s="132" t="str">
        <f>'Project Commitment'!X4</f>
        <v>Construction Start - Date</v>
      </c>
      <c r="CF6" s="132" t="str">
        <f>'Project Commitment'!Y4</f>
        <v>Substantial Completion</v>
      </c>
      <c r="CG6" s="132" t="str">
        <f>'Project Commitment'!Z4</f>
        <v xml:space="preserve">School Opening Date </v>
      </c>
      <c r="CH6" s="132" t="str">
        <f>'Project Commitment'!AA4</f>
        <v>Child Care Opening Date</v>
      </c>
      <c r="CI6" s="132" t="str">
        <f>'Project Commitment'!AB4</f>
        <v>Financial Close-Out</v>
      </c>
      <c r="CJ6" s="132"/>
      <c r="CK6" s="132"/>
      <c r="CL6" s="132"/>
      <c r="CM6" s="132"/>
      <c r="CN6" s="132"/>
      <c r="CO6" s="132"/>
      <c r="CP6" s="132"/>
    </row>
    <row r="7" spans="1:497" ht="62.25" hidden="1" customHeight="1" x14ac:dyDescent="0.25">
      <c r="A7" s="30" t="s">
        <v>3</v>
      </c>
      <c r="B7" s="31" t="s">
        <v>4</v>
      </c>
      <c r="C7" s="3"/>
      <c r="D7" s="31" t="s">
        <v>200</v>
      </c>
      <c r="E7" s="32" t="s">
        <v>201</v>
      </c>
      <c r="F7" s="32"/>
      <c r="G7" s="32"/>
      <c r="H7" s="29"/>
      <c r="I7" s="29"/>
      <c r="J7" s="29"/>
      <c r="K7" s="29"/>
      <c r="L7" s="29"/>
      <c r="M7" s="38"/>
      <c r="N7" s="29"/>
      <c r="O7" s="29"/>
      <c r="P7" s="29"/>
      <c r="Q7" s="29"/>
      <c r="R7" s="45"/>
      <c r="S7" s="29"/>
      <c r="T7" s="29"/>
      <c r="U7" s="29"/>
      <c r="V7" s="29"/>
      <c r="W7" s="29"/>
      <c r="X7" s="29"/>
      <c r="Y7" s="29"/>
      <c r="Z7" s="29"/>
      <c r="AA7" s="29"/>
      <c r="AB7" s="29" t="s">
        <v>202</v>
      </c>
      <c r="AC7" s="29" t="s">
        <v>203</v>
      </c>
      <c r="AD7" s="29" t="s">
        <v>204</v>
      </c>
      <c r="AE7" s="33" t="s">
        <v>205</v>
      </c>
      <c r="AF7" s="33"/>
      <c r="AG7" s="33"/>
      <c r="AH7" s="33"/>
      <c r="AI7" s="33" t="s">
        <v>206</v>
      </c>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122"/>
    </row>
    <row r="8" spans="1:497" ht="5.25" customHeight="1" x14ac:dyDescent="0.25">
      <c r="A8" s="11"/>
      <c r="B8" s="12"/>
      <c r="C8" s="10"/>
      <c r="D8" s="12"/>
      <c r="E8" s="13"/>
      <c r="F8" s="17"/>
      <c r="G8" s="17"/>
      <c r="H8" s="14"/>
      <c r="I8" s="14"/>
      <c r="J8" s="14"/>
      <c r="K8" s="14"/>
      <c r="L8" s="14"/>
      <c r="M8" s="14"/>
      <c r="N8" s="14"/>
      <c r="O8" s="14"/>
      <c r="P8" s="14"/>
      <c r="Q8" s="14"/>
      <c r="R8" s="14"/>
      <c r="S8" s="14"/>
      <c r="T8" s="14"/>
      <c r="U8" s="14"/>
      <c r="V8" s="14"/>
      <c r="W8" s="14"/>
      <c r="X8" s="14"/>
      <c r="Y8" s="14"/>
      <c r="Z8" s="14"/>
      <c r="AA8" s="14"/>
      <c r="AB8" s="14"/>
      <c r="AC8" s="14"/>
      <c r="AD8" s="14"/>
      <c r="AE8" s="16"/>
      <c r="AF8" s="16"/>
      <c r="AG8" s="16"/>
      <c r="AH8" s="16"/>
      <c r="AI8" s="16"/>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23"/>
    </row>
    <row r="9" spans="1:497" ht="15.6" customHeight="1" x14ac:dyDescent="0.25">
      <c r="A9" s="90" t="s">
        <v>378</v>
      </c>
      <c r="B9" s="134" t="s">
        <v>413</v>
      </c>
      <c r="C9" s="117" t="s">
        <v>412</v>
      </c>
      <c r="D9" s="80" t="s">
        <v>380</v>
      </c>
      <c r="E9" s="80" t="s">
        <v>381</v>
      </c>
      <c r="F9" s="91" t="s">
        <v>382</v>
      </c>
      <c r="G9" s="80" t="s">
        <v>383</v>
      </c>
      <c r="H9" s="18" t="s">
        <v>384</v>
      </c>
      <c r="I9" s="91" t="s">
        <v>386</v>
      </c>
      <c r="J9" s="147" t="s">
        <v>414</v>
      </c>
      <c r="K9" s="147" t="s">
        <v>385</v>
      </c>
      <c r="L9" s="147" t="s">
        <v>388</v>
      </c>
      <c r="M9" s="147" t="s">
        <v>415</v>
      </c>
      <c r="N9" t="s">
        <v>436</v>
      </c>
      <c r="O9" s="147" t="s">
        <v>389</v>
      </c>
      <c r="P9" s="147" t="s">
        <v>387</v>
      </c>
      <c r="Q9" s="147" t="s">
        <v>390</v>
      </c>
      <c r="R9" s="147" t="s">
        <v>391</v>
      </c>
      <c r="S9" s="147" t="s">
        <v>438</v>
      </c>
      <c r="T9" s="147" t="s">
        <v>437</v>
      </c>
      <c r="U9" s="147" t="s">
        <v>418</v>
      </c>
      <c r="V9" s="147" t="s">
        <v>392</v>
      </c>
      <c r="W9" s="147" t="s">
        <v>393</v>
      </c>
      <c r="X9" s="147" t="s">
        <v>416</v>
      </c>
      <c r="Y9" s="147" t="s">
        <v>394</v>
      </c>
      <c r="Z9" s="83" t="s">
        <v>421</v>
      </c>
      <c r="AA9" s="83" t="s">
        <v>395</v>
      </c>
      <c r="AB9" s="83" t="s">
        <v>396</v>
      </c>
      <c r="AC9" s="83" t="s">
        <v>397</v>
      </c>
      <c r="AD9" s="83" t="s">
        <v>398</v>
      </c>
      <c r="AE9" s="91" t="s">
        <v>399</v>
      </c>
      <c r="AF9" s="136" t="s">
        <v>400</v>
      </c>
      <c r="AG9" s="136" t="s">
        <v>401</v>
      </c>
      <c r="AH9" s="136" t="s">
        <v>402</v>
      </c>
      <c r="AI9" s="136" t="s">
        <v>403</v>
      </c>
      <c r="AJ9" s="91" t="s">
        <v>404</v>
      </c>
      <c r="AK9" s="91" t="s">
        <v>405</v>
      </c>
      <c r="AL9" s="91" t="s">
        <v>406</v>
      </c>
      <c r="AM9" s="91" t="s">
        <v>407</v>
      </c>
      <c r="AN9" s="91" t="s">
        <v>408</v>
      </c>
      <c r="AO9" s="91" t="s">
        <v>409</v>
      </c>
      <c r="AP9" s="91" t="s">
        <v>410</v>
      </c>
      <c r="AQ9" s="91" t="s">
        <v>411</v>
      </c>
      <c r="AR9" s="148" t="s">
        <v>455</v>
      </c>
      <c r="AS9" s="148" t="s">
        <v>456</v>
      </c>
      <c r="AT9" s="148" t="s">
        <v>457</v>
      </c>
      <c r="AU9" s="148" t="s">
        <v>458</v>
      </c>
      <c r="AV9" s="148" t="s">
        <v>459</v>
      </c>
      <c r="AW9" s="148" t="s">
        <v>460</v>
      </c>
      <c r="AX9" s="148" t="s">
        <v>461</v>
      </c>
      <c r="AY9" s="148" t="s">
        <v>462</v>
      </c>
      <c r="AZ9" s="148" t="s">
        <v>463</v>
      </c>
      <c r="BA9" s="148" t="s">
        <v>464</v>
      </c>
      <c r="BB9" s="148" t="s">
        <v>465</v>
      </c>
      <c r="BC9" s="148" t="s">
        <v>466</v>
      </c>
      <c r="BD9" s="148" t="s">
        <v>467</v>
      </c>
      <c r="BE9" s="148" t="s">
        <v>468</v>
      </c>
      <c r="BF9" s="148" t="s">
        <v>469</v>
      </c>
      <c r="BG9" s="148" t="s">
        <v>470</v>
      </c>
      <c r="BH9" s="148" t="s">
        <v>471</v>
      </c>
      <c r="BI9" s="148" t="s">
        <v>472</v>
      </c>
      <c r="BJ9" s="148" t="s">
        <v>473</v>
      </c>
      <c r="BK9" s="148" t="s">
        <v>474</v>
      </c>
      <c r="BL9" s="148" t="s">
        <v>475</v>
      </c>
      <c r="BM9" s="148" t="s">
        <v>476</v>
      </c>
      <c r="BN9" s="148" t="s">
        <v>477</v>
      </c>
      <c r="BO9" s="149" t="s">
        <v>478</v>
      </c>
      <c r="BR9" s="119" t="s">
        <v>490</v>
      </c>
      <c r="BS9" s="129" t="s">
        <v>489</v>
      </c>
      <c r="BT9" s="129" t="str">
        <f>"*((col*((temp_formula_"&amp;COLUMN()&amp;"*((formula*((down"</f>
        <v>*((col*((temp_formula_72*((formula*((down</v>
      </c>
      <c r="BU9" s="129" t="str">
        <f t="shared" ref="BU9:CI9" si="4">"*((col*((temp_formula_"&amp;COLUMN()&amp;"*((formula*((down"</f>
        <v>*((col*((temp_formula_73*((formula*((down</v>
      </c>
      <c r="BV9" s="129" t="str">
        <f t="shared" si="4"/>
        <v>*((col*((temp_formula_74*((formula*((down</v>
      </c>
      <c r="BW9" s="129" t="str">
        <f t="shared" si="4"/>
        <v>*((col*((temp_formula_75*((formula*((down</v>
      </c>
      <c r="BX9" s="129" t="str">
        <f t="shared" si="4"/>
        <v>*((col*((temp_formula_76*((formula*((down</v>
      </c>
      <c r="BY9" s="129" t="str">
        <f t="shared" si="4"/>
        <v>*((col*((temp_formula_77*((formula*((down</v>
      </c>
      <c r="BZ9" s="129" t="str">
        <f t="shared" si="4"/>
        <v>*((col*((temp_formula_78*((formula*((down</v>
      </c>
      <c r="CA9" s="129" t="str">
        <f t="shared" si="4"/>
        <v>*((col*((temp_formula_79*((formula*((down</v>
      </c>
      <c r="CB9" s="129" t="str">
        <f t="shared" si="4"/>
        <v>*((col*((temp_formula_80*((formula*((down</v>
      </c>
      <c r="CC9" s="129" t="str">
        <f t="shared" si="4"/>
        <v>*((col*((temp_formula_81*((formula*((down</v>
      </c>
      <c r="CD9" s="129" t="str">
        <f t="shared" si="4"/>
        <v>*((col*((temp_formula_82*((formula*((down</v>
      </c>
      <c r="CE9" s="129" t="str">
        <f t="shared" si="4"/>
        <v>*((col*((temp_formula_83*((formula*((down</v>
      </c>
      <c r="CF9" s="129" t="str">
        <f t="shared" si="4"/>
        <v>*((col*((temp_formula_84*((formula*((down</v>
      </c>
      <c r="CG9" s="129" t="str">
        <f t="shared" si="4"/>
        <v>*((col*((temp_formula_85*((formula*((down</v>
      </c>
      <c r="CH9" s="129" t="str">
        <f t="shared" si="4"/>
        <v>*((col*((temp_formula_86*((formula*((down</v>
      </c>
      <c r="CI9" s="129" t="str">
        <f t="shared" si="4"/>
        <v>*((col*((temp_formula_87*((formula*((down</v>
      </c>
    </row>
    <row r="10" spans="1:497" ht="15.6" customHeight="1" x14ac:dyDescent="0.25">
      <c r="A10" s="15"/>
      <c r="B10" s="80"/>
      <c r="C10" s="42"/>
      <c r="D10" s="43"/>
      <c r="E10" s="43"/>
      <c r="F10" s="81"/>
      <c r="G10" s="43" t="str" cm="1">
        <f t="array" ref="G10">_xlfn.IFS($C$3&gt;Y10, "Complete", $C$3&gt;W10, "Open", $C$3&gt;U10, "Under Construction", TRUE, "Planning")</f>
        <v>Complete</v>
      </c>
      <c r="H10" s="9"/>
      <c r="I10" s="9"/>
      <c r="J10" s="137"/>
      <c r="K10" s="137"/>
      <c r="L10" s="137"/>
      <c r="M10" s="137"/>
      <c r="N10" s="137"/>
      <c r="O10" s="137"/>
      <c r="P10" s="137"/>
      <c r="Q10" s="137"/>
      <c r="R10" s="137"/>
      <c r="S10" s="137"/>
      <c r="T10" s="137"/>
      <c r="U10" s="137"/>
      <c r="V10" s="137"/>
      <c r="W10" s="137"/>
      <c r="X10" s="137"/>
      <c r="Y10" s="137"/>
      <c r="Z10" s="83">
        <f>SUM(AA10:AD10)</f>
        <v>0</v>
      </c>
      <c r="AA10" s="83"/>
      <c r="AB10" s="83"/>
      <c r="AC10" s="83"/>
      <c r="AD10" s="83"/>
      <c r="AE10" s="20"/>
      <c r="AF10" s="8"/>
      <c r="AG10" s="8"/>
      <c r="AH10" s="40"/>
      <c r="AI10" s="8"/>
      <c r="AJ10" s="42"/>
      <c r="AK10" s="8"/>
      <c r="AL10" s="8"/>
      <c r="AM10" s="42"/>
      <c r="AN10" s="42"/>
      <c r="AO10" s="42"/>
      <c r="AP10" s="42"/>
      <c r="AQ10" s="8"/>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124"/>
      <c r="BR10" s="129">
        <f>IF(AND(J10="", A10&lt;&gt;"", H10&lt;&gt;"Site Purchased Prior to Capital Approval"), 1, 0)</f>
        <v>0</v>
      </c>
      <c r="BT10" s="129">
        <f>_xlfn.XLOOKUP($A10, 'Project Commitment'!$A:$A, 'Project Commitment'!M:M, "")</f>
        <v>0</v>
      </c>
      <c r="BU10" s="129">
        <f>_xlfn.XLOOKUP($A10, 'Project Commitment'!$A:$A, 'Project Commitment'!N:N, "")</f>
        <v>0</v>
      </c>
      <c r="BV10" s="129">
        <f>_xlfn.XLOOKUP($A10, 'Project Commitment'!$A:$A, 'Project Commitment'!O:O, "")</f>
        <v>0</v>
      </c>
      <c r="BW10" s="129">
        <f>_xlfn.XLOOKUP($A10, 'Project Commitment'!$A:$A, 'Project Commitment'!P:P, "")</f>
        <v>0</v>
      </c>
      <c r="BX10" s="129">
        <f>_xlfn.XLOOKUP($A10, 'Project Commitment'!$A:$A, 'Project Commitment'!Q:Q, "")</f>
        <v>0</v>
      </c>
      <c r="BY10" s="129">
        <f>_xlfn.XLOOKUP($A10, 'Project Commitment'!$A:$A, 'Project Commitment'!R:R, "")</f>
        <v>0</v>
      </c>
      <c r="BZ10" s="129">
        <f>_xlfn.XLOOKUP($A10, 'Project Commitment'!$A:$A, 'Project Commitment'!S:S, "")</f>
        <v>0</v>
      </c>
      <c r="CA10" s="129">
        <f>_xlfn.XLOOKUP($A10, 'Project Commitment'!$A:$A, 'Project Commitment'!T:T, "")</f>
        <v>0</v>
      </c>
      <c r="CB10" s="129">
        <f>_xlfn.XLOOKUP($A10, 'Project Commitment'!$A:$A, 'Project Commitment'!U:U, "")</f>
        <v>0</v>
      </c>
      <c r="CC10" s="129">
        <f>_xlfn.XLOOKUP($A10, 'Project Commitment'!$A:$A, 'Project Commitment'!V:V, "")</f>
        <v>0</v>
      </c>
      <c r="CD10" s="129">
        <f>_xlfn.XLOOKUP($A10, 'Project Commitment'!$A:$A, 'Project Commitment'!W:W, "")</f>
        <v>0</v>
      </c>
      <c r="CE10" s="129">
        <f>_xlfn.XLOOKUP($A10, 'Project Commitment'!$A:$A, 'Project Commitment'!X:X, "")</f>
        <v>0</v>
      </c>
      <c r="CF10" s="129">
        <f>_xlfn.XLOOKUP($A10, 'Project Commitment'!$A:$A, 'Project Commitment'!Y:Y, "")</f>
        <v>0</v>
      </c>
      <c r="CG10" s="129">
        <f>_xlfn.XLOOKUP($A10, 'Project Commitment'!$A:$A, 'Project Commitment'!Z:Z, "")</f>
        <v>0</v>
      </c>
      <c r="CH10" s="129">
        <f>_xlfn.XLOOKUP($A10, 'Project Commitment'!$A:$A, 'Project Commitment'!AA:AA, "")</f>
        <v>0</v>
      </c>
      <c r="CI10" s="129">
        <f>_xlfn.XLOOKUP($A10, 'Project Commitment'!$A:$A, 'Project Commitment'!AB:AB, "")</f>
        <v>0</v>
      </c>
    </row>
    <row r="11" spans="1:497" ht="15.6" customHeight="1" x14ac:dyDescent="0.25">
      <c r="A11" s="107"/>
      <c r="B11" s="81"/>
      <c r="C11" s="81"/>
      <c r="D11" s="108"/>
      <c r="E11" s="108"/>
      <c r="F11" s="81"/>
      <c r="G11" s="108"/>
      <c r="H11" s="82"/>
      <c r="I11" s="82"/>
      <c r="J11" s="109"/>
      <c r="K11" s="109"/>
      <c r="L11" s="109"/>
      <c r="M11" s="109"/>
      <c r="N11" s="109"/>
      <c r="O11" s="109"/>
      <c r="P11" s="109"/>
      <c r="Q11" s="109"/>
      <c r="R11" s="109"/>
      <c r="S11" s="109"/>
      <c r="T11" s="109"/>
      <c r="U11" s="109"/>
      <c r="V11" s="109"/>
      <c r="W11" s="109"/>
      <c r="X11" s="109"/>
      <c r="Y11" s="109"/>
      <c r="Z11" s="41"/>
      <c r="AA11" s="41"/>
      <c r="AB11" s="41"/>
      <c r="AC11" s="41"/>
      <c r="AD11" s="41"/>
      <c r="AE11" s="110"/>
      <c r="AF11" s="81"/>
      <c r="AG11" s="81"/>
      <c r="AH11" s="111"/>
      <c r="AI11" s="81"/>
      <c r="AJ11" s="112"/>
      <c r="AK11" s="81"/>
      <c r="AL11" s="81"/>
      <c r="AM11" s="112"/>
      <c r="AN11" s="112"/>
      <c r="AO11" s="112"/>
      <c r="AP11" s="112"/>
      <c r="AQ11" s="81"/>
      <c r="AR11" s="81"/>
      <c r="AS11" s="81"/>
      <c r="AT11" s="81"/>
      <c r="AU11" s="81"/>
      <c r="AV11" s="81"/>
      <c r="AW11" s="81"/>
      <c r="AX11" s="81"/>
      <c r="AY11" s="81"/>
      <c r="AZ11" s="81"/>
      <c r="BA11" s="81"/>
      <c r="BB11" s="81"/>
      <c r="BC11" s="81"/>
      <c r="BD11" s="81"/>
      <c r="BE11" s="81"/>
      <c r="BF11" s="81"/>
      <c r="BG11" s="81"/>
      <c r="BH11" s="81"/>
      <c r="BI11" s="81"/>
      <c r="BJ11" s="81"/>
      <c r="BK11" s="81"/>
      <c r="BL11" s="81"/>
      <c r="BM11" s="81"/>
      <c r="BN11" s="81"/>
      <c r="BO11" s="125"/>
      <c r="BQ11" s="129" t="s">
        <v>492</v>
      </c>
    </row>
    <row r="12" spans="1:497" ht="15.6" customHeight="1" x14ac:dyDescent="0.25">
      <c r="A12" s="107"/>
      <c r="B12" s="81"/>
      <c r="C12" s="81"/>
      <c r="D12" s="108"/>
      <c r="E12" s="108"/>
      <c r="F12" s="81"/>
      <c r="G12" s="108"/>
      <c r="H12" s="82"/>
      <c r="I12" s="82"/>
      <c r="J12" s="109"/>
      <c r="K12" s="109"/>
      <c r="L12" s="109"/>
      <c r="M12" s="109"/>
      <c r="N12" s="109"/>
      <c r="O12" s="109"/>
      <c r="P12" s="109"/>
      <c r="Q12" s="109"/>
      <c r="R12" s="109"/>
      <c r="S12" s="109"/>
      <c r="T12" s="109"/>
      <c r="U12" s="109"/>
      <c r="V12" s="109"/>
      <c r="W12" s="109"/>
      <c r="X12" s="109"/>
      <c r="Y12" s="109"/>
      <c r="Z12" s="41"/>
      <c r="AA12" s="41"/>
      <c r="AB12" s="41"/>
      <c r="AC12" s="41"/>
      <c r="AD12" s="41"/>
      <c r="AE12" s="81"/>
      <c r="AF12" s="81"/>
      <c r="AG12" s="81"/>
      <c r="AH12" s="111"/>
      <c r="AI12" s="81"/>
      <c r="AJ12" s="112"/>
      <c r="AK12" s="81"/>
      <c r="AL12" s="81"/>
      <c r="AM12" s="112"/>
      <c r="AN12" s="112"/>
      <c r="AO12" s="112"/>
      <c r="AP12" s="112"/>
      <c r="AQ12" s="81"/>
      <c r="AR12" s="81"/>
      <c r="AS12" s="81"/>
      <c r="AT12" s="81"/>
      <c r="AU12" s="81"/>
      <c r="AV12" s="81"/>
      <c r="AW12" s="81"/>
      <c r="AX12" s="81"/>
      <c r="AY12" s="81"/>
      <c r="AZ12" s="81"/>
      <c r="BA12" s="81"/>
      <c r="BB12" s="81"/>
      <c r="BC12" s="81"/>
      <c r="BD12" s="81"/>
      <c r="BE12" s="81"/>
      <c r="BF12" s="81"/>
      <c r="BG12" s="81"/>
      <c r="BH12" s="81"/>
      <c r="BI12" s="81"/>
      <c r="BJ12" s="81"/>
      <c r="BK12" s="81"/>
      <c r="BL12" s="81"/>
      <c r="BM12" s="81"/>
      <c r="BN12" s="81"/>
      <c r="BO12" s="125"/>
      <c r="BQ12" s="128" t="b">
        <f>SUM($BR$9:$BR$100) &lt;&gt;0</f>
        <v>0</v>
      </c>
    </row>
    <row r="13" spans="1:497" ht="15.6" customHeight="1" x14ac:dyDescent="0.25">
      <c r="A13" s="114"/>
      <c r="B13" s="81"/>
      <c r="C13" s="81"/>
      <c r="D13" s="81"/>
      <c r="E13" s="81"/>
      <c r="F13" s="81"/>
      <c r="G13" s="81"/>
      <c r="H13" s="82"/>
      <c r="I13" s="82"/>
      <c r="J13" s="82"/>
      <c r="K13" s="82"/>
      <c r="L13" s="82"/>
      <c r="M13" s="82"/>
      <c r="N13" s="82"/>
      <c r="O13" s="82"/>
      <c r="P13" s="82"/>
      <c r="Q13" s="82"/>
      <c r="R13" s="82"/>
      <c r="S13" s="82"/>
      <c r="T13" s="82"/>
      <c r="U13" s="82"/>
      <c r="V13" s="82"/>
      <c r="W13" s="82"/>
      <c r="X13" s="82"/>
      <c r="Y13" s="82"/>
      <c r="Z13" s="82"/>
      <c r="AA13" s="82"/>
      <c r="AB13" s="41"/>
      <c r="AC13" s="21"/>
      <c r="AD13" s="41"/>
      <c r="AE13" s="81"/>
      <c r="AF13" s="81"/>
      <c r="AG13" s="81"/>
      <c r="AH13" s="115"/>
      <c r="AI13" s="81"/>
      <c r="AJ13" s="112"/>
      <c r="AK13" s="81"/>
      <c r="AL13" s="81"/>
      <c r="AM13" s="112"/>
      <c r="AN13" s="112"/>
      <c r="AO13" s="112"/>
      <c r="AP13" s="112"/>
      <c r="AQ13" s="81"/>
      <c r="AR13" s="81"/>
      <c r="AS13" s="81"/>
      <c r="AT13" s="81"/>
      <c r="AU13" s="81"/>
      <c r="AV13" s="81"/>
      <c r="AW13" s="81"/>
      <c r="AX13" s="81"/>
      <c r="AY13" s="81"/>
      <c r="AZ13" s="81"/>
      <c r="BA13" s="81"/>
      <c r="BB13" s="81"/>
      <c r="BC13" s="81"/>
      <c r="BD13" s="81"/>
      <c r="BE13" s="81"/>
      <c r="BF13" s="81"/>
      <c r="BG13" s="81"/>
      <c r="BH13" s="81"/>
      <c r="BI13" s="81"/>
      <c r="BJ13" s="81"/>
      <c r="BK13" s="81"/>
      <c r="BL13" s="81"/>
      <c r="BM13" s="81"/>
      <c r="BN13" s="81"/>
      <c r="BO13" s="125"/>
    </row>
    <row r="14" spans="1:497" ht="15.6" customHeight="1" x14ac:dyDescent="0.25">
      <c r="A14" s="114"/>
      <c r="B14" s="81"/>
      <c r="C14" s="81"/>
      <c r="D14" s="81"/>
      <c r="E14" s="81"/>
      <c r="F14" s="81"/>
      <c r="G14" s="81"/>
      <c r="H14" s="82"/>
      <c r="I14" s="82"/>
      <c r="J14" s="82"/>
      <c r="K14" s="82"/>
      <c r="L14" s="82"/>
      <c r="M14" s="82"/>
      <c r="N14" s="82"/>
      <c r="O14" s="82"/>
      <c r="P14" s="82"/>
      <c r="Q14" s="82"/>
      <c r="R14" s="82"/>
      <c r="S14" s="82"/>
      <c r="T14" s="82"/>
      <c r="U14" s="82"/>
      <c r="V14" s="82"/>
      <c r="W14" s="82"/>
      <c r="X14" s="82"/>
      <c r="Y14" s="82"/>
      <c r="Z14" s="82"/>
      <c r="AA14" s="82"/>
      <c r="AB14" s="82"/>
      <c r="AC14" s="82"/>
      <c r="AD14" s="21"/>
      <c r="AE14" s="81"/>
      <c r="AF14" s="81"/>
      <c r="AG14" s="81"/>
      <c r="AH14" s="81"/>
      <c r="AI14" s="81"/>
      <c r="AJ14" s="112"/>
      <c r="AK14" s="81"/>
      <c r="AL14" s="81"/>
      <c r="AM14" s="112"/>
      <c r="AN14" s="112"/>
      <c r="AO14" s="112"/>
      <c r="AP14" s="112"/>
      <c r="AQ14" s="81"/>
      <c r="AR14" s="81"/>
      <c r="AS14" s="81"/>
      <c r="AT14" s="81"/>
      <c r="AU14" s="81"/>
      <c r="AV14" s="81"/>
      <c r="AW14" s="81"/>
      <c r="AX14" s="81"/>
      <c r="AY14" s="81"/>
      <c r="AZ14" s="81"/>
      <c r="BA14" s="81"/>
      <c r="BB14" s="81"/>
      <c r="BC14" s="81"/>
      <c r="BD14" s="81"/>
      <c r="BE14" s="81"/>
      <c r="BF14" s="81"/>
      <c r="BG14" s="81"/>
      <c r="BH14" s="81"/>
      <c r="BI14" s="81"/>
      <c r="BJ14" s="81"/>
      <c r="BK14" s="81"/>
      <c r="BL14" s="81"/>
      <c r="BM14" s="81"/>
      <c r="BN14" s="81"/>
      <c r="BO14" s="125"/>
    </row>
    <row r="15" spans="1:497" ht="15.6" customHeight="1" x14ac:dyDescent="0.25">
      <c r="A15" s="114"/>
      <c r="B15" s="81"/>
      <c r="C15" s="81"/>
      <c r="D15" s="81"/>
      <c r="E15" s="81"/>
      <c r="F15" s="81"/>
      <c r="G15" s="81"/>
      <c r="H15" s="82"/>
      <c r="I15" s="82"/>
      <c r="J15" s="82"/>
      <c r="K15" s="82"/>
      <c r="L15" s="82"/>
      <c r="M15" s="82"/>
      <c r="N15" s="82"/>
      <c r="O15" s="82"/>
      <c r="P15" s="82"/>
      <c r="Q15" s="82"/>
      <c r="R15" s="82"/>
      <c r="S15" s="82"/>
      <c r="T15" s="82"/>
      <c r="U15" s="82"/>
      <c r="V15" s="82"/>
      <c r="W15" s="82"/>
      <c r="X15" s="82"/>
      <c r="Y15" s="82"/>
      <c r="Z15" s="82"/>
      <c r="AA15" s="82"/>
      <c r="AB15" s="82"/>
      <c r="AC15" s="82"/>
      <c r="AD15" s="21"/>
      <c r="AE15" s="81"/>
      <c r="AF15" s="81"/>
      <c r="AG15" s="81"/>
      <c r="AH15" s="81"/>
      <c r="AI15" s="81"/>
      <c r="AJ15" s="112"/>
      <c r="AK15" s="81"/>
      <c r="AL15" s="81"/>
      <c r="AM15" s="112"/>
      <c r="AN15" s="112"/>
      <c r="AO15" s="112"/>
      <c r="AP15" s="112"/>
      <c r="AQ15" s="81"/>
      <c r="AR15" s="81"/>
      <c r="AS15" s="81"/>
      <c r="AT15" s="81"/>
      <c r="AU15" s="81"/>
      <c r="AV15" s="81"/>
      <c r="AW15" s="81"/>
      <c r="AX15" s="81"/>
      <c r="AY15" s="81"/>
      <c r="AZ15" s="81"/>
      <c r="BA15" s="81"/>
      <c r="BB15" s="81"/>
      <c r="BC15" s="81"/>
      <c r="BD15" s="81"/>
      <c r="BE15" s="81"/>
      <c r="BF15" s="81"/>
      <c r="BG15" s="81"/>
      <c r="BH15" s="81"/>
      <c r="BI15" s="81"/>
      <c r="BJ15" s="81"/>
      <c r="BK15" s="81"/>
      <c r="BL15" s="81"/>
      <c r="BM15" s="81"/>
      <c r="BN15" s="81"/>
      <c r="BO15" s="125"/>
    </row>
    <row r="16" spans="1:497" ht="15.6" customHeight="1" x14ac:dyDescent="0.25">
      <c r="A16" s="114"/>
      <c r="B16" s="81"/>
      <c r="C16" s="81"/>
      <c r="D16" s="81"/>
      <c r="E16" s="81"/>
      <c r="F16" s="81"/>
      <c r="G16" s="81"/>
      <c r="H16" s="82"/>
      <c r="I16" s="82"/>
      <c r="J16" s="82"/>
      <c r="K16" s="82"/>
      <c r="L16" s="82"/>
      <c r="M16" s="82"/>
      <c r="N16" s="82"/>
      <c r="O16" s="82"/>
      <c r="P16" s="82"/>
      <c r="Q16" s="82"/>
      <c r="R16" s="82"/>
      <c r="S16" s="82"/>
      <c r="T16" s="82"/>
      <c r="U16" s="82"/>
      <c r="V16" s="82"/>
      <c r="W16" s="82"/>
      <c r="X16" s="82"/>
      <c r="Y16" s="82"/>
      <c r="Z16" s="82"/>
      <c r="AA16" s="82"/>
      <c r="AB16" s="82"/>
      <c r="AC16" s="82"/>
      <c r="AD16" s="21"/>
      <c r="AE16" s="81"/>
      <c r="AF16" s="81"/>
      <c r="AG16" s="81"/>
      <c r="AH16" s="81"/>
      <c r="AI16" s="81"/>
      <c r="AJ16" s="112"/>
      <c r="AK16" s="81"/>
      <c r="AL16" s="81"/>
      <c r="AM16" s="112"/>
      <c r="AN16" s="112"/>
      <c r="AO16" s="112"/>
      <c r="AP16" s="112"/>
      <c r="AQ16" s="81"/>
      <c r="AR16" s="81"/>
      <c r="AS16" s="81"/>
      <c r="AT16" s="81"/>
      <c r="AU16" s="81"/>
      <c r="AV16" s="81"/>
      <c r="AW16" s="81"/>
      <c r="AX16" s="81"/>
      <c r="AY16" s="81"/>
      <c r="AZ16" s="81"/>
      <c r="BA16" s="81"/>
      <c r="BB16" s="81"/>
      <c r="BC16" s="81"/>
      <c r="BD16" s="81"/>
      <c r="BE16" s="81"/>
      <c r="BF16" s="81"/>
      <c r="BG16" s="81"/>
      <c r="BH16" s="81"/>
      <c r="BI16" s="81"/>
      <c r="BJ16" s="81"/>
      <c r="BK16" s="81"/>
      <c r="BL16" s="81"/>
      <c r="BM16" s="81"/>
      <c r="BN16" s="81"/>
      <c r="BO16" s="125"/>
    </row>
    <row r="17" spans="1:67" ht="15.6" customHeight="1" x14ac:dyDescent="0.25">
      <c r="A17" s="114"/>
      <c r="B17" s="81"/>
      <c r="C17" s="81"/>
      <c r="D17" s="81"/>
      <c r="E17" s="81"/>
      <c r="F17" s="81"/>
      <c r="G17" s="81"/>
      <c r="H17" s="82"/>
      <c r="I17" s="82"/>
      <c r="J17" s="82"/>
      <c r="K17" s="82"/>
      <c r="L17" s="82"/>
      <c r="M17" s="82"/>
      <c r="N17" s="82"/>
      <c r="O17" s="82"/>
      <c r="P17" s="82"/>
      <c r="Q17" s="82"/>
      <c r="R17" s="82"/>
      <c r="S17" s="82"/>
      <c r="T17" s="82"/>
      <c r="U17" s="82"/>
      <c r="V17" s="82"/>
      <c r="W17" s="82"/>
      <c r="X17" s="82"/>
      <c r="Y17" s="82"/>
      <c r="Z17" s="60"/>
      <c r="AA17" s="60"/>
      <c r="AB17" s="60"/>
      <c r="AC17" s="60"/>
      <c r="AD17" s="60"/>
      <c r="AE17" s="81"/>
      <c r="AF17" s="81"/>
      <c r="AG17" s="81"/>
      <c r="AH17" s="81"/>
      <c r="AI17" s="81"/>
      <c r="AJ17" s="112"/>
      <c r="AK17" s="81"/>
      <c r="AL17" s="81"/>
      <c r="AM17" s="112"/>
      <c r="AN17" s="112"/>
      <c r="AO17" s="112"/>
      <c r="AP17" s="112"/>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125"/>
    </row>
    <row r="18" spans="1:67" ht="15.6" customHeight="1" x14ac:dyDescent="0.25">
      <c r="A18" s="114"/>
      <c r="B18" s="81"/>
      <c r="C18" s="81"/>
      <c r="D18" s="81"/>
      <c r="E18" s="81"/>
      <c r="F18" s="81"/>
      <c r="G18" s="81"/>
      <c r="H18" s="82"/>
      <c r="I18" s="82"/>
      <c r="J18" s="82"/>
      <c r="K18" s="82"/>
      <c r="L18" s="82"/>
      <c r="M18" s="82"/>
      <c r="N18" s="82"/>
      <c r="O18" s="82"/>
      <c r="P18" s="82"/>
      <c r="Q18" s="82"/>
      <c r="R18" s="82"/>
      <c r="S18" s="82"/>
      <c r="T18" s="82"/>
      <c r="U18" s="82"/>
      <c r="V18" s="82"/>
      <c r="W18" s="82"/>
      <c r="X18" s="82"/>
      <c r="Y18" s="82"/>
      <c r="Z18" s="82"/>
      <c r="AA18" s="82"/>
      <c r="AB18" s="82"/>
      <c r="AC18" s="82"/>
      <c r="AD18" s="21"/>
      <c r="AE18" s="81"/>
      <c r="AF18" s="81"/>
      <c r="AG18" s="81"/>
      <c r="AH18" s="81"/>
      <c r="AI18" s="81"/>
      <c r="AJ18" s="113"/>
      <c r="AK18" s="81"/>
      <c r="AL18" s="81"/>
      <c r="AM18" s="112"/>
      <c r="AN18" s="112"/>
      <c r="AO18" s="112"/>
      <c r="AP18" s="112"/>
      <c r="AQ18" s="81"/>
      <c r="AR18" s="81"/>
      <c r="AS18" s="81"/>
      <c r="AT18" s="81"/>
      <c r="AU18" s="81"/>
      <c r="AV18" s="81"/>
      <c r="AW18" s="81"/>
      <c r="AX18" s="81"/>
      <c r="AY18" s="81"/>
      <c r="AZ18" s="81"/>
      <c r="BA18" s="81"/>
      <c r="BB18" s="81"/>
      <c r="BC18" s="81"/>
      <c r="BD18" s="81"/>
      <c r="BE18" s="81"/>
      <c r="BF18" s="81"/>
      <c r="BG18" s="81"/>
      <c r="BH18" s="81"/>
      <c r="BI18" s="81"/>
      <c r="BJ18" s="81"/>
      <c r="BK18" s="81"/>
      <c r="BL18" s="81"/>
      <c r="BM18" s="81"/>
      <c r="BN18" s="81"/>
      <c r="BO18" s="125"/>
    </row>
    <row r="19" spans="1:67" ht="15.6" customHeight="1" x14ac:dyDescent="0.25">
      <c r="A19" s="114"/>
      <c r="B19" s="81"/>
      <c r="C19" s="81"/>
      <c r="D19" s="81"/>
      <c r="E19" s="81"/>
      <c r="F19" s="81"/>
      <c r="G19" s="81"/>
      <c r="H19" s="82"/>
      <c r="I19" s="82"/>
      <c r="J19" s="82"/>
      <c r="K19" s="82"/>
      <c r="L19" s="82"/>
      <c r="M19" s="82"/>
      <c r="N19" s="82"/>
      <c r="O19" s="82"/>
      <c r="P19" s="82"/>
      <c r="Q19" s="82"/>
      <c r="R19" s="82"/>
      <c r="S19" s="82"/>
      <c r="T19" s="82"/>
      <c r="U19" s="82"/>
      <c r="V19" s="82"/>
      <c r="W19" s="82"/>
      <c r="X19" s="82"/>
      <c r="Y19" s="82"/>
      <c r="Z19" s="82"/>
      <c r="AA19" s="82"/>
      <c r="AB19" s="82"/>
      <c r="AC19" s="82"/>
      <c r="AD19" s="2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1"/>
      <c r="BO19" s="125"/>
    </row>
    <row r="20" spans="1:67" ht="15.6" customHeight="1" x14ac:dyDescent="0.25">
      <c r="A20" s="114"/>
      <c r="B20" s="81"/>
      <c r="C20" s="81"/>
      <c r="D20" s="81"/>
      <c r="E20" s="81"/>
      <c r="F20" s="81"/>
      <c r="G20" s="81"/>
      <c r="H20" s="82"/>
      <c r="I20" s="82"/>
      <c r="J20" s="82"/>
      <c r="K20" s="82"/>
      <c r="L20" s="82"/>
      <c r="M20" s="82"/>
      <c r="N20" s="82"/>
      <c r="O20" s="82"/>
      <c r="P20" s="82"/>
      <c r="Q20" s="82"/>
      <c r="R20" s="82"/>
      <c r="S20" s="82"/>
      <c r="T20" s="82"/>
      <c r="U20" s="82"/>
      <c r="V20" s="82"/>
      <c r="W20" s="82"/>
      <c r="X20" s="82"/>
      <c r="Y20" s="82"/>
      <c r="Z20" s="82"/>
      <c r="AA20" s="82"/>
      <c r="AB20" s="82"/>
      <c r="AC20" s="82"/>
      <c r="AD20" s="2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81"/>
      <c r="BN20" s="81"/>
      <c r="BO20" s="125"/>
    </row>
    <row r="21" spans="1:67" ht="15.6" customHeight="1" x14ac:dyDescent="0.25">
      <c r="A21" s="114"/>
      <c r="B21" s="81"/>
      <c r="C21" s="81"/>
      <c r="D21" s="81"/>
      <c r="E21" s="81"/>
      <c r="F21" s="81"/>
      <c r="G21" s="81"/>
      <c r="H21" s="81"/>
      <c r="I21" s="81"/>
      <c r="J21" s="81"/>
      <c r="K21" s="81"/>
      <c r="L21" s="81"/>
      <c r="M21" s="82"/>
      <c r="N21" s="82"/>
      <c r="O21" s="82"/>
      <c r="P21" s="81"/>
      <c r="Q21" s="81"/>
      <c r="R21" s="82"/>
      <c r="S21" s="82"/>
      <c r="T21" s="82"/>
      <c r="U21" s="82"/>
      <c r="V21" s="82"/>
      <c r="W21" s="82"/>
      <c r="X21" s="82"/>
      <c r="Y21" s="82"/>
      <c r="Z21" s="82"/>
      <c r="AA21" s="82"/>
      <c r="AB21" s="82"/>
      <c r="AC21" s="82"/>
      <c r="AD21" s="81"/>
      <c r="AE21" s="81"/>
      <c r="AF21" s="81"/>
      <c r="AG21" s="81"/>
      <c r="AH21" s="81"/>
      <c r="AI21" s="81"/>
      <c r="AJ21" s="81"/>
      <c r="AK21" s="81"/>
      <c r="AL21" s="81"/>
      <c r="AM21" s="81"/>
      <c r="AN21" s="81"/>
      <c r="AO21" s="81"/>
      <c r="AP21" s="81"/>
      <c r="AQ21" s="81"/>
      <c r="AR21" s="81"/>
      <c r="AS21" s="81"/>
      <c r="AT21" s="81"/>
      <c r="AU21" s="81"/>
      <c r="AV21" s="81"/>
      <c r="AW21" s="81"/>
      <c r="AX21" s="81"/>
      <c r="AY21" s="81"/>
      <c r="AZ21" s="81"/>
      <c r="BA21" s="81"/>
      <c r="BB21" s="81"/>
      <c r="BC21" s="81"/>
      <c r="BD21" s="81"/>
      <c r="BE21" s="81"/>
      <c r="BF21" s="81"/>
      <c r="BG21" s="81"/>
      <c r="BH21" s="81"/>
      <c r="BI21" s="81"/>
      <c r="BJ21" s="81"/>
      <c r="BK21" s="81"/>
      <c r="BL21" s="81"/>
      <c r="BM21" s="81"/>
      <c r="BN21" s="81"/>
      <c r="BO21" s="125"/>
    </row>
    <row r="22" spans="1:67" ht="15.6" customHeight="1" x14ac:dyDescent="0.25">
      <c r="A22" s="114"/>
      <c r="B22" s="81"/>
      <c r="C22" s="81"/>
      <c r="D22" s="81"/>
      <c r="E22" s="81"/>
      <c r="F22" s="81"/>
      <c r="G22" s="81"/>
      <c r="H22" s="81"/>
      <c r="I22" s="81"/>
      <c r="J22" s="81"/>
      <c r="K22" s="81"/>
      <c r="L22" s="81"/>
      <c r="M22" s="82"/>
      <c r="N22" s="82"/>
      <c r="O22" s="82"/>
      <c r="P22" s="81"/>
      <c r="Q22" s="81"/>
      <c r="R22" s="82"/>
      <c r="S22" s="82"/>
      <c r="T22" s="82"/>
      <c r="U22" s="82"/>
      <c r="V22" s="82"/>
      <c r="W22" s="82"/>
      <c r="X22" s="82"/>
      <c r="Y22" s="82"/>
      <c r="Z22" s="82"/>
      <c r="AA22" s="82"/>
      <c r="AB22" s="82"/>
      <c r="AC22" s="82"/>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L22" s="81"/>
      <c r="BM22" s="81"/>
      <c r="BN22" s="81"/>
      <c r="BO22" s="125"/>
    </row>
    <row r="23" spans="1:67" ht="15.6" customHeight="1" x14ac:dyDescent="0.25">
      <c r="A23" s="114"/>
      <c r="B23" s="81"/>
      <c r="C23" s="81"/>
      <c r="D23" s="81"/>
      <c r="E23" s="81"/>
      <c r="F23" s="81"/>
      <c r="G23" s="81"/>
      <c r="H23" s="81"/>
      <c r="I23" s="81"/>
      <c r="J23" s="81"/>
      <c r="K23" s="81"/>
      <c r="L23" s="81"/>
      <c r="M23" s="82"/>
      <c r="N23" s="82"/>
      <c r="O23" s="82"/>
      <c r="P23" s="81"/>
      <c r="Q23" s="81"/>
      <c r="R23" s="82"/>
      <c r="S23" s="82"/>
      <c r="T23" s="82"/>
      <c r="U23" s="82"/>
      <c r="V23" s="82"/>
      <c r="W23" s="82"/>
      <c r="X23" s="82"/>
      <c r="Y23" s="82"/>
      <c r="Z23" s="82"/>
      <c r="AA23" s="82"/>
      <c r="AB23" s="82"/>
      <c r="AC23" s="82"/>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L23" s="81"/>
      <c r="BM23" s="81"/>
      <c r="BN23" s="81"/>
      <c r="BO23" s="125"/>
    </row>
    <row r="24" spans="1:67" ht="15.6" customHeight="1" x14ac:dyDescent="0.25">
      <c r="A24" s="114"/>
      <c r="B24" s="81"/>
      <c r="C24" s="81"/>
      <c r="D24" s="81"/>
      <c r="E24" s="81"/>
      <c r="F24" s="81"/>
      <c r="G24" s="81"/>
      <c r="H24" s="81"/>
      <c r="I24" s="81"/>
      <c r="J24" s="81"/>
      <c r="K24" s="81"/>
      <c r="L24" s="81"/>
      <c r="M24" s="82"/>
      <c r="N24" s="82"/>
      <c r="O24" s="82"/>
      <c r="P24" s="81"/>
      <c r="Q24" s="81"/>
      <c r="R24" s="82"/>
      <c r="S24" s="82"/>
      <c r="T24" s="82"/>
      <c r="U24" s="82"/>
      <c r="V24" s="109"/>
      <c r="W24" s="82"/>
      <c r="X24" s="82"/>
      <c r="Y24" s="82"/>
      <c r="Z24" s="82"/>
      <c r="AA24" s="82"/>
      <c r="AB24" s="82"/>
      <c r="AC24" s="82"/>
      <c r="AD24" s="81"/>
      <c r="AE24" s="81"/>
      <c r="AF24" s="81"/>
      <c r="AG24" s="81"/>
      <c r="AH24" s="81"/>
      <c r="AI24" s="81"/>
      <c r="AJ24" s="81"/>
      <c r="AK24" s="81"/>
      <c r="AL24" s="81"/>
      <c r="AM24" s="81"/>
      <c r="AN24" s="81"/>
      <c r="AO24" s="81"/>
      <c r="AP24" s="81"/>
      <c r="AQ24" s="81"/>
      <c r="AR24" s="81"/>
      <c r="AS24" s="81"/>
      <c r="AT24" s="81"/>
      <c r="AU24" s="81"/>
      <c r="AV24" s="81"/>
      <c r="AW24" s="81"/>
      <c r="AX24" s="81"/>
      <c r="AY24" s="81"/>
      <c r="AZ24" s="81"/>
      <c r="BA24" s="81"/>
      <c r="BB24" s="81"/>
      <c r="BC24" s="81"/>
      <c r="BD24" s="81"/>
      <c r="BE24" s="81"/>
      <c r="BF24" s="81"/>
      <c r="BG24" s="81"/>
      <c r="BH24" s="81"/>
      <c r="BI24" s="81"/>
      <c r="BJ24" s="81"/>
      <c r="BK24" s="81"/>
      <c r="BL24" s="81"/>
      <c r="BM24" s="81"/>
      <c r="BN24" s="81"/>
      <c r="BO24" s="125"/>
    </row>
    <row r="25" spans="1:67" ht="15.6" customHeight="1" x14ac:dyDescent="0.25">
      <c r="A25" s="114"/>
      <c r="B25" s="81"/>
      <c r="C25" s="81"/>
      <c r="D25" s="81"/>
      <c r="E25" s="81"/>
      <c r="F25" s="81"/>
      <c r="G25" s="81"/>
      <c r="H25" s="81"/>
      <c r="I25" s="81"/>
      <c r="J25" s="81"/>
      <c r="K25" s="81"/>
      <c r="L25" s="81"/>
      <c r="M25" s="82"/>
      <c r="N25" s="82"/>
      <c r="O25" s="82"/>
      <c r="P25" s="81"/>
      <c r="Q25" s="81"/>
      <c r="R25" s="82"/>
      <c r="S25" s="82"/>
      <c r="T25" s="82"/>
      <c r="U25" s="82"/>
      <c r="V25" s="82"/>
      <c r="W25" s="82"/>
      <c r="X25" s="82"/>
      <c r="Y25" s="82"/>
      <c r="Z25" s="82"/>
      <c r="AA25" s="82"/>
      <c r="AB25" s="82"/>
      <c r="AC25" s="82"/>
      <c r="AD25" s="81"/>
      <c r="AE25" s="81"/>
      <c r="AF25" s="81"/>
      <c r="AG25" s="81"/>
      <c r="AH25" s="81"/>
      <c r="AI25" s="81"/>
      <c r="AJ25" s="81"/>
      <c r="AK25" s="81"/>
      <c r="AL25" s="81"/>
      <c r="AM25" s="81"/>
      <c r="AN25" s="81"/>
      <c r="AO25" s="81"/>
      <c r="AP25" s="81"/>
      <c r="AQ25" s="81"/>
      <c r="AR25" s="81"/>
      <c r="AS25" s="81"/>
      <c r="AT25" s="81"/>
      <c r="AU25" s="81"/>
      <c r="AV25" s="81"/>
      <c r="AW25" s="81"/>
      <c r="AX25" s="81"/>
      <c r="AY25" s="81"/>
      <c r="AZ25" s="81"/>
      <c r="BA25" s="81"/>
      <c r="BB25" s="81"/>
      <c r="BC25" s="81"/>
      <c r="BD25" s="81"/>
      <c r="BE25" s="81"/>
      <c r="BF25" s="81"/>
      <c r="BG25" s="81"/>
      <c r="BH25" s="81"/>
      <c r="BI25" s="81"/>
      <c r="BJ25" s="81"/>
      <c r="BK25" s="81"/>
      <c r="BL25" s="81"/>
      <c r="BM25" s="81"/>
      <c r="BN25" s="81"/>
      <c r="BO25" s="125"/>
    </row>
    <row r="26" spans="1:67" ht="15.6" customHeight="1" x14ac:dyDescent="0.25">
      <c r="A26" s="7"/>
      <c r="B26" s="8"/>
      <c r="C26" s="8"/>
      <c r="D26" s="8"/>
      <c r="E26" s="8"/>
      <c r="F26" s="8"/>
      <c r="G26" s="8"/>
      <c r="H26" s="8"/>
      <c r="I26" s="8"/>
      <c r="J26" s="8"/>
      <c r="K26" s="8"/>
      <c r="L26" s="8"/>
      <c r="M26" s="9"/>
      <c r="N26" s="9"/>
      <c r="O26" s="9"/>
      <c r="P26" s="8"/>
      <c r="Q26" s="8"/>
      <c r="R26" s="9"/>
      <c r="S26" s="9"/>
      <c r="T26" s="9"/>
      <c r="U26" s="9"/>
      <c r="V26" s="9"/>
      <c r="W26" s="9"/>
      <c r="X26" s="9"/>
      <c r="Y26" s="9"/>
      <c r="Z26" s="9"/>
      <c r="AA26" s="9"/>
      <c r="AB26" s="9"/>
      <c r="AC26" s="9"/>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126"/>
    </row>
    <row r="27" spans="1:67" ht="15.6" customHeight="1" x14ac:dyDescent="0.25">
      <c r="A27" s="7"/>
      <c r="B27" s="8"/>
      <c r="C27" s="8"/>
      <c r="D27" s="8"/>
      <c r="E27" s="8"/>
      <c r="F27" s="8"/>
      <c r="G27" s="8"/>
      <c r="H27" s="8"/>
      <c r="I27" s="8"/>
      <c r="J27" s="8"/>
      <c r="K27" s="8"/>
      <c r="L27" s="8"/>
      <c r="M27" s="9"/>
      <c r="N27" s="9"/>
      <c r="O27" s="9"/>
      <c r="P27" s="8"/>
      <c r="Q27" s="8"/>
      <c r="R27" s="9"/>
      <c r="S27" s="9"/>
      <c r="T27" s="9"/>
      <c r="U27" s="9"/>
      <c r="V27" s="9"/>
      <c r="W27" s="9"/>
      <c r="X27" s="9"/>
      <c r="Y27" s="9"/>
      <c r="Z27" s="9"/>
      <c r="AA27" s="9"/>
      <c r="AB27" s="9"/>
      <c r="AC27" s="9"/>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126"/>
    </row>
    <row r="28" spans="1:67" ht="15.6" customHeight="1" x14ac:dyDescent="0.25">
      <c r="A28" s="7"/>
      <c r="B28" s="8"/>
      <c r="C28" s="8"/>
      <c r="D28" s="8"/>
      <c r="E28" s="8"/>
      <c r="F28" s="8"/>
      <c r="G28" s="8"/>
      <c r="H28" s="8"/>
      <c r="I28" s="8"/>
      <c r="J28" s="8"/>
      <c r="K28" s="8"/>
      <c r="L28" s="8"/>
      <c r="M28" s="9"/>
      <c r="N28" s="9"/>
      <c r="O28" s="9"/>
      <c r="P28" s="8"/>
      <c r="Q28" s="8"/>
      <c r="R28" s="9"/>
      <c r="S28" s="9"/>
      <c r="T28" s="9"/>
      <c r="U28" s="9"/>
      <c r="V28" s="9"/>
      <c r="W28" s="9"/>
      <c r="X28" s="9"/>
      <c r="Y28" s="9"/>
      <c r="Z28" s="9"/>
      <c r="AA28" s="9"/>
      <c r="AB28" s="9"/>
      <c r="AC28" s="9"/>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126"/>
    </row>
    <row r="29" spans="1:67" ht="15.6" customHeight="1" x14ac:dyDescent="0.25">
      <c r="A29" s="7"/>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126"/>
    </row>
    <row r="30" spans="1:67" ht="15.6" customHeight="1" x14ac:dyDescent="0.25">
      <c r="A30" s="7"/>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126"/>
    </row>
    <row r="31" spans="1:67" ht="15.6" customHeight="1" x14ac:dyDescent="0.25">
      <c r="A31" s="7"/>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126"/>
    </row>
    <row r="32" spans="1:67" ht="15.6" customHeight="1" x14ac:dyDescent="0.25">
      <c r="A32" s="7"/>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126"/>
    </row>
    <row r="33" spans="1:67" ht="15.6" customHeight="1" x14ac:dyDescent="0.25">
      <c r="A33" s="7"/>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126"/>
    </row>
    <row r="34" spans="1:67" ht="15.6" customHeight="1" x14ac:dyDescent="0.25">
      <c r="A34" s="7"/>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126"/>
    </row>
    <row r="35" spans="1:67" ht="15.6" customHeight="1" x14ac:dyDescent="0.25">
      <c r="A35" s="7"/>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126"/>
    </row>
    <row r="36" spans="1:67" ht="15.6" customHeight="1" x14ac:dyDescent="0.25">
      <c r="A36" s="7"/>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126"/>
    </row>
    <row r="37" spans="1:67" ht="15.6" customHeight="1" x14ac:dyDescent="0.25">
      <c r="A37" s="7"/>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126"/>
    </row>
    <row r="38" spans="1:67" ht="15.6" customHeight="1" x14ac:dyDescent="0.25">
      <c r="A38" s="7"/>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126"/>
    </row>
    <row r="39" spans="1:67" ht="15.6" customHeight="1" x14ac:dyDescent="0.25">
      <c r="A39" s="7"/>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126"/>
    </row>
    <row r="40" spans="1:67" ht="15.6" customHeight="1" x14ac:dyDescent="0.25">
      <c r="A40" s="7"/>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126"/>
    </row>
    <row r="41" spans="1:67" ht="15.6" customHeight="1" x14ac:dyDescent="0.25">
      <c r="A41" s="7"/>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126"/>
    </row>
    <row r="42" spans="1:67" ht="15.6" customHeight="1" x14ac:dyDescent="0.25">
      <c r="A42" s="7"/>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126"/>
    </row>
    <row r="43" spans="1:67" ht="15.6" customHeight="1" x14ac:dyDescent="0.25">
      <c r="A43" s="7"/>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126"/>
    </row>
    <row r="44" spans="1:67" ht="15.6" customHeight="1" x14ac:dyDescent="0.25">
      <c r="A44" s="7"/>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126"/>
    </row>
    <row r="45" spans="1:67" ht="15.6" customHeight="1" x14ac:dyDescent="0.25">
      <c r="A45" s="7"/>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126"/>
    </row>
    <row r="46" spans="1:67" ht="15.6" customHeight="1" x14ac:dyDescent="0.25">
      <c r="A46" s="7"/>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126"/>
    </row>
    <row r="47" spans="1:67" ht="15.6" customHeight="1" x14ac:dyDescent="0.25">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126"/>
    </row>
    <row r="48" spans="1:67" ht="15.6" customHeight="1" x14ac:dyDescent="0.25">
      <c r="A48" s="7"/>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126"/>
    </row>
    <row r="49" spans="1:67" ht="15.6" customHeight="1" x14ac:dyDescent="0.25">
      <c r="A49" s="7"/>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126"/>
    </row>
    <row r="50" spans="1:67" ht="15.6" customHeight="1" x14ac:dyDescent="0.25">
      <c r="A50" s="7"/>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126"/>
    </row>
    <row r="51" spans="1:67" ht="15.6" customHeight="1" x14ac:dyDescent="0.25">
      <c r="A51" s="7"/>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126"/>
    </row>
    <row r="52" spans="1:67" ht="15.6" customHeight="1" x14ac:dyDescent="0.25">
      <c r="A52" s="7"/>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126"/>
    </row>
    <row r="53" spans="1:67" ht="15.6" customHeight="1" x14ac:dyDescent="0.25">
      <c r="A53" s="7"/>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126"/>
    </row>
    <row r="54" spans="1:67" ht="15" x14ac:dyDescent="0.25">
      <c r="A54" s="7"/>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126"/>
    </row>
    <row r="55" spans="1:67" ht="15.6" customHeight="1" x14ac:dyDescent="0.25">
      <c r="A55" s="7"/>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126"/>
    </row>
    <row r="56" spans="1:67" ht="15.6" customHeight="1" x14ac:dyDescent="0.25">
      <c r="A56" s="7"/>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126"/>
    </row>
    <row r="57" spans="1:67" ht="15.6" customHeight="1" x14ac:dyDescent="0.25">
      <c r="A57" s="7"/>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126"/>
    </row>
    <row r="58" spans="1:67" ht="15.6" customHeight="1" x14ac:dyDescent="0.25">
      <c r="A58" s="7"/>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126"/>
    </row>
    <row r="59" spans="1:67" ht="15.6" customHeight="1" x14ac:dyDescent="0.25">
      <c r="A59" s="7"/>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126"/>
    </row>
    <row r="60" spans="1:67" ht="15.6" customHeight="1" x14ac:dyDescent="0.25">
      <c r="A60" s="7"/>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126"/>
    </row>
    <row r="61" spans="1:67" ht="15.6" customHeight="1" x14ac:dyDescent="0.25">
      <c r="A61" s="7"/>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126"/>
    </row>
    <row r="62" spans="1:67" ht="15.6" customHeight="1" x14ac:dyDescent="0.25">
      <c r="A62" s="7"/>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126"/>
    </row>
    <row r="63" spans="1:67" ht="15.6" customHeight="1" x14ac:dyDescent="0.25">
      <c r="A63" s="7"/>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126"/>
    </row>
    <row r="64" spans="1:67" ht="15.6" customHeight="1" x14ac:dyDescent="0.25">
      <c r="A64" s="7"/>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126"/>
    </row>
    <row r="65" spans="1:67" ht="15.6" customHeight="1" x14ac:dyDescent="0.25">
      <c r="A65" s="7"/>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126"/>
    </row>
    <row r="66" spans="1:67" ht="15.6" customHeight="1" x14ac:dyDescent="0.25">
      <c r="A66" s="7"/>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126"/>
    </row>
    <row r="67" spans="1:67" ht="15.6" customHeight="1" x14ac:dyDescent="0.25">
      <c r="A67" s="7"/>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126"/>
    </row>
    <row r="68" spans="1:67" ht="15.6" customHeight="1" x14ac:dyDescent="0.25">
      <c r="A68" s="7"/>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126"/>
    </row>
    <row r="69" spans="1:67" ht="15.6" customHeight="1" x14ac:dyDescent="0.25">
      <c r="A69" s="7"/>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126"/>
    </row>
    <row r="70" spans="1:67" ht="15.6" customHeight="1" x14ac:dyDescent="0.25">
      <c r="A70" s="7"/>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126"/>
    </row>
    <row r="71" spans="1:67" ht="15.6" customHeight="1" x14ac:dyDescent="0.25">
      <c r="A71" s="7"/>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126"/>
    </row>
    <row r="72" spans="1:67" ht="15.6" customHeight="1" x14ac:dyDescent="0.25">
      <c r="A72" s="7"/>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126"/>
    </row>
    <row r="73" spans="1:67" ht="15.6" customHeight="1" x14ac:dyDescent="0.25">
      <c r="A73" s="7"/>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126"/>
    </row>
    <row r="74" spans="1:67" ht="15.6" customHeight="1" x14ac:dyDescent="0.25">
      <c r="A74" s="7"/>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126"/>
    </row>
    <row r="75" spans="1:67" ht="15.6" customHeight="1" x14ac:dyDescent="0.25">
      <c r="A75" s="7"/>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126"/>
    </row>
    <row r="76" spans="1:67" ht="15.6" customHeight="1" x14ac:dyDescent="0.25">
      <c r="A76" s="7"/>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126"/>
    </row>
    <row r="77" spans="1:67" ht="15.6" customHeight="1" x14ac:dyDescent="0.25">
      <c r="A77" s="7"/>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126"/>
    </row>
    <row r="78" spans="1:67" ht="15.6" customHeight="1" x14ac:dyDescent="0.25">
      <c r="A78" s="7"/>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126"/>
    </row>
    <row r="79" spans="1:67" ht="15.6" customHeight="1" x14ac:dyDescent="0.25">
      <c r="A79" s="7"/>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126"/>
    </row>
    <row r="80" spans="1:67" ht="15.6" customHeight="1" x14ac:dyDescent="0.25">
      <c r="A80" s="7"/>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126"/>
    </row>
    <row r="81" spans="1:67" ht="15.6" customHeight="1" x14ac:dyDescent="0.25">
      <c r="A81" s="7"/>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126"/>
    </row>
    <row r="82" spans="1:67" ht="15.6" customHeight="1" x14ac:dyDescent="0.25">
      <c r="A82" s="7"/>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126"/>
    </row>
    <row r="83" spans="1:67" ht="15.6" customHeight="1" x14ac:dyDescent="0.25">
      <c r="A83" s="7"/>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126"/>
    </row>
    <row r="84" spans="1:67" ht="15.6" customHeight="1" x14ac:dyDescent="0.25">
      <c r="A84" s="7"/>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126"/>
    </row>
    <row r="85" spans="1:67" ht="15.6" customHeight="1" x14ac:dyDescent="0.25">
      <c r="A85" s="7"/>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126"/>
    </row>
    <row r="86" spans="1:67" ht="15.6" customHeight="1" x14ac:dyDescent="0.25">
      <c r="A86" s="7"/>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126"/>
    </row>
    <row r="87" spans="1:67" ht="15.6" customHeight="1" x14ac:dyDescent="0.25">
      <c r="A87" s="7"/>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126"/>
    </row>
    <row r="88" spans="1:67" ht="15.6" customHeight="1" x14ac:dyDescent="0.25">
      <c r="A88" s="7"/>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126"/>
    </row>
    <row r="89" spans="1:67" ht="15.6" customHeight="1" x14ac:dyDescent="0.25">
      <c r="A89" s="7"/>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126"/>
    </row>
    <row r="90" spans="1:67" ht="15.6" customHeight="1" x14ac:dyDescent="0.25">
      <c r="A90" s="7"/>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126"/>
    </row>
    <row r="91" spans="1:67" ht="15.6" customHeight="1" x14ac:dyDescent="0.25">
      <c r="A91" s="7"/>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126"/>
    </row>
    <row r="92" spans="1:67" ht="15.6" customHeight="1" x14ac:dyDescent="0.25">
      <c r="A92" s="7"/>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126"/>
    </row>
    <row r="93" spans="1:67" ht="15.6" customHeight="1" x14ac:dyDescent="0.25">
      <c r="A93" s="7"/>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126"/>
    </row>
    <row r="94" spans="1:67" ht="15.6" customHeight="1" x14ac:dyDescent="0.25">
      <c r="A94" s="7"/>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126"/>
    </row>
    <row r="95" spans="1:67" ht="15.6" customHeight="1" x14ac:dyDescent="0.25">
      <c r="A95" s="7"/>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126"/>
    </row>
    <row r="96" spans="1:67" ht="15.6" customHeight="1" x14ac:dyDescent="0.25">
      <c r="A96" s="7"/>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126"/>
    </row>
    <row r="97" spans="1:67" ht="15.6" customHeight="1" x14ac:dyDescent="0.25">
      <c r="A97" s="7"/>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126"/>
    </row>
    <row r="98" spans="1:67" ht="15.6" customHeight="1" x14ac:dyDescent="0.25">
      <c r="A98" s="7"/>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126"/>
    </row>
    <row r="99" spans="1:67" ht="15.6" customHeight="1" x14ac:dyDescent="0.25">
      <c r="A99" s="7"/>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126"/>
    </row>
    <row r="100" spans="1:67" ht="15.6" customHeight="1" x14ac:dyDescent="0.25">
      <c r="A100" s="7"/>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126"/>
    </row>
    <row r="101" spans="1:67" ht="15.6" customHeight="1" x14ac:dyDescent="0.25">
      <c r="A101" s="7"/>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126"/>
    </row>
    <row r="102" spans="1:67" ht="15.6" customHeight="1" x14ac:dyDescent="0.25">
      <c r="A102" s="7"/>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126"/>
    </row>
    <row r="103" spans="1:67" ht="15.6" customHeight="1" x14ac:dyDescent="0.25">
      <c r="A103" s="7"/>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126"/>
    </row>
    <row r="104" spans="1:67" ht="15.6" customHeight="1" x14ac:dyDescent="0.25">
      <c r="A104" s="7"/>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126"/>
    </row>
    <row r="105" spans="1:67" ht="15.6" customHeight="1" x14ac:dyDescent="0.25">
      <c r="A105" s="7"/>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126"/>
    </row>
    <row r="106" spans="1:67" ht="15.6" customHeight="1" x14ac:dyDescent="0.25">
      <c r="A106" s="7"/>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126"/>
    </row>
    <row r="107" spans="1:67" ht="15.6" customHeight="1" x14ac:dyDescent="0.25">
      <c r="A107" s="7"/>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126"/>
    </row>
    <row r="108" spans="1:67" ht="15.6" customHeight="1" x14ac:dyDescent="0.25">
      <c r="A108" s="7"/>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126"/>
    </row>
    <row r="109" spans="1:67" ht="15.6" customHeight="1" x14ac:dyDescent="0.25">
      <c r="A109" s="7"/>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126"/>
    </row>
    <row r="110" spans="1:67" ht="15.6" customHeight="1" x14ac:dyDescent="0.25">
      <c r="A110" s="7"/>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126"/>
    </row>
    <row r="111" spans="1:67" ht="15.6" customHeight="1" x14ac:dyDescent="0.25">
      <c r="A111" s="7"/>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126"/>
    </row>
    <row r="112" spans="1:67" ht="15.6" customHeight="1" x14ac:dyDescent="0.25">
      <c r="A112" s="7"/>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126"/>
    </row>
    <row r="113" spans="1:67" ht="15.6" customHeight="1" x14ac:dyDescent="0.25">
      <c r="A113" s="7"/>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126"/>
    </row>
    <row r="114" spans="1:67" ht="15.6" customHeight="1" x14ac:dyDescent="0.25">
      <c r="A114" s="7"/>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126"/>
    </row>
    <row r="115" spans="1:67" ht="15.6" customHeight="1" x14ac:dyDescent="0.25">
      <c r="A115" s="7"/>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126"/>
    </row>
    <row r="116" spans="1:67" ht="15.6" customHeight="1" x14ac:dyDescent="0.25">
      <c r="A116" s="7"/>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126"/>
    </row>
    <row r="117" spans="1:67" ht="15.6" customHeight="1" x14ac:dyDescent="0.25">
      <c r="A117" s="7"/>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126"/>
    </row>
    <row r="118" spans="1:67" ht="15.6" customHeight="1" x14ac:dyDescent="0.25">
      <c r="A118" s="7"/>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126"/>
    </row>
    <row r="119" spans="1:67" ht="15.6" customHeight="1" x14ac:dyDescent="0.25">
      <c r="A119" s="7"/>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126"/>
    </row>
  </sheetData>
  <dataConsolidate/>
  <mergeCells count="8">
    <mergeCell ref="W4:Y4"/>
    <mergeCell ref="A4:G4"/>
    <mergeCell ref="A3:B3"/>
    <mergeCell ref="AR4:AV4"/>
    <mergeCell ref="AJ4:AQ4"/>
    <mergeCell ref="T4:V4"/>
    <mergeCell ref="Z4:AD4"/>
    <mergeCell ref="AE4:AI4"/>
  </mergeCells>
  <phoneticPr fontId="17" type="noConversion"/>
  <conditionalFormatting sqref="A4:XFD1048576 A3:I3 A1:XFD2 K3:BQ3 BS3:XFD3">
    <cfRule type="expression" dxfId="6" priority="86">
      <formula>AND($C$3&lt;&gt;TODAY(), $C$3&lt;&gt;"*((var*((date_meeting")</formula>
    </cfRule>
  </conditionalFormatting>
  <conditionalFormatting sqref="C3">
    <cfRule type="expression" dxfId="5" priority="1">
      <formula>$C$3&lt;&gt;TODAY()</formula>
    </cfRule>
  </conditionalFormatting>
  <dataValidations xWindow="637" yWindow="260" count="2">
    <dataValidation type="date" operator="notEqual" allowBlank="1" showInputMessage="1" showErrorMessage="1" sqref="J9:K19 J20:J50 L9:Y50" xr:uid="{3C5B0EAF-0935-4B9E-A630-459E5536D05C}">
      <formula1>367</formula1>
    </dataValidation>
    <dataValidation type="date" operator="notEqual" allowBlank="1" showInputMessage="1" showErrorMessage="1" sqref="C3" xr:uid="{1866ACBE-DA17-49E0-83B9-6B0A18706862}">
      <formula1>1</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2" id="{E1975C84-06D7-4EA9-8AC3-9689AC3EB6C0}">
            <xm:f>BT9&lt;Constants!$B$4</xm:f>
            <x14:dxf>
              <fill>
                <patternFill>
                  <bgColor rgb="FFFF0000"/>
                </patternFill>
              </fill>
            </x14:dxf>
          </x14:cfRule>
          <x14:cfRule type="expression" priority="3" id="{097E0F9E-6BD7-46F8-BAA4-EF2F629539B9}">
            <xm:f>BT9&lt;Constants!$B$3</xm:f>
            <x14:dxf>
              <fill>
                <patternFill>
                  <bgColor rgb="FFFFC000"/>
                </patternFill>
              </fill>
            </x14:dxf>
          </x14:cfRule>
          <xm:sqref>J9:Y100</xm:sqref>
        </x14:conditionalFormatting>
      </x14:conditionalFormattings>
    </ext>
    <ext xmlns:x14="http://schemas.microsoft.com/office/spreadsheetml/2009/9/main" uri="{CCE6A557-97BC-4b89-ADB6-D9C93CAAB3DF}">
      <x14:dataValidations xmlns:xm="http://schemas.microsoft.com/office/excel/2006/main" xWindow="637" yWindow="260" count="6">
        <x14:dataValidation type="list" allowBlank="1" showInputMessage="1" showErrorMessage="1" xr:uid="{4152D982-644A-489F-A582-8119713F5A71}">
          <x14:formula1>
            <xm:f>List!$F$2:$F$6</xm:f>
          </x14:formula1>
          <xm:sqref>H9:H49</xm:sqref>
        </x14:dataValidation>
        <x14:dataValidation type="list" allowBlank="1" showInputMessage="1" showErrorMessage="1" xr:uid="{F7D45DF0-370C-4505-B23D-51DFBC4EF786}">
          <x14:formula1>
            <xm:f>List!$H$2:$H$9</xm:f>
          </x14:formula1>
          <xm:sqref>AE9:AE11</xm:sqref>
        </x14:dataValidation>
        <x14:dataValidation type="list" allowBlank="1" showInputMessage="1" showErrorMessage="1" xr:uid="{849346E4-BBA9-4FE9-87AB-1F4A94DB1C49}">
          <x14:formula1>
            <xm:f>List!$F$14:$F$21</xm:f>
          </x14:formula1>
          <xm:sqref>AM10:AP16 AJ10:AJ16 AM18:AP18</xm:sqref>
        </x14:dataValidation>
        <x14:dataValidation type="list" allowBlank="1" showInputMessage="1" showErrorMessage="1" xr:uid="{BCBED3E1-2EB4-46F8-8767-B5B98C7523A9}">
          <x14:formula1>
            <xm:f>List!$G$14:$G$16</xm:f>
          </x14:formula1>
          <xm:sqref>AK10:AK12</xm:sqref>
        </x14:dataValidation>
        <x14:dataValidation type="list" allowBlank="1" showErrorMessage="1" errorTitle="Incorrect Entry " error="Cell must be filled in. Please enter either an estinated OR actual date." xr:uid="{CDE1EF0A-3DA5-4997-BA10-F519F55285B8}">
          <x14:formula1>
            <xm:f>List!$G$2:$G$4</xm:f>
          </x14:formula1>
          <xm:sqref>I9:I100</xm:sqref>
        </x14:dataValidation>
        <x14:dataValidation type="list" allowBlank="1" showInputMessage="1" showErrorMessage="1" xr:uid="{6777E6CF-C934-42CC-94D2-42E1EE8ADD58}">
          <x14:formula1>
            <xm:f>List!$D$14:$D$16</xm:f>
          </x14:formula1>
          <xm:sqref>F9:F43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C2339-DB27-40BC-B3A6-1CB12E8DDF2E}">
  <dimension ref="A1:RH116"/>
  <sheetViews>
    <sheetView workbookViewId="0">
      <pane xSplit="3" ySplit="6" topLeftCell="D7" activePane="bottomRight" state="frozen"/>
      <selection pane="topRight" activeCell="D1" sqref="D1"/>
      <selection pane="bottomLeft" activeCell="A7" sqref="A7"/>
      <selection pane="bottomRight" activeCell="L7" sqref="L7"/>
    </sheetView>
  </sheetViews>
  <sheetFormatPr defaultColWidth="10.42578125" defaultRowHeight="14.25" customHeight="1" outlineLevelCol="1" x14ac:dyDescent="0.25"/>
  <cols>
    <col min="1" max="1" width="13.42578125" style="2" customWidth="1"/>
    <col min="2" max="2" width="17" style="2" hidden="1" customWidth="1"/>
    <col min="3" max="3" width="54.7109375" style="2" bestFit="1" customWidth="1"/>
    <col min="4" max="4" width="54.7109375" style="2" customWidth="1"/>
    <col min="5" max="5" width="25" style="2" customWidth="1"/>
    <col min="6" max="6" width="29.7109375" style="2" customWidth="1"/>
    <col min="7" max="9" width="14.42578125" style="2" customWidth="1"/>
    <col min="10" max="10" width="21.85546875" style="2" customWidth="1"/>
    <col min="11" max="11" width="14.42578125" style="2" customWidth="1"/>
    <col min="12" max="12" width="25" style="2" customWidth="1"/>
    <col min="13" max="13" width="20.5703125" style="2" customWidth="1"/>
    <col min="14" max="20" width="20.42578125" style="28" hidden="1" customWidth="1" outlineLevel="1"/>
    <col min="21" max="21" width="17.7109375" style="28" hidden="1" customWidth="1" outlineLevel="1"/>
    <col min="22" max="22" width="40.5703125" style="28" customWidth="1" collapsed="1"/>
    <col min="477" max="16384" width="10.42578125" style="2"/>
  </cols>
  <sheetData>
    <row r="1" spans="1:476" s="26" customFormat="1" ht="43.5" customHeight="1" thickTop="1" thickBot="1" x14ac:dyDescent="0.3">
      <c r="A1" s="170" t="s">
        <v>486</v>
      </c>
      <c r="B1" s="171"/>
      <c r="C1" s="172"/>
      <c r="F1" s="25"/>
      <c r="G1" s="84"/>
      <c r="H1" s="87"/>
      <c r="I1" s="87"/>
      <c r="J1" s="87"/>
      <c r="K1" s="87"/>
      <c r="L1" s="79"/>
      <c r="M1" s="79"/>
      <c r="N1" s="173"/>
      <c r="O1" s="173"/>
      <c r="P1" s="173"/>
      <c r="Q1" s="173"/>
      <c r="R1" s="173"/>
      <c r="S1" s="173"/>
      <c r="T1" s="173"/>
      <c r="U1" s="173"/>
      <c r="V1" s="79"/>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row>
    <row r="2" spans="1:476" s="27" customFormat="1" ht="24.75" customHeight="1" thickTop="1" thickBot="1" x14ac:dyDescent="0.3">
      <c r="A2" s="88" t="str">
        <f>Translation!A5</f>
        <v>Section 1: Project Details</v>
      </c>
      <c r="B2" s="89"/>
      <c r="C2" s="89"/>
      <c r="D2" s="89"/>
      <c r="E2" s="89"/>
      <c r="F2" s="89"/>
      <c r="G2" s="89"/>
      <c r="H2" s="89"/>
      <c r="I2" s="89"/>
      <c r="J2" s="89"/>
      <c r="K2" s="89"/>
      <c r="L2" s="168" t="str">
        <f>Translation!A68</f>
        <v>Section 9: Communications Protocol</v>
      </c>
      <c r="M2" s="169"/>
      <c r="N2" s="160" t="str">
        <f>Translation!A72</f>
        <v xml:space="preserve">Section 10: Project Risks and Mitigation Stategies </v>
      </c>
      <c r="O2" s="161"/>
      <c r="P2" s="161"/>
      <c r="Q2" s="161"/>
      <c r="R2" s="161"/>
      <c r="S2" s="161"/>
      <c r="T2" s="161"/>
      <c r="U2" s="162"/>
      <c r="V2" s="58" t="str">
        <f>Translation!A71</f>
        <v xml:space="preserve">Section 10: General Comments </v>
      </c>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row>
    <row r="3" spans="1:476" s="1" customFormat="1" ht="15" x14ac:dyDescent="0.25">
      <c r="A3" s="44" t="str">
        <f>"Col "&amp;COLUMN()</f>
        <v>Col 1</v>
      </c>
      <c r="B3" s="44" t="str">
        <f>"Col "&amp;COLUMN()</f>
        <v>Col 2</v>
      </c>
      <c r="C3" s="44" t="str">
        <f t="shared" ref="C3:V3" si="0">"Col "&amp;COLUMN()</f>
        <v>Col 3</v>
      </c>
      <c r="D3" s="44" t="str">
        <f t="shared" si="0"/>
        <v>Col 4</v>
      </c>
      <c r="E3" s="44" t="str">
        <f t="shared" si="0"/>
        <v>Col 5</v>
      </c>
      <c r="F3" s="44" t="str">
        <f t="shared" si="0"/>
        <v>Col 6</v>
      </c>
      <c r="G3" s="44" t="str">
        <f t="shared" si="0"/>
        <v>Col 7</v>
      </c>
      <c r="H3" s="44" t="str">
        <f t="shared" si="0"/>
        <v>Col 8</v>
      </c>
      <c r="I3" s="44" t="str">
        <f t="shared" si="0"/>
        <v>Col 9</v>
      </c>
      <c r="J3" s="44" t="str">
        <f t="shared" si="0"/>
        <v>Col 10</v>
      </c>
      <c r="K3" s="44" t="str">
        <f t="shared" si="0"/>
        <v>Col 11</v>
      </c>
      <c r="L3" s="44" t="str">
        <f t="shared" si="0"/>
        <v>Col 12</v>
      </c>
      <c r="M3" s="44" t="str">
        <f t="shared" si="0"/>
        <v>Col 13</v>
      </c>
      <c r="N3" s="44" t="str">
        <f t="shared" si="0"/>
        <v>Col 14</v>
      </c>
      <c r="O3" s="44"/>
      <c r="P3" s="44"/>
      <c r="Q3" s="44"/>
      <c r="R3" s="44"/>
      <c r="S3" s="44"/>
      <c r="T3" s="44"/>
      <c r="U3" s="44" t="str">
        <f t="shared" si="0"/>
        <v>Col 21</v>
      </c>
      <c r="V3" s="44" t="str">
        <f t="shared" si="0"/>
        <v>Col 22</v>
      </c>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row>
    <row r="4" spans="1:476" s="49" customFormat="1" ht="60.75" customHeight="1" x14ac:dyDescent="0.25">
      <c r="A4" s="46" t="str">
        <f>Translation!A6</f>
        <v>Project ID</v>
      </c>
      <c r="B4" s="63" t="s">
        <v>195</v>
      </c>
      <c r="C4" s="46" t="str">
        <f>Translation!A7</f>
        <v>Project Name</v>
      </c>
      <c r="D4" s="46" t="s">
        <v>371</v>
      </c>
      <c r="E4" s="46" t="str">
        <f>Translation!A11</f>
        <v>Project Type</v>
      </c>
      <c r="F4" s="46" t="str">
        <f>Translation!A13</f>
        <v xml:space="preserve">Project Category </v>
      </c>
      <c r="G4" s="46" t="str">
        <f>Translation!A8</f>
        <v>Address</v>
      </c>
      <c r="H4" s="46" t="str">
        <f>Translation!A9</f>
        <v xml:space="preserve">City </v>
      </c>
      <c r="I4" s="46" t="str">
        <f>Translation!A10</f>
        <v>Postal Code</v>
      </c>
      <c r="J4" s="46" t="s">
        <v>440</v>
      </c>
      <c r="K4" s="46" t="s">
        <v>361</v>
      </c>
      <c r="L4" s="46" t="s">
        <v>363</v>
      </c>
      <c r="M4" s="46" t="str">
        <f>Translation!A70</f>
        <v>Opening Ceremony - Date</v>
      </c>
      <c r="N4" s="46" t="str">
        <f>Translation!A73</f>
        <v>Risk Type</v>
      </c>
      <c r="O4" s="46" t="str">
        <f>Translation!A74</f>
        <v>Risk Rating</v>
      </c>
      <c r="P4" s="46" t="str">
        <f>Translation!A75</f>
        <v>Risk Exposure Start Date</v>
      </c>
      <c r="Q4" s="46" t="s">
        <v>196</v>
      </c>
      <c r="R4" s="46" t="s">
        <v>197</v>
      </c>
      <c r="S4" s="46" t="s">
        <v>198</v>
      </c>
      <c r="T4" s="46" t="s">
        <v>199</v>
      </c>
      <c r="U4" s="46" t="str">
        <f>Translation!A78</f>
        <v>Mitigation Stategies/Comments</v>
      </c>
      <c r="V4" s="59" t="str">
        <f>Translation!A79</f>
        <v>CA Comments</v>
      </c>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row>
    <row r="5" spans="1:476" ht="62.25" hidden="1" customHeight="1" x14ac:dyDescent="0.25">
      <c r="A5" s="30" t="s">
        <v>3</v>
      </c>
      <c r="B5" s="61"/>
      <c r="C5" s="31" t="s">
        <v>4</v>
      </c>
      <c r="D5" s="31"/>
      <c r="E5" s="31" t="s">
        <v>200</v>
      </c>
      <c r="F5" s="32" t="s">
        <v>201</v>
      </c>
      <c r="G5" s="31"/>
      <c r="H5" s="31"/>
      <c r="I5" s="31"/>
      <c r="J5" s="31"/>
      <c r="K5" s="31"/>
      <c r="L5" s="34"/>
      <c r="M5" s="34"/>
      <c r="N5" s="3"/>
      <c r="O5" s="3"/>
      <c r="P5" s="3"/>
      <c r="Q5" s="3"/>
      <c r="R5" s="3"/>
      <c r="S5" s="3"/>
      <c r="T5" s="3"/>
      <c r="U5" s="3"/>
      <c r="V5" s="3"/>
    </row>
    <row r="6" spans="1:476" ht="5.25" customHeight="1" x14ac:dyDescent="0.25">
      <c r="A6" s="11" t="s">
        <v>5</v>
      </c>
      <c r="B6" s="14"/>
      <c r="C6" s="12" t="s">
        <v>6</v>
      </c>
      <c r="D6" s="12"/>
      <c r="E6" s="12" t="s">
        <v>68</v>
      </c>
      <c r="F6" s="13" t="s">
        <v>69</v>
      </c>
      <c r="G6" s="12"/>
      <c r="H6" s="12"/>
      <c r="I6" s="12"/>
      <c r="J6" s="12"/>
      <c r="K6" s="12"/>
      <c r="L6" s="11" t="s">
        <v>187</v>
      </c>
      <c r="M6" s="12" t="s">
        <v>207</v>
      </c>
      <c r="N6" s="10" t="s">
        <v>208</v>
      </c>
      <c r="O6" s="10"/>
      <c r="P6" s="10"/>
      <c r="Q6" s="10"/>
      <c r="R6" s="10"/>
      <c r="S6" s="10"/>
      <c r="T6" s="10"/>
      <c r="U6" s="10"/>
      <c r="V6" s="10" t="s">
        <v>208</v>
      </c>
    </row>
    <row r="7" spans="1:476" ht="15.6" customHeight="1" x14ac:dyDescent="0.25">
      <c r="A7" s="15" t="s">
        <v>422</v>
      </c>
      <c r="B7" s="62" t="s">
        <v>7</v>
      </c>
      <c r="C7" s="80" t="s">
        <v>413</v>
      </c>
      <c r="D7" s="91" t="s">
        <v>423</v>
      </c>
      <c r="E7" s="43" t="s">
        <v>380</v>
      </c>
      <c r="F7" s="43" t="s">
        <v>381</v>
      </c>
      <c r="G7" s="91" t="s">
        <v>424</v>
      </c>
      <c r="H7" s="91" t="s">
        <v>441</v>
      </c>
      <c r="I7" s="91" t="s">
        <v>425</v>
      </c>
      <c r="J7" s="91" t="s">
        <v>439</v>
      </c>
      <c r="K7" s="91" t="s">
        <v>426</v>
      </c>
      <c r="L7" s="91" t="s">
        <v>427</v>
      </c>
      <c r="M7" s="91" t="s">
        <v>428</v>
      </c>
      <c r="N7" s="91"/>
      <c r="O7" s="91"/>
      <c r="P7" s="91"/>
      <c r="Q7" s="91"/>
      <c r="R7" s="91"/>
      <c r="S7" s="91"/>
      <c r="T7" s="91"/>
      <c r="U7" s="91"/>
      <c r="V7" s="91" t="s">
        <v>454</v>
      </c>
    </row>
    <row r="8" spans="1:476" s="140" customFormat="1" ht="15.6" customHeight="1" x14ac:dyDescent="0.25">
      <c r="A8" s="107"/>
      <c r="B8" s="138"/>
      <c r="C8" s="81"/>
      <c r="D8" s="81"/>
      <c r="E8" s="108"/>
      <c r="F8" s="108"/>
      <c r="G8" s="81"/>
      <c r="H8" s="82"/>
      <c r="I8" s="81"/>
      <c r="J8" s="81"/>
      <c r="K8" s="81"/>
      <c r="L8" s="139"/>
      <c r="M8" s="81"/>
      <c r="N8" s="112"/>
      <c r="O8" s="81"/>
      <c r="P8" s="81"/>
      <c r="Q8" s="112"/>
      <c r="R8" s="112"/>
      <c r="S8" s="112"/>
      <c r="T8" s="112"/>
      <c r="U8" s="81"/>
      <c r="V8" s="81"/>
      <c r="W8" s="113"/>
      <c r="X8" s="113"/>
      <c r="Y8" s="113"/>
      <c r="Z8" s="113"/>
      <c r="AA8" s="113"/>
      <c r="AB8" s="113"/>
      <c r="AC8" s="113"/>
      <c r="AD8" s="113"/>
      <c r="AE8" s="113"/>
      <c r="AF8" s="113"/>
      <c r="AG8" s="113"/>
      <c r="AH8" s="113"/>
      <c r="AI8" s="113"/>
      <c r="AJ8" s="113"/>
      <c r="AK8" s="113"/>
      <c r="AL8" s="113"/>
      <c r="AM8" s="113"/>
      <c r="AN8" s="113"/>
      <c r="AO8" s="113"/>
      <c r="AP8" s="113"/>
      <c r="AQ8" s="113"/>
      <c r="AR8" s="113"/>
      <c r="AS8" s="113"/>
      <c r="AT8" s="113"/>
      <c r="AU8" s="113"/>
      <c r="AV8" s="113"/>
      <c r="AW8" s="113"/>
      <c r="AX8" s="113"/>
      <c r="AY8" s="113"/>
      <c r="AZ8" s="113"/>
      <c r="BA8" s="113"/>
      <c r="BB8" s="113"/>
      <c r="BC8" s="113"/>
      <c r="BD8" s="113"/>
      <c r="BE8" s="113"/>
      <c r="BF8" s="113"/>
      <c r="BG8" s="113"/>
      <c r="BH8" s="113"/>
      <c r="BI8" s="113"/>
      <c r="BJ8" s="113"/>
      <c r="BK8" s="113"/>
      <c r="BL8" s="113"/>
      <c r="BM8" s="113"/>
      <c r="BN8" s="113"/>
      <c r="BO8" s="113"/>
      <c r="BP8" s="113"/>
      <c r="BQ8" s="113"/>
      <c r="BR8" s="113"/>
      <c r="BS8" s="113"/>
      <c r="BT8" s="113"/>
      <c r="BU8" s="113"/>
      <c r="BV8" s="113"/>
      <c r="BW8" s="113"/>
      <c r="BX8" s="113"/>
      <c r="BY8" s="113"/>
      <c r="BZ8" s="113"/>
      <c r="CA8" s="113"/>
      <c r="CB8" s="113"/>
      <c r="CC8" s="113"/>
      <c r="CD8" s="113"/>
      <c r="CE8" s="113"/>
      <c r="CF8" s="113"/>
      <c r="CG8" s="113"/>
      <c r="CH8" s="113"/>
      <c r="CI8" s="113"/>
      <c r="CJ8" s="113"/>
      <c r="CK8" s="113"/>
      <c r="CL8" s="113"/>
      <c r="CM8" s="113"/>
      <c r="CN8" s="113"/>
      <c r="CO8" s="113"/>
      <c r="CP8" s="113"/>
      <c r="CQ8" s="113"/>
      <c r="CR8" s="113"/>
      <c r="CS8" s="113"/>
      <c r="CT8" s="113"/>
      <c r="CU8" s="113"/>
      <c r="CV8" s="113"/>
      <c r="CW8" s="113"/>
      <c r="CX8" s="113"/>
      <c r="CY8" s="113"/>
      <c r="CZ8" s="113"/>
      <c r="DA8" s="113"/>
      <c r="DB8" s="113"/>
      <c r="DC8" s="113"/>
      <c r="DD8" s="113"/>
      <c r="DE8" s="113"/>
      <c r="DF8" s="113"/>
      <c r="DG8" s="113"/>
      <c r="DH8" s="113"/>
      <c r="DI8" s="113"/>
      <c r="DJ8" s="113"/>
      <c r="DK8" s="113"/>
      <c r="DL8" s="113"/>
      <c r="DM8" s="113"/>
      <c r="DN8" s="113"/>
      <c r="DO8" s="113"/>
      <c r="DP8" s="113"/>
      <c r="DQ8" s="113"/>
      <c r="DR8" s="113"/>
      <c r="DS8" s="113"/>
      <c r="DT8" s="113"/>
      <c r="DU8" s="113"/>
      <c r="DV8" s="113"/>
      <c r="DW8" s="113"/>
      <c r="DX8" s="113"/>
      <c r="DY8" s="113"/>
      <c r="DZ8" s="113"/>
      <c r="EA8" s="113"/>
      <c r="EB8" s="113"/>
      <c r="EC8" s="113"/>
      <c r="ED8" s="113"/>
      <c r="EE8" s="113"/>
      <c r="EF8" s="113"/>
      <c r="EG8" s="113"/>
      <c r="EH8" s="113"/>
      <c r="EI8" s="113"/>
      <c r="EJ8" s="113"/>
      <c r="EK8" s="113"/>
      <c r="EL8" s="113"/>
      <c r="EM8" s="113"/>
      <c r="EN8" s="113"/>
      <c r="EO8" s="113"/>
      <c r="EP8" s="113"/>
      <c r="EQ8" s="113"/>
      <c r="ER8" s="113"/>
      <c r="ES8" s="113"/>
      <c r="ET8" s="113"/>
      <c r="EU8" s="113"/>
      <c r="EV8" s="113"/>
      <c r="EW8" s="113"/>
      <c r="EX8" s="113"/>
      <c r="EY8" s="113"/>
      <c r="EZ8" s="113"/>
      <c r="FA8" s="113"/>
      <c r="FB8" s="113"/>
      <c r="FC8" s="113"/>
      <c r="FD8" s="113"/>
      <c r="FE8" s="113"/>
      <c r="FF8" s="113"/>
      <c r="FG8" s="113"/>
      <c r="FH8" s="113"/>
      <c r="FI8" s="113"/>
      <c r="FJ8" s="113"/>
      <c r="FK8" s="113"/>
      <c r="FL8" s="113"/>
      <c r="FM8" s="113"/>
      <c r="FN8" s="113"/>
      <c r="FO8" s="113"/>
      <c r="FP8" s="113"/>
      <c r="FQ8" s="113"/>
      <c r="FR8" s="113"/>
      <c r="FS8" s="113"/>
      <c r="FT8" s="113"/>
      <c r="FU8" s="113"/>
      <c r="FV8" s="113"/>
      <c r="FW8" s="113"/>
      <c r="FX8" s="113"/>
      <c r="FY8" s="113"/>
      <c r="FZ8" s="113"/>
      <c r="GA8" s="113"/>
      <c r="GB8" s="113"/>
      <c r="GC8" s="113"/>
      <c r="GD8" s="113"/>
      <c r="GE8" s="113"/>
      <c r="GF8" s="113"/>
      <c r="GG8" s="113"/>
      <c r="GH8" s="113"/>
      <c r="GI8" s="113"/>
      <c r="GJ8" s="113"/>
      <c r="GK8" s="113"/>
      <c r="GL8" s="113"/>
      <c r="GM8" s="113"/>
      <c r="GN8" s="113"/>
      <c r="GO8" s="113"/>
      <c r="GP8" s="113"/>
      <c r="GQ8" s="113"/>
      <c r="GR8" s="113"/>
      <c r="GS8" s="113"/>
      <c r="GT8" s="113"/>
      <c r="GU8" s="113"/>
      <c r="GV8" s="113"/>
      <c r="GW8" s="113"/>
      <c r="GX8" s="113"/>
      <c r="GY8" s="113"/>
      <c r="GZ8" s="113"/>
      <c r="HA8" s="113"/>
      <c r="HB8" s="113"/>
      <c r="HC8" s="113"/>
      <c r="HD8" s="113"/>
      <c r="HE8" s="113"/>
      <c r="HF8" s="113"/>
      <c r="HG8" s="113"/>
      <c r="HH8" s="113"/>
      <c r="HI8" s="113"/>
      <c r="HJ8" s="113"/>
      <c r="HK8" s="113"/>
      <c r="HL8" s="113"/>
      <c r="HM8" s="113"/>
      <c r="HN8" s="113"/>
      <c r="HO8" s="113"/>
      <c r="HP8" s="113"/>
      <c r="HQ8" s="113"/>
      <c r="HR8" s="113"/>
      <c r="HS8" s="113"/>
      <c r="HT8" s="113"/>
      <c r="HU8" s="113"/>
      <c r="HV8" s="113"/>
      <c r="HW8" s="113"/>
      <c r="HX8" s="113"/>
      <c r="HY8" s="113"/>
      <c r="HZ8" s="113"/>
      <c r="IA8" s="113"/>
      <c r="IB8" s="113"/>
      <c r="IC8" s="113"/>
      <c r="ID8" s="113"/>
      <c r="IE8" s="113"/>
      <c r="IF8" s="113"/>
      <c r="IG8" s="113"/>
      <c r="IH8" s="113"/>
      <c r="II8" s="113"/>
      <c r="IJ8" s="113"/>
      <c r="IK8" s="113"/>
      <c r="IL8" s="113"/>
      <c r="IM8" s="113"/>
      <c r="IN8" s="113"/>
      <c r="IO8" s="113"/>
      <c r="IP8" s="113"/>
      <c r="IQ8" s="113"/>
      <c r="IR8" s="113"/>
      <c r="IS8" s="113"/>
      <c r="IT8" s="113"/>
      <c r="IU8" s="113"/>
      <c r="IV8" s="113"/>
      <c r="IW8" s="113"/>
      <c r="IX8" s="113"/>
      <c r="IY8" s="113"/>
      <c r="IZ8" s="113"/>
      <c r="JA8" s="113"/>
      <c r="JB8" s="113"/>
      <c r="JC8" s="113"/>
      <c r="JD8" s="113"/>
      <c r="JE8" s="113"/>
      <c r="JF8" s="113"/>
      <c r="JG8" s="113"/>
      <c r="JH8" s="113"/>
      <c r="JI8" s="113"/>
      <c r="JJ8" s="113"/>
      <c r="JK8" s="113"/>
      <c r="JL8" s="113"/>
      <c r="JM8" s="113"/>
      <c r="JN8" s="113"/>
      <c r="JO8" s="113"/>
      <c r="JP8" s="113"/>
      <c r="JQ8" s="113"/>
      <c r="JR8" s="113"/>
      <c r="JS8" s="113"/>
      <c r="JT8" s="113"/>
      <c r="JU8" s="113"/>
      <c r="JV8" s="113"/>
      <c r="JW8" s="113"/>
      <c r="JX8" s="113"/>
      <c r="JY8" s="113"/>
      <c r="JZ8" s="113"/>
      <c r="KA8" s="113"/>
      <c r="KB8" s="113"/>
      <c r="KC8" s="113"/>
      <c r="KD8" s="113"/>
      <c r="KE8" s="113"/>
      <c r="KF8" s="113"/>
      <c r="KG8" s="113"/>
      <c r="KH8" s="113"/>
      <c r="KI8" s="113"/>
      <c r="KJ8" s="113"/>
      <c r="KK8" s="113"/>
      <c r="KL8" s="113"/>
      <c r="KM8" s="113"/>
      <c r="KN8" s="113"/>
      <c r="KO8" s="113"/>
      <c r="KP8" s="113"/>
      <c r="KQ8" s="113"/>
      <c r="KR8" s="113"/>
      <c r="KS8" s="113"/>
      <c r="KT8" s="113"/>
      <c r="KU8" s="113"/>
      <c r="KV8" s="113"/>
      <c r="KW8" s="113"/>
      <c r="KX8" s="113"/>
      <c r="KY8" s="113"/>
      <c r="KZ8" s="113"/>
      <c r="LA8" s="113"/>
      <c r="LB8" s="113"/>
      <c r="LC8" s="113"/>
      <c r="LD8" s="113"/>
      <c r="LE8" s="113"/>
      <c r="LF8" s="113"/>
      <c r="LG8" s="113"/>
      <c r="LH8" s="113"/>
      <c r="LI8" s="113"/>
      <c r="LJ8" s="113"/>
      <c r="LK8" s="113"/>
      <c r="LL8" s="113"/>
      <c r="LM8" s="113"/>
      <c r="LN8" s="113"/>
      <c r="LO8" s="113"/>
      <c r="LP8" s="113"/>
      <c r="LQ8" s="113"/>
      <c r="LR8" s="113"/>
      <c r="LS8" s="113"/>
      <c r="LT8" s="113"/>
      <c r="LU8" s="113"/>
      <c r="LV8" s="113"/>
      <c r="LW8" s="113"/>
      <c r="LX8" s="113"/>
      <c r="LY8" s="113"/>
      <c r="LZ8" s="113"/>
      <c r="MA8" s="113"/>
      <c r="MB8" s="113"/>
      <c r="MC8" s="113"/>
      <c r="MD8" s="113"/>
      <c r="ME8" s="113"/>
      <c r="MF8" s="113"/>
      <c r="MG8" s="113"/>
      <c r="MH8" s="113"/>
      <c r="MI8" s="113"/>
      <c r="MJ8" s="113"/>
      <c r="MK8" s="113"/>
      <c r="ML8" s="113"/>
      <c r="MM8" s="113"/>
      <c r="MN8" s="113"/>
      <c r="MO8" s="113"/>
      <c r="MP8" s="113"/>
      <c r="MQ8" s="113"/>
      <c r="MR8" s="113"/>
      <c r="MS8" s="113"/>
      <c r="MT8" s="113"/>
      <c r="MU8" s="113"/>
      <c r="MV8" s="113"/>
      <c r="MW8" s="113"/>
      <c r="MX8" s="113"/>
      <c r="MY8" s="113"/>
      <c r="MZ8" s="113"/>
      <c r="NA8" s="113"/>
      <c r="NB8" s="113"/>
      <c r="NC8" s="113"/>
      <c r="ND8" s="113"/>
      <c r="NE8" s="113"/>
      <c r="NF8" s="113"/>
      <c r="NG8" s="113"/>
      <c r="NH8" s="113"/>
      <c r="NI8" s="113"/>
      <c r="NJ8" s="113"/>
      <c r="NK8" s="113"/>
      <c r="NL8" s="113"/>
      <c r="NM8" s="113"/>
      <c r="NN8" s="113"/>
      <c r="NO8" s="113"/>
      <c r="NP8" s="113"/>
      <c r="NQ8" s="113"/>
      <c r="NR8" s="113"/>
      <c r="NS8" s="113"/>
      <c r="NT8" s="113"/>
      <c r="NU8" s="113"/>
      <c r="NV8" s="113"/>
      <c r="NW8" s="113"/>
      <c r="NX8" s="113"/>
      <c r="NY8" s="113"/>
      <c r="NZ8" s="113"/>
      <c r="OA8" s="113"/>
      <c r="OB8" s="113"/>
      <c r="OC8" s="113"/>
      <c r="OD8" s="113"/>
      <c r="OE8" s="113"/>
      <c r="OF8" s="113"/>
      <c r="OG8" s="113"/>
      <c r="OH8" s="113"/>
      <c r="OI8" s="113"/>
      <c r="OJ8" s="113"/>
      <c r="OK8" s="113"/>
      <c r="OL8" s="113"/>
      <c r="OM8" s="113"/>
      <c r="ON8" s="113"/>
      <c r="OO8" s="113"/>
      <c r="OP8" s="113"/>
      <c r="OQ8" s="113"/>
      <c r="OR8" s="113"/>
      <c r="OS8" s="113"/>
      <c r="OT8" s="113"/>
      <c r="OU8" s="113"/>
      <c r="OV8" s="113"/>
      <c r="OW8" s="113"/>
      <c r="OX8" s="113"/>
      <c r="OY8" s="113"/>
      <c r="OZ8" s="113"/>
      <c r="PA8" s="113"/>
      <c r="PB8" s="113"/>
      <c r="PC8" s="113"/>
      <c r="PD8" s="113"/>
      <c r="PE8" s="113"/>
      <c r="PF8" s="113"/>
      <c r="PG8" s="113"/>
      <c r="PH8" s="113"/>
      <c r="PI8" s="113"/>
      <c r="PJ8" s="113"/>
      <c r="PK8" s="113"/>
      <c r="PL8" s="113"/>
      <c r="PM8" s="113"/>
      <c r="PN8" s="113"/>
      <c r="PO8" s="113"/>
      <c r="PP8" s="113"/>
      <c r="PQ8" s="113"/>
      <c r="PR8" s="113"/>
      <c r="PS8" s="113"/>
      <c r="PT8" s="113"/>
      <c r="PU8" s="113"/>
      <c r="PV8" s="113"/>
      <c r="PW8" s="113"/>
      <c r="PX8" s="113"/>
      <c r="PY8" s="113"/>
      <c r="PZ8" s="113"/>
      <c r="QA8" s="113"/>
      <c r="QB8" s="113"/>
      <c r="QC8" s="113"/>
      <c r="QD8" s="113"/>
      <c r="QE8" s="113"/>
      <c r="QF8" s="113"/>
      <c r="QG8" s="113"/>
      <c r="QH8" s="113"/>
      <c r="QI8" s="113"/>
      <c r="QJ8" s="113"/>
      <c r="QK8" s="113"/>
      <c r="QL8" s="113"/>
      <c r="QM8" s="113"/>
      <c r="QN8" s="113"/>
      <c r="QO8" s="113"/>
      <c r="QP8" s="113"/>
      <c r="QQ8" s="113"/>
      <c r="QR8" s="113"/>
      <c r="QS8" s="113"/>
      <c r="QT8" s="113"/>
      <c r="QU8" s="113"/>
      <c r="QV8" s="113"/>
      <c r="QW8" s="113"/>
      <c r="QX8" s="113"/>
      <c r="QY8" s="113"/>
      <c r="QZ8" s="113"/>
      <c r="RA8" s="113"/>
      <c r="RB8" s="113"/>
      <c r="RC8" s="113"/>
      <c r="RD8" s="113"/>
      <c r="RE8" s="113"/>
      <c r="RF8" s="113"/>
      <c r="RG8" s="113"/>
      <c r="RH8" s="113"/>
    </row>
    <row r="9" spans="1:476" s="140" customFormat="1" ht="15.6" customHeight="1" x14ac:dyDescent="0.25">
      <c r="A9" s="107"/>
      <c r="B9" s="138"/>
      <c r="C9" s="81"/>
      <c r="D9" s="81"/>
      <c r="E9" s="108"/>
      <c r="F9" s="108"/>
      <c r="G9" s="81"/>
      <c r="H9" s="82"/>
      <c r="I9" s="81"/>
      <c r="J9" s="81"/>
      <c r="K9" s="81"/>
      <c r="L9" s="81"/>
      <c r="M9" s="81"/>
      <c r="N9" s="112"/>
      <c r="O9" s="81"/>
      <c r="P9" s="81"/>
      <c r="Q9" s="112"/>
      <c r="R9" s="112"/>
      <c r="S9" s="112"/>
      <c r="T9" s="112"/>
      <c r="U9" s="81"/>
      <c r="V9" s="81"/>
      <c r="W9" s="113"/>
      <c r="X9" s="113"/>
      <c r="Y9" s="113"/>
      <c r="Z9" s="113"/>
      <c r="AA9" s="113"/>
      <c r="AB9" s="113"/>
      <c r="AC9" s="113"/>
      <c r="AD9" s="113"/>
      <c r="AE9" s="113"/>
      <c r="AF9" s="113"/>
      <c r="AG9" s="113"/>
      <c r="AH9" s="113"/>
      <c r="AI9" s="113"/>
      <c r="AJ9" s="113"/>
      <c r="AK9" s="113"/>
      <c r="AL9" s="113"/>
      <c r="AM9" s="113"/>
      <c r="AN9" s="113"/>
      <c r="AO9" s="113"/>
      <c r="AP9" s="113"/>
      <c r="AQ9" s="113"/>
      <c r="AR9" s="113"/>
      <c r="AS9" s="113"/>
      <c r="AT9" s="113"/>
      <c r="AU9" s="113"/>
      <c r="AV9" s="113"/>
      <c r="AW9" s="113"/>
      <c r="AX9" s="113"/>
      <c r="AY9" s="113"/>
      <c r="AZ9" s="113"/>
      <c r="BA9" s="113"/>
      <c r="BB9" s="113"/>
      <c r="BC9" s="113"/>
      <c r="BD9" s="113"/>
      <c r="BE9" s="113"/>
      <c r="BF9" s="113"/>
      <c r="BG9" s="113"/>
      <c r="BH9" s="113"/>
      <c r="BI9" s="113"/>
      <c r="BJ9" s="113"/>
      <c r="BK9" s="113"/>
      <c r="BL9" s="113"/>
      <c r="BM9" s="113"/>
      <c r="BN9" s="113"/>
      <c r="BO9" s="113"/>
      <c r="BP9" s="113"/>
      <c r="BQ9" s="113"/>
      <c r="BR9" s="113"/>
      <c r="BS9" s="113"/>
      <c r="BT9" s="113"/>
      <c r="BU9" s="113"/>
      <c r="BV9" s="113"/>
      <c r="BW9" s="113"/>
      <c r="BX9" s="113"/>
      <c r="BY9" s="113"/>
      <c r="BZ9" s="113"/>
      <c r="CA9" s="113"/>
      <c r="CB9" s="113"/>
      <c r="CC9" s="113"/>
      <c r="CD9" s="113"/>
      <c r="CE9" s="113"/>
      <c r="CF9" s="113"/>
      <c r="CG9" s="113"/>
      <c r="CH9" s="113"/>
      <c r="CI9" s="113"/>
      <c r="CJ9" s="113"/>
      <c r="CK9" s="113"/>
      <c r="CL9" s="113"/>
      <c r="CM9" s="113"/>
      <c r="CN9" s="113"/>
      <c r="CO9" s="113"/>
      <c r="CP9" s="113"/>
      <c r="CQ9" s="113"/>
      <c r="CR9" s="113"/>
      <c r="CS9" s="113"/>
      <c r="CT9" s="113"/>
      <c r="CU9" s="113"/>
      <c r="CV9" s="113"/>
      <c r="CW9" s="113"/>
      <c r="CX9" s="113"/>
      <c r="CY9" s="113"/>
      <c r="CZ9" s="113"/>
      <c r="DA9" s="113"/>
      <c r="DB9" s="113"/>
      <c r="DC9" s="113"/>
      <c r="DD9" s="113"/>
      <c r="DE9" s="113"/>
      <c r="DF9" s="113"/>
      <c r="DG9" s="113"/>
      <c r="DH9" s="113"/>
      <c r="DI9" s="113"/>
      <c r="DJ9" s="113"/>
      <c r="DK9" s="113"/>
      <c r="DL9" s="113"/>
      <c r="DM9" s="113"/>
      <c r="DN9" s="113"/>
      <c r="DO9" s="113"/>
      <c r="DP9" s="113"/>
      <c r="DQ9" s="113"/>
      <c r="DR9" s="113"/>
      <c r="DS9" s="113"/>
      <c r="DT9" s="113"/>
      <c r="DU9" s="113"/>
      <c r="DV9" s="113"/>
      <c r="DW9" s="113"/>
      <c r="DX9" s="113"/>
      <c r="DY9" s="113"/>
      <c r="DZ9" s="113"/>
      <c r="EA9" s="113"/>
      <c r="EB9" s="113"/>
      <c r="EC9" s="113"/>
      <c r="ED9" s="113"/>
      <c r="EE9" s="113"/>
      <c r="EF9" s="113"/>
      <c r="EG9" s="113"/>
      <c r="EH9" s="113"/>
      <c r="EI9" s="113"/>
      <c r="EJ9" s="113"/>
      <c r="EK9" s="113"/>
      <c r="EL9" s="113"/>
      <c r="EM9" s="113"/>
      <c r="EN9" s="113"/>
      <c r="EO9" s="113"/>
      <c r="EP9" s="113"/>
      <c r="EQ9" s="113"/>
      <c r="ER9" s="113"/>
      <c r="ES9" s="113"/>
      <c r="ET9" s="113"/>
      <c r="EU9" s="113"/>
      <c r="EV9" s="113"/>
      <c r="EW9" s="113"/>
      <c r="EX9" s="113"/>
      <c r="EY9" s="113"/>
      <c r="EZ9" s="113"/>
      <c r="FA9" s="113"/>
      <c r="FB9" s="113"/>
      <c r="FC9" s="113"/>
      <c r="FD9" s="113"/>
      <c r="FE9" s="113"/>
      <c r="FF9" s="113"/>
      <c r="FG9" s="113"/>
      <c r="FH9" s="113"/>
      <c r="FI9" s="113"/>
      <c r="FJ9" s="113"/>
      <c r="FK9" s="113"/>
      <c r="FL9" s="113"/>
      <c r="FM9" s="113"/>
      <c r="FN9" s="113"/>
      <c r="FO9" s="113"/>
      <c r="FP9" s="113"/>
      <c r="FQ9" s="113"/>
      <c r="FR9" s="113"/>
      <c r="FS9" s="113"/>
      <c r="FT9" s="113"/>
      <c r="FU9" s="113"/>
      <c r="FV9" s="113"/>
      <c r="FW9" s="113"/>
      <c r="FX9" s="113"/>
      <c r="FY9" s="113"/>
      <c r="FZ9" s="113"/>
      <c r="GA9" s="113"/>
      <c r="GB9" s="113"/>
      <c r="GC9" s="113"/>
      <c r="GD9" s="113"/>
      <c r="GE9" s="113"/>
      <c r="GF9" s="113"/>
      <c r="GG9" s="113"/>
      <c r="GH9" s="113"/>
      <c r="GI9" s="113"/>
      <c r="GJ9" s="113"/>
      <c r="GK9" s="113"/>
      <c r="GL9" s="113"/>
      <c r="GM9" s="113"/>
      <c r="GN9" s="113"/>
      <c r="GO9" s="113"/>
      <c r="GP9" s="113"/>
      <c r="GQ9" s="113"/>
      <c r="GR9" s="113"/>
      <c r="GS9" s="113"/>
      <c r="GT9" s="113"/>
      <c r="GU9" s="113"/>
      <c r="GV9" s="113"/>
      <c r="GW9" s="113"/>
      <c r="GX9" s="113"/>
      <c r="GY9" s="113"/>
      <c r="GZ9" s="113"/>
      <c r="HA9" s="113"/>
      <c r="HB9" s="113"/>
      <c r="HC9" s="113"/>
      <c r="HD9" s="113"/>
      <c r="HE9" s="113"/>
      <c r="HF9" s="113"/>
      <c r="HG9" s="113"/>
      <c r="HH9" s="113"/>
      <c r="HI9" s="113"/>
      <c r="HJ9" s="113"/>
      <c r="HK9" s="113"/>
      <c r="HL9" s="113"/>
      <c r="HM9" s="113"/>
      <c r="HN9" s="113"/>
      <c r="HO9" s="113"/>
      <c r="HP9" s="113"/>
      <c r="HQ9" s="113"/>
      <c r="HR9" s="113"/>
      <c r="HS9" s="113"/>
      <c r="HT9" s="113"/>
      <c r="HU9" s="113"/>
      <c r="HV9" s="113"/>
      <c r="HW9" s="113"/>
      <c r="HX9" s="113"/>
      <c r="HY9" s="113"/>
      <c r="HZ9" s="113"/>
      <c r="IA9" s="113"/>
      <c r="IB9" s="113"/>
      <c r="IC9" s="113"/>
      <c r="ID9" s="113"/>
      <c r="IE9" s="113"/>
      <c r="IF9" s="113"/>
      <c r="IG9" s="113"/>
      <c r="IH9" s="113"/>
      <c r="II9" s="113"/>
      <c r="IJ9" s="113"/>
      <c r="IK9" s="113"/>
      <c r="IL9" s="113"/>
      <c r="IM9" s="113"/>
      <c r="IN9" s="113"/>
      <c r="IO9" s="113"/>
      <c r="IP9" s="113"/>
      <c r="IQ9" s="113"/>
      <c r="IR9" s="113"/>
      <c r="IS9" s="113"/>
      <c r="IT9" s="113"/>
      <c r="IU9" s="113"/>
      <c r="IV9" s="113"/>
      <c r="IW9" s="113"/>
      <c r="IX9" s="113"/>
      <c r="IY9" s="113"/>
      <c r="IZ9" s="113"/>
      <c r="JA9" s="113"/>
      <c r="JB9" s="113"/>
      <c r="JC9" s="113"/>
      <c r="JD9" s="113"/>
      <c r="JE9" s="113"/>
      <c r="JF9" s="113"/>
      <c r="JG9" s="113"/>
      <c r="JH9" s="113"/>
      <c r="JI9" s="113"/>
      <c r="JJ9" s="113"/>
      <c r="JK9" s="113"/>
      <c r="JL9" s="113"/>
      <c r="JM9" s="113"/>
      <c r="JN9" s="113"/>
      <c r="JO9" s="113"/>
      <c r="JP9" s="113"/>
      <c r="JQ9" s="113"/>
      <c r="JR9" s="113"/>
      <c r="JS9" s="113"/>
      <c r="JT9" s="113"/>
      <c r="JU9" s="113"/>
      <c r="JV9" s="113"/>
      <c r="JW9" s="113"/>
      <c r="JX9" s="113"/>
      <c r="JY9" s="113"/>
      <c r="JZ9" s="113"/>
      <c r="KA9" s="113"/>
      <c r="KB9" s="113"/>
      <c r="KC9" s="113"/>
      <c r="KD9" s="113"/>
      <c r="KE9" s="113"/>
      <c r="KF9" s="113"/>
      <c r="KG9" s="113"/>
      <c r="KH9" s="113"/>
      <c r="KI9" s="113"/>
      <c r="KJ9" s="113"/>
      <c r="KK9" s="113"/>
      <c r="KL9" s="113"/>
      <c r="KM9" s="113"/>
      <c r="KN9" s="113"/>
      <c r="KO9" s="113"/>
      <c r="KP9" s="113"/>
      <c r="KQ9" s="113"/>
      <c r="KR9" s="113"/>
      <c r="KS9" s="113"/>
      <c r="KT9" s="113"/>
      <c r="KU9" s="113"/>
      <c r="KV9" s="113"/>
      <c r="KW9" s="113"/>
      <c r="KX9" s="113"/>
      <c r="KY9" s="113"/>
      <c r="KZ9" s="113"/>
      <c r="LA9" s="113"/>
      <c r="LB9" s="113"/>
      <c r="LC9" s="113"/>
      <c r="LD9" s="113"/>
      <c r="LE9" s="113"/>
      <c r="LF9" s="113"/>
      <c r="LG9" s="113"/>
      <c r="LH9" s="113"/>
      <c r="LI9" s="113"/>
      <c r="LJ9" s="113"/>
      <c r="LK9" s="113"/>
      <c r="LL9" s="113"/>
      <c r="LM9" s="113"/>
      <c r="LN9" s="113"/>
      <c r="LO9" s="113"/>
      <c r="LP9" s="113"/>
      <c r="LQ9" s="113"/>
      <c r="LR9" s="113"/>
      <c r="LS9" s="113"/>
      <c r="LT9" s="113"/>
      <c r="LU9" s="113"/>
      <c r="LV9" s="113"/>
      <c r="LW9" s="113"/>
      <c r="LX9" s="113"/>
      <c r="LY9" s="113"/>
      <c r="LZ9" s="113"/>
      <c r="MA9" s="113"/>
      <c r="MB9" s="113"/>
      <c r="MC9" s="113"/>
      <c r="MD9" s="113"/>
      <c r="ME9" s="113"/>
      <c r="MF9" s="113"/>
      <c r="MG9" s="113"/>
      <c r="MH9" s="113"/>
      <c r="MI9" s="113"/>
      <c r="MJ9" s="113"/>
      <c r="MK9" s="113"/>
      <c r="ML9" s="113"/>
      <c r="MM9" s="113"/>
      <c r="MN9" s="113"/>
      <c r="MO9" s="113"/>
      <c r="MP9" s="113"/>
      <c r="MQ9" s="113"/>
      <c r="MR9" s="113"/>
      <c r="MS9" s="113"/>
      <c r="MT9" s="113"/>
      <c r="MU9" s="113"/>
      <c r="MV9" s="113"/>
      <c r="MW9" s="113"/>
      <c r="MX9" s="113"/>
      <c r="MY9" s="113"/>
      <c r="MZ9" s="113"/>
      <c r="NA9" s="113"/>
      <c r="NB9" s="113"/>
      <c r="NC9" s="113"/>
      <c r="ND9" s="113"/>
      <c r="NE9" s="113"/>
      <c r="NF9" s="113"/>
      <c r="NG9" s="113"/>
      <c r="NH9" s="113"/>
      <c r="NI9" s="113"/>
      <c r="NJ9" s="113"/>
      <c r="NK9" s="113"/>
      <c r="NL9" s="113"/>
      <c r="NM9" s="113"/>
      <c r="NN9" s="113"/>
      <c r="NO9" s="113"/>
      <c r="NP9" s="113"/>
      <c r="NQ9" s="113"/>
      <c r="NR9" s="113"/>
      <c r="NS9" s="113"/>
      <c r="NT9" s="113"/>
      <c r="NU9" s="113"/>
      <c r="NV9" s="113"/>
      <c r="NW9" s="113"/>
      <c r="NX9" s="113"/>
      <c r="NY9" s="113"/>
      <c r="NZ9" s="113"/>
      <c r="OA9" s="113"/>
      <c r="OB9" s="113"/>
      <c r="OC9" s="113"/>
      <c r="OD9" s="113"/>
      <c r="OE9" s="113"/>
      <c r="OF9" s="113"/>
      <c r="OG9" s="113"/>
      <c r="OH9" s="113"/>
      <c r="OI9" s="113"/>
      <c r="OJ9" s="113"/>
      <c r="OK9" s="113"/>
      <c r="OL9" s="113"/>
      <c r="OM9" s="113"/>
      <c r="ON9" s="113"/>
      <c r="OO9" s="113"/>
      <c r="OP9" s="113"/>
      <c r="OQ9" s="113"/>
      <c r="OR9" s="113"/>
      <c r="OS9" s="113"/>
      <c r="OT9" s="113"/>
      <c r="OU9" s="113"/>
      <c r="OV9" s="113"/>
      <c r="OW9" s="113"/>
      <c r="OX9" s="113"/>
      <c r="OY9" s="113"/>
      <c r="OZ9" s="113"/>
      <c r="PA9" s="113"/>
      <c r="PB9" s="113"/>
      <c r="PC9" s="113"/>
      <c r="PD9" s="113"/>
      <c r="PE9" s="113"/>
      <c r="PF9" s="113"/>
      <c r="PG9" s="113"/>
      <c r="PH9" s="113"/>
      <c r="PI9" s="113"/>
      <c r="PJ9" s="113"/>
      <c r="PK9" s="113"/>
      <c r="PL9" s="113"/>
      <c r="PM9" s="113"/>
      <c r="PN9" s="113"/>
      <c r="PO9" s="113"/>
      <c r="PP9" s="113"/>
      <c r="PQ9" s="113"/>
      <c r="PR9" s="113"/>
      <c r="PS9" s="113"/>
      <c r="PT9" s="113"/>
      <c r="PU9" s="113"/>
      <c r="PV9" s="113"/>
      <c r="PW9" s="113"/>
      <c r="PX9" s="113"/>
      <c r="PY9" s="113"/>
      <c r="PZ9" s="113"/>
      <c r="QA9" s="113"/>
      <c r="QB9" s="113"/>
      <c r="QC9" s="113"/>
      <c r="QD9" s="113"/>
      <c r="QE9" s="113"/>
      <c r="QF9" s="113"/>
      <c r="QG9" s="113"/>
      <c r="QH9" s="113"/>
      <c r="QI9" s="113"/>
      <c r="QJ9" s="113"/>
      <c r="QK9" s="113"/>
      <c r="QL9" s="113"/>
      <c r="QM9" s="113"/>
      <c r="QN9" s="113"/>
      <c r="QO9" s="113"/>
      <c r="QP9" s="113"/>
      <c r="QQ9" s="113"/>
      <c r="QR9" s="113"/>
      <c r="QS9" s="113"/>
      <c r="QT9" s="113"/>
      <c r="QU9" s="113"/>
      <c r="QV9" s="113"/>
      <c r="QW9" s="113"/>
      <c r="QX9" s="113"/>
      <c r="QY9" s="113"/>
      <c r="QZ9" s="113"/>
      <c r="RA9" s="113"/>
      <c r="RB9" s="113"/>
      <c r="RC9" s="113"/>
      <c r="RD9" s="113"/>
      <c r="RE9" s="113"/>
      <c r="RF9" s="113"/>
      <c r="RG9" s="113"/>
      <c r="RH9" s="113"/>
    </row>
    <row r="10" spans="1:476" s="140" customFormat="1" ht="15.6" customHeight="1" x14ac:dyDescent="0.25">
      <c r="A10" s="107"/>
      <c r="B10" s="138"/>
      <c r="C10" s="81"/>
      <c r="D10" s="81"/>
      <c r="E10" s="108"/>
      <c r="F10" s="108"/>
      <c r="G10" s="81"/>
      <c r="H10" s="82"/>
      <c r="I10" s="81"/>
      <c r="J10" s="81"/>
      <c r="K10" s="81"/>
      <c r="L10" s="81"/>
      <c r="M10" s="81"/>
      <c r="N10" s="112"/>
      <c r="O10" s="81"/>
      <c r="P10" s="81"/>
      <c r="Q10" s="112"/>
      <c r="R10" s="112"/>
      <c r="S10" s="112"/>
      <c r="T10" s="112"/>
      <c r="U10" s="81"/>
      <c r="V10" s="81"/>
      <c r="W10" s="113"/>
      <c r="X10" s="113"/>
      <c r="Y10" s="113"/>
      <c r="Z10" s="113"/>
      <c r="AA10" s="113"/>
      <c r="AB10" s="113"/>
      <c r="AC10" s="113"/>
      <c r="AD10" s="113"/>
      <c r="AE10" s="113"/>
      <c r="AF10" s="113"/>
      <c r="AG10" s="113"/>
      <c r="AH10" s="113"/>
      <c r="AI10" s="113"/>
      <c r="AJ10" s="113"/>
      <c r="AK10" s="113"/>
      <c r="AL10" s="113"/>
      <c r="AM10" s="113"/>
      <c r="AN10" s="113"/>
      <c r="AO10" s="113"/>
      <c r="AP10" s="113"/>
      <c r="AQ10" s="113"/>
      <c r="AR10" s="113"/>
      <c r="AS10" s="113"/>
      <c r="AT10" s="113"/>
      <c r="AU10" s="113"/>
      <c r="AV10" s="113"/>
      <c r="AW10" s="113"/>
      <c r="AX10" s="113"/>
      <c r="AY10" s="113"/>
      <c r="AZ10" s="113"/>
      <c r="BA10" s="113"/>
      <c r="BB10" s="113"/>
      <c r="BC10" s="113"/>
      <c r="BD10" s="113"/>
      <c r="BE10" s="113"/>
      <c r="BF10" s="113"/>
      <c r="BG10" s="113"/>
      <c r="BH10" s="113"/>
      <c r="BI10" s="113"/>
      <c r="BJ10" s="113"/>
      <c r="BK10" s="113"/>
      <c r="BL10" s="113"/>
      <c r="BM10" s="113"/>
      <c r="BN10" s="113"/>
      <c r="BO10" s="113"/>
      <c r="BP10" s="113"/>
      <c r="BQ10" s="113"/>
      <c r="BR10" s="113"/>
      <c r="BS10" s="113"/>
      <c r="BT10" s="113"/>
      <c r="BU10" s="113"/>
      <c r="BV10" s="113"/>
      <c r="BW10" s="113"/>
      <c r="BX10" s="113"/>
      <c r="BY10" s="113"/>
      <c r="BZ10" s="113"/>
      <c r="CA10" s="113"/>
      <c r="CB10" s="113"/>
      <c r="CC10" s="113"/>
      <c r="CD10" s="113"/>
      <c r="CE10" s="113"/>
      <c r="CF10" s="113"/>
      <c r="CG10" s="113"/>
      <c r="CH10" s="113"/>
      <c r="CI10" s="113"/>
      <c r="CJ10" s="113"/>
      <c r="CK10" s="113"/>
      <c r="CL10" s="113"/>
      <c r="CM10" s="113"/>
      <c r="CN10" s="113"/>
      <c r="CO10" s="113"/>
      <c r="CP10" s="113"/>
      <c r="CQ10" s="113"/>
      <c r="CR10" s="113"/>
      <c r="CS10" s="113"/>
      <c r="CT10" s="113"/>
      <c r="CU10" s="113"/>
      <c r="CV10" s="113"/>
      <c r="CW10" s="113"/>
      <c r="CX10" s="113"/>
      <c r="CY10" s="113"/>
      <c r="CZ10" s="113"/>
      <c r="DA10" s="113"/>
      <c r="DB10" s="113"/>
      <c r="DC10" s="113"/>
      <c r="DD10" s="113"/>
      <c r="DE10" s="113"/>
      <c r="DF10" s="113"/>
      <c r="DG10" s="113"/>
      <c r="DH10" s="113"/>
      <c r="DI10" s="113"/>
      <c r="DJ10" s="113"/>
      <c r="DK10" s="113"/>
      <c r="DL10" s="113"/>
      <c r="DM10" s="113"/>
      <c r="DN10" s="113"/>
      <c r="DO10" s="113"/>
      <c r="DP10" s="113"/>
      <c r="DQ10" s="113"/>
      <c r="DR10" s="113"/>
      <c r="DS10" s="113"/>
      <c r="DT10" s="113"/>
      <c r="DU10" s="113"/>
      <c r="DV10" s="113"/>
      <c r="DW10" s="113"/>
      <c r="DX10" s="113"/>
      <c r="DY10" s="113"/>
      <c r="DZ10" s="113"/>
      <c r="EA10" s="113"/>
      <c r="EB10" s="113"/>
      <c r="EC10" s="113"/>
      <c r="ED10" s="113"/>
      <c r="EE10" s="113"/>
      <c r="EF10" s="113"/>
      <c r="EG10" s="113"/>
      <c r="EH10" s="113"/>
      <c r="EI10" s="113"/>
      <c r="EJ10" s="113"/>
      <c r="EK10" s="113"/>
      <c r="EL10" s="113"/>
      <c r="EM10" s="113"/>
      <c r="EN10" s="113"/>
      <c r="EO10" s="113"/>
      <c r="EP10" s="113"/>
      <c r="EQ10" s="113"/>
      <c r="ER10" s="113"/>
      <c r="ES10" s="113"/>
      <c r="ET10" s="113"/>
      <c r="EU10" s="113"/>
      <c r="EV10" s="113"/>
      <c r="EW10" s="113"/>
      <c r="EX10" s="113"/>
      <c r="EY10" s="113"/>
      <c r="EZ10" s="113"/>
      <c r="FA10" s="113"/>
      <c r="FB10" s="113"/>
      <c r="FC10" s="113"/>
      <c r="FD10" s="113"/>
      <c r="FE10" s="113"/>
      <c r="FF10" s="113"/>
      <c r="FG10" s="113"/>
      <c r="FH10" s="113"/>
      <c r="FI10" s="113"/>
      <c r="FJ10" s="113"/>
      <c r="FK10" s="113"/>
      <c r="FL10" s="113"/>
      <c r="FM10" s="113"/>
      <c r="FN10" s="113"/>
      <c r="FO10" s="113"/>
      <c r="FP10" s="113"/>
      <c r="FQ10" s="113"/>
      <c r="FR10" s="113"/>
      <c r="FS10" s="113"/>
      <c r="FT10" s="113"/>
      <c r="FU10" s="113"/>
      <c r="FV10" s="113"/>
      <c r="FW10" s="113"/>
      <c r="FX10" s="113"/>
      <c r="FY10" s="113"/>
      <c r="FZ10" s="113"/>
      <c r="GA10" s="113"/>
      <c r="GB10" s="113"/>
      <c r="GC10" s="113"/>
      <c r="GD10" s="113"/>
      <c r="GE10" s="113"/>
      <c r="GF10" s="113"/>
      <c r="GG10" s="113"/>
      <c r="GH10" s="113"/>
      <c r="GI10" s="113"/>
      <c r="GJ10" s="113"/>
      <c r="GK10" s="113"/>
      <c r="GL10" s="113"/>
      <c r="GM10" s="113"/>
      <c r="GN10" s="113"/>
      <c r="GO10" s="113"/>
      <c r="GP10" s="113"/>
      <c r="GQ10" s="113"/>
      <c r="GR10" s="113"/>
      <c r="GS10" s="113"/>
      <c r="GT10" s="113"/>
      <c r="GU10" s="113"/>
      <c r="GV10" s="113"/>
      <c r="GW10" s="113"/>
      <c r="GX10" s="113"/>
      <c r="GY10" s="113"/>
      <c r="GZ10" s="113"/>
      <c r="HA10" s="113"/>
      <c r="HB10" s="113"/>
      <c r="HC10" s="113"/>
      <c r="HD10" s="113"/>
      <c r="HE10" s="113"/>
      <c r="HF10" s="113"/>
      <c r="HG10" s="113"/>
      <c r="HH10" s="113"/>
      <c r="HI10" s="113"/>
      <c r="HJ10" s="113"/>
      <c r="HK10" s="113"/>
      <c r="HL10" s="113"/>
      <c r="HM10" s="113"/>
      <c r="HN10" s="113"/>
      <c r="HO10" s="113"/>
      <c r="HP10" s="113"/>
      <c r="HQ10" s="113"/>
      <c r="HR10" s="113"/>
      <c r="HS10" s="113"/>
      <c r="HT10" s="113"/>
      <c r="HU10" s="113"/>
      <c r="HV10" s="113"/>
      <c r="HW10" s="113"/>
      <c r="HX10" s="113"/>
      <c r="HY10" s="113"/>
      <c r="HZ10" s="113"/>
      <c r="IA10" s="113"/>
      <c r="IB10" s="113"/>
      <c r="IC10" s="113"/>
      <c r="ID10" s="113"/>
      <c r="IE10" s="113"/>
      <c r="IF10" s="113"/>
      <c r="IG10" s="113"/>
      <c r="IH10" s="113"/>
      <c r="II10" s="113"/>
      <c r="IJ10" s="113"/>
      <c r="IK10" s="113"/>
      <c r="IL10" s="113"/>
      <c r="IM10" s="113"/>
      <c r="IN10" s="113"/>
      <c r="IO10" s="113"/>
      <c r="IP10" s="113"/>
      <c r="IQ10" s="113"/>
      <c r="IR10" s="113"/>
      <c r="IS10" s="113"/>
      <c r="IT10" s="113"/>
      <c r="IU10" s="113"/>
      <c r="IV10" s="113"/>
      <c r="IW10" s="113"/>
      <c r="IX10" s="113"/>
      <c r="IY10" s="113"/>
      <c r="IZ10" s="113"/>
      <c r="JA10" s="113"/>
      <c r="JB10" s="113"/>
      <c r="JC10" s="113"/>
      <c r="JD10" s="113"/>
      <c r="JE10" s="113"/>
      <c r="JF10" s="113"/>
      <c r="JG10" s="113"/>
      <c r="JH10" s="113"/>
      <c r="JI10" s="113"/>
      <c r="JJ10" s="113"/>
      <c r="JK10" s="113"/>
      <c r="JL10" s="113"/>
      <c r="JM10" s="113"/>
      <c r="JN10" s="113"/>
      <c r="JO10" s="113"/>
      <c r="JP10" s="113"/>
      <c r="JQ10" s="113"/>
      <c r="JR10" s="113"/>
      <c r="JS10" s="113"/>
      <c r="JT10" s="113"/>
      <c r="JU10" s="113"/>
      <c r="JV10" s="113"/>
      <c r="JW10" s="113"/>
      <c r="JX10" s="113"/>
      <c r="JY10" s="113"/>
      <c r="JZ10" s="113"/>
      <c r="KA10" s="113"/>
      <c r="KB10" s="113"/>
      <c r="KC10" s="113"/>
      <c r="KD10" s="113"/>
      <c r="KE10" s="113"/>
      <c r="KF10" s="113"/>
      <c r="KG10" s="113"/>
      <c r="KH10" s="113"/>
      <c r="KI10" s="113"/>
      <c r="KJ10" s="113"/>
      <c r="KK10" s="113"/>
      <c r="KL10" s="113"/>
      <c r="KM10" s="113"/>
      <c r="KN10" s="113"/>
      <c r="KO10" s="113"/>
      <c r="KP10" s="113"/>
      <c r="KQ10" s="113"/>
      <c r="KR10" s="113"/>
      <c r="KS10" s="113"/>
      <c r="KT10" s="113"/>
      <c r="KU10" s="113"/>
      <c r="KV10" s="113"/>
      <c r="KW10" s="113"/>
      <c r="KX10" s="113"/>
      <c r="KY10" s="113"/>
      <c r="KZ10" s="113"/>
      <c r="LA10" s="113"/>
      <c r="LB10" s="113"/>
      <c r="LC10" s="113"/>
      <c r="LD10" s="113"/>
      <c r="LE10" s="113"/>
      <c r="LF10" s="113"/>
      <c r="LG10" s="113"/>
      <c r="LH10" s="113"/>
      <c r="LI10" s="113"/>
      <c r="LJ10" s="113"/>
      <c r="LK10" s="113"/>
      <c r="LL10" s="113"/>
      <c r="LM10" s="113"/>
      <c r="LN10" s="113"/>
      <c r="LO10" s="113"/>
      <c r="LP10" s="113"/>
      <c r="LQ10" s="113"/>
      <c r="LR10" s="113"/>
      <c r="LS10" s="113"/>
      <c r="LT10" s="113"/>
      <c r="LU10" s="113"/>
      <c r="LV10" s="113"/>
      <c r="LW10" s="113"/>
      <c r="LX10" s="113"/>
      <c r="LY10" s="113"/>
      <c r="LZ10" s="113"/>
      <c r="MA10" s="113"/>
      <c r="MB10" s="113"/>
      <c r="MC10" s="113"/>
      <c r="MD10" s="113"/>
      <c r="ME10" s="113"/>
      <c r="MF10" s="113"/>
      <c r="MG10" s="113"/>
      <c r="MH10" s="113"/>
      <c r="MI10" s="113"/>
      <c r="MJ10" s="113"/>
      <c r="MK10" s="113"/>
      <c r="ML10" s="113"/>
      <c r="MM10" s="113"/>
      <c r="MN10" s="113"/>
      <c r="MO10" s="113"/>
      <c r="MP10" s="113"/>
      <c r="MQ10" s="113"/>
      <c r="MR10" s="113"/>
      <c r="MS10" s="113"/>
      <c r="MT10" s="113"/>
      <c r="MU10" s="113"/>
      <c r="MV10" s="113"/>
      <c r="MW10" s="113"/>
      <c r="MX10" s="113"/>
      <c r="MY10" s="113"/>
      <c r="MZ10" s="113"/>
      <c r="NA10" s="113"/>
      <c r="NB10" s="113"/>
      <c r="NC10" s="113"/>
      <c r="ND10" s="113"/>
      <c r="NE10" s="113"/>
      <c r="NF10" s="113"/>
      <c r="NG10" s="113"/>
      <c r="NH10" s="113"/>
      <c r="NI10" s="113"/>
      <c r="NJ10" s="113"/>
      <c r="NK10" s="113"/>
      <c r="NL10" s="113"/>
      <c r="NM10" s="113"/>
      <c r="NN10" s="113"/>
      <c r="NO10" s="113"/>
      <c r="NP10" s="113"/>
      <c r="NQ10" s="113"/>
      <c r="NR10" s="113"/>
      <c r="NS10" s="113"/>
      <c r="NT10" s="113"/>
      <c r="NU10" s="113"/>
      <c r="NV10" s="113"/>
      <c r="NW10" s="113"/>
      <c r="NX10" s="113"/>
      <c r="NY10" s="113"/>
      <c r="NZ10" s="113"/>
      <c r="OA10" s="113"/>
      <c r="OB10" s="113"/>
      <c r="OC10" s="113"/>
      <c r="OD10" s="113"/>
      <c r="OE10" s="113"/>
      <c r="OF10" s="113"/>
      <c r="OG10" s="113"/>
      <c r="OH10" s="113"/>
      <c r="OI10" s="113"/>
      <c r="OJ10" s="113"/>
      <c r="OK10" s="113"/>
      <c r="OL10" s="113"/>
      <c r="OM10" s="113"/>
      <c r="ON10" s="113"/>
      <c r="OO10" s="113"/>
      <c r="OP10" s="113"/>
      <c r="OQ10" s="113"/>
      <c r="OR10" s="113"/>
      <c r="OS10" s="113"/>
      <c r="OT10" s="113"/>
      <c r="OU10" s="113"/>
      <c r="OV10" s="113"/>
      <c r="OW10" s="113"/>
      <c r="OX10" s="113"/>
      <c r="OY10" s="113"/>
      <c r="OZ10" s="113"/>
      <c r="PA10" s="113"/>
      <c r="PB10" s="113"/>
      <c r="PC10" s="113"/>
      <c r="PD10" s="113"/>
      <c r="PE10" s="113"/>
      <c r="PF10" s="113"/>
      <c r="PG10" s="113"/>
      <c r="PH10" s="113"/>
      <c r="PI10" s="113"/>
      <c r="PJ10" s="113"/>
      <c r="PK10" s="113"/>
      <c r="PL10" s="113"/>
      <c r="PM10" s="113"/>
      <c r="PN10" s="113"/>
      <c r="PO10" s="113"/>
      <c r="PP10" s="113"/>
      <c r="PQ10" s="113"/>
      <c r="PR10" s="113"/>
      <c r="PS10" s="113"/>
      <c r="PT10" s="113"/>
      <c r="PU10" s="113"/>
      <c r="PV10" s="113"/>
      <c r="PW10" s="113"/>
      <c r="PX10" s="113"/>
      <c r="PY10" s="113"/>
      <c r="PZ10" s="113"/>
      <c r="QA10" s="113"/>
      <c r="QB10" s="113"/>
      <c r="QC10" s="113"/>
      <c r="QD10" s="113"/>
      <c r="QE10" s="113"/>
      <c r="QF10" s="113"/>
      <c r="QG10" s="113"/>
      <c r="QH10" s="113"/>
      <c r="QI10" s="113"/>
      <c r="QJ10" s="113"/>
      <c r="QK10" s="113"/>
      <c r="QL10" s="113"/>
      <c r="QM10" s="113"/>
      <c r="QN10" s="113"/>
      <c r="QO10" s="113"/>
      <c r="QP10" s="113"/>
      <c r="QQ10" s="113"/>
      <c r="QR10" s="113"/>
      <c r="QS10" s="113"/>
      <c r="QT10" s="113"/>
      <c r="QU10" s="113"/>
      <c r="QV10" s="113"/>
      <c r="QW10" s="113"/>
      <c r="QX10" s="113"/>
      <c r="QY10" s="113"/>
      <c r="QZ10" s="113"/>
      <c r="RA10" s="113"/>
      <c r="RB10" s="113"/>
      <c r="RC10" s="113"/>
      <c r="RD10" s="113"/>
      <c r="RE10" s="113"/>
      <c r="RF10" s="113"/>
      <c r="RG10" s="113"/>
      <c r="RH10" s="113"/>
    </row>
    <row r="11" spans="1:476" ht="15.6" customHeight="1" x14ac:dyDescent="0.25">
      <c r="A11" s="7"/>
      <c r="B11" s="9"/>
      <c r="C11" s="8"/>
      <c r="D11" s="8"/>
      <c r="E11" s="8"/>
      <c r="F11" s="8"/>
      <c r="G11" s="8"/>
      <c r="H11" s="8"/>
      <c r="I11" s="8"/>
      <c r="J11" s="8"/>
      <c r="K11" s="8"/>
      <c r="L11" s="8"/>
      <c r="M11" s="8"/>
      <c r="N11" s="42"/>
      <c r="O11" s="8"/>
      <c r="P11" s="8"/>
      <c r="Q11" s="42"/>
      <c r="R11" s="42"/>
      <c r="S11" s="42"/>
      <c r="T11" s="42"/>
      <c r="U11" s="8"/>
      <c r="V11" s="8"/>
    </row>
    <row r="12" spans="1:476" ht="15.6" customHeight="1" x14ac:dyDescent="0.25">
      <c r="A12" s="7"/>
      <c r="B12" s="9"/>
      <c r="C12" s="8"/>
      <c r="D12" s="8"/>
      <c r="E12" s="8"/>
      <c r="F12" s="8"/>
      <c r="G12" s="8"/>
      <c r="H12" s="8"/>
      <c r="I12" s="8"/>
      <c r="J12" s="8"/>
      <c r="K12" s="8"/>
      <c r="L12" s="8"/>
      <c r="M12" s="8"/>
      <c r="N12" s="42"/>
      <c r="O12" s="8"/>
      <c r="P12" s="8"/>
      <c r="Q12" s="42"/>
      <c r="R12" s="42"/>
      <c r="S12" s="42"/>
      <c r="T12" s="42"/>
      <c r="U12" s="8"/>
      <c r="V12" s="8"/>
    </row>
    <row r="13" spans="1:476" ht="15.6" customHeight="1" x14ac:dyDescent="0.25">
      <c r="A13" s="7"/>
      <c r="B13" s="9"/>
      <c r="C13" s="8"/>
      <c r="D13" s="8"/>
      <c r="E13" s="8"/>
      <c r="F13" s="8"/>
      <c r="G13" s="8"/>
      <c r="H13" s="8"/>
      <c r="I13" s="8"/>
      <c r="J13" s="8"/>
      <c r="K13" s="8"/>
      <c r="L13" s="8"/>
      <c r="M13" s="8"/>
      <c r="N13" s="42"/>
      <c r="O13" s="8"/>
      <c r="P13" s="8"/>
      <c r="Q13" s="42"/>
      <c r="R13" s="42"/>
      <c r="S13" s="42"/>
      <c r="T13" s="42"/>
      <c r="U13" s="8"/>
      <c r="V13" s="8"/>
    </row>
    <row r="14" spans="1:476" ht="15.6" customHeight="1" x14ac:dyDescent="0.25">
      <c r="A14" s="7"/>
      <c r="B14" s="9"/>
      <c r="C14" s="8"/>
      <c r="D14" s="8"/>
      <c r="E14" s="8"/>
      <c r="F14" s="8"/>
      <c r="G14" s="8"/>
      <c r="H14" s="8"/>
      <c r="I14" s="8"/>
      <c r="J14" s="8"/>
      <c r="K14" s="8"/>
      <c r="L14" s="8"/>
      <c r="M14" s="8"/>
      <c r="N14" s="42"/>
      <c r="O14" s="8"/>
      <c r="P14" s="8"/>
      <c r="Q14" s="42"/>
      <c r="R14" s="42"/>
      <c r="S14" s="42"/>
      <c r="T14" s="42"/>
      <c r="U14" s="8"/>
      <c r="V14" s="8"/>
    </row>
    <row r="15" spans="1:476" ht="15.6" customHeight="1" x14ac:dyDescent="0.25">
      <c r="A15" s="7"/>
      <c r="B15" s="9"/>
      <c r="C15" s="8"/>
      <c r="D15" s="8"/>
      <c r="E15" s="8"/>
      <c r="F15" s="8"/>
      <c r="G15" s="8"/>
      <c r="H15" s="8"/>
      <c r="I15" s="8"/>
      <c r="J15" s="8"/>
      <c r="K15" s="8"/>
      <c r="L15" s="8"/>
      <c r="M15" s="8"/>
      <c r="N15"/>
      <c r="O15" s="8"/>
      <c r="P15" s="8"/>
      <c r="Q15" s="42"/>
      <c r="R15" s="42"/>
      <c r="S15" s="42"/>
      <c r="T15" s="42"/>
      <c r="U15" s="8"/>
      <c r="V15" s="8"/>
    </row>
    <row r="16" spans="1:476" ht="15.6" customHeight="1" x14ac:dyDescent="0.25">
      <c r="A16" s="7"/>
      <c r="B16" s="9"/>
      <c r="C16" s="8"/>
      <c r="D16" s="8"/>
      <c r="E16" s="8"/>
      <c r="F16" s="8"/>
      <c r="G16" s="8"/>
      <c r="H16" s="8"/>
      <c r="I16" s="8"/>
      <c r="J16" s="8"/>
      <c r="K16" s="8"/>
      <c r="L16" s="8"/>
      <c r="M16" s="8"/>
      <c r="N16" s="8" t="s">
        <v>364</v>
      </c>
      <c r="O16" s="8" t="s">
        <v>364</v>
      </c>
      <c r="P16" s="8" t="s">
        <v>364</v>
      </c>
      <c r="Q16" s="8" t="s">
        <v>364</v>
      </c>
      <c r="R16" s="8" t="s">
        <v>364</v>
      </c>
      <c r="S16" s="8" t="s">
        <v>364</v>
      </c>
      <c r="T16" s="8" t="s">
        <v>364</v>
      </c>
      <c r="U16" s="8" t="s">
        <v>364</v>
      </c>
      <c r="V16" s="8"/>
    </row>
    <row r="17" spans="1:22" ht="15.6" customHeight="1" x14ac:dyDescent="0.25">
      <c r="A17" s="7"/>
      <c r="B17" s="9"/>
      <c r="C17" s="8"/>
      <c r="D17" s="8"/>
      <c r="E17" s="8"/>
      <c r="F17" s="8"/>
      <c r="G17" s="8"/>
      <c r="H17" s="8"/>
      <c r="I17" s="8"/>
      <c r="J17" s="8"/>
      <c r="K17" s="8"/>
      <c r="L17" s="8"/>
      <c r="M17" s="8"/>
      <c r="N17" s="8"/>
      <c r="O17" s="8"/>
      <c r="P17" s="8"/>
      <c r="Q17" s="8"/>
      <c r="R17" s="8"/>
      <c r="S17" s="8"/>
      <c r="T17" s="8"/>
      <c r="U17" s="8"/>
      <c r="V17" s="8"/>
    </row>
    <row r="18" spans="1:22" ht="15.6" customHeight="1" x14ac:dyDescent="0.25">
      <c r="A18" s="7"/>
      <c r="B18" s="9"/>
      <c r="C18" s="8"/>
      <c r="D18" s="8"/>
      <c r="E18" s="8"/>
      <c r="F18" s="8"/>
      <c r="G18" s="8"/>
      <c r="H18" s="8"/>
      <c r="I18" s="8"/>
      <c r="J18" s="8"/>
      <c r="K18" s="8"/>
      <c r="L18" s="8"/>
      <c r="M18" s="8"/>
      <c r="N18" s="8"/>
      <c r="O18" s="8"/>
      <c r="P18" s="8"/>
      <c r="Q18" s="8"/>
      <c r="R18" s="8"/>
      <c r="S18" s="8"/>
      <c r="T18" s="8"/>
      <c r="U18" s="8"/>
      <c r="V18" s="8"/>
    </row>
    <row r="19" spans="1:22" ht="15.6" customHeight="1" x14ac:dyDescent="0.25">
      <c r="A19" s="7"/>
      <c r="B19" s="9"/>
      <c r="C19" s="8"/>
      <c r="D19" s="8"/>
      <c r="E19" s="8"/>
      <c r="F19" s="8"/>
      <c r="G19" s="8"/>
      <c r="H19" s="8"/>
      <c r="I19" s="8"/>
      <c r="J19" s="8"/>
      <c r="K19" s="8"/>
      <c r="L19" s="8"/>
      <c r="M19" s="8"/>
      <c r="N19" s="8"/>
      <c r="O19" s="8"/>
      <c r="P19" s="8"/>
      <c r="Q19" s="8"/>
      <c r="R19" s="8"/>
      <c r="S19" s="8"/>
      <c r="T19" s="8"/>
      <c r="U19" s="8"/>
      <c r="V19" s="8"/>
    </row>
    <row r="20" spans="1:22" ht="15.6" customHeight="1" x14ac:dyDescent="0.25">
      <c r="A20" s="7"/>
      <c r="B20" s="9"/>
      <c r="C20" s="8"/>
      <c r="D20" s="8"/>
      <c r="E20" s="8"/>
      <c r="F20" s="8"/>
      <c r="G20" s="8"/>
      <c r="H20" s="8"/>
      <c r="I20" s="8"/>
      <c r="J20" s="8"/>
      <c r="K20" s="8"/>
      <c r="L20" s="8"/>
      <c r="M20" s="8"/>
      <c r="N20" s="8"/>
      <c r="O20" s="8"/>
      <c r="P20" s="8"/>
      <c r="Q20" s="8"/>
      <c r="R20" s="8"/>
      <c r="S20" s="8"/>
      <c r="T20" s="8"/>
      <c r="U20" s="8"/>
      <c r="V20" s="8"/>
    </row>
    <row r="21" spans="1:22" ht="15.6" customHeight="1" x14ac:dyDescent="0.25">
      <c r="A21" s="7"/>
      <c r="B21" s="9"/>
      <c r="C21" s="8"/>
      <c r="D21" s="8"/>
      <c r="E21" s="8"/>
      <c r="F21" s="8"/>
      <c r="G21" s="8"/>
      <c r="H21" s="8"/>
      <c r="I21" s="8"/>
      <c r="J21" s="8"/>
      <c r="K21" s="8"/>
      <c r="L21" s="8"/>
      <c r="M21" s="8"/>
      <c r="N21" s="8"/>
      <c r="O21" s="8"/>
      <c r="P21" s="8"/>
      <c r="Q21" s="8"/>
      <c r="R21" s="8"/>
      <c r="S21" s="8"/>
      <c r="T21" s="8"/>
      <c r="U21" s="8"/>
      <c r="V21" s="8"/>
    </row>
    <row r="22" spans="1:22" ht="15.6" customHeight="1" x14ac:dyDescent="0.25">
      <c r="A22" s="7"/>
      <c r="B22" s="9"/>
      <c r="C22" s="8"/>
      <c r="D22" s="8"/>
      <c r="E22" s="8"/>
      <c r="F22" s="8"/>
      <c r="G22" s="8"/>
      <c r="H22" s="8"/>
      <c r="I22" s="8"/>
      <c r="J22" s="8"/>
      <c r="K22" s="8"/>
      <c r="L22" s="8"/>
      <c r="M22" s="8"/>
      <c r="N22" s="8"/>
      <c r="O22" s="8"/>
      <c r="P22" s="8"/>
      <c r="Q22" s="8"/>
      <c r="R22" s="8"/>
      <c r="S22" s="8"/>
      <c r="T22" s="8"/>
      <c r="U22" s="8"/>
      <c r="V22" s="8"/>
    </row>
    <row r="23" spans="1:22" ht="15.6" customHeight="1" x14ac:dyDescent="0.25">
      <c r="A23" s="7"/>
      <c r="B23" s="9"/>
      <c r="C23" s="8"/>
      <c r="D23" s="8"/>
      <c r="E23" s="8"/>
      <c r="F23" s="8"/>
      <c r="G23" s="8"/>
      <c r="H23" s="8"/>
      <c r="I23" s="8"/>
      <c r="J23" s="8"/>
      <c r="K23" s="8"/>
      <c r="L23" s="8"/>
      <c r="M23" s="8"/>
      <c r="N23" s="8"/>
      <c r="O23" s="8"/>
      <c r="P23" s="8"/>
      <c r="Q23" s="8"/>
      <c r="R23" s="8"/>
      <c r="S23" s="8"/>
      <c r="T23" s="8"/>
      <c r="U23" s="8"/>
      <c r="V23" s="8"/>
    </row>
    <row r="24" spans="1:22" ht="15.6" customHeight="1" x14ac:dyDescent="0.25">
      <c r="A24" s="7"/>
      <c r="B24" s="9"/>
      <c r="C24" s="8"/>
      <c r="D24" s="8"/>
      <c r="E24" s="8"/>
      <c r="F24" s="8"/>
      <c r="G24" s="8"/>
      <c r="H24" s="8"/>
      <c r="I24" s="8"/>
      <c r="J24" s="8"/>
      <c r="K24" s="8"/>
      <c r="L24" s="8"/>
      <c r="M24" s="8"/>
      <c r="N24" s="8"/>
      <c r="O24" s="8"/>
      <c r="P24" s="8"/>
      <c r="Q24" s="8"/>
      <c r="R24" s="8"/>
      <c r="S24" s="8"/>
      <c r="T24" s="8"/>
      <c r="U24" s="8"/>
      <c r="V24" s="8"/>
    </row>
    <row r="25" spans="1:22" ht="15.6" customHeight="1" x14ac:dyDescent="0.25">
      <c r="A25" s="7"/>
      <c r="B25" s="9"/>
      <c r="C25" s="8"/>
      <c r="D25" s="8"/>
      <c r="E25" s="8"/>
      <c r="F25" s="8"/>
      <c r="G25" s="8"/>
      <c r="H25" s="8"/>
      <c r="I25" s="8"/>
      <c r="J25" s="8"/>
      <c r="K25" s="8"/>
      <c r="L25" s="8"/>
      <c r="M25" s="8"/>
      <c r="N25" s="8"/>
      <c r="O25" s="8"/>
      <c r="P25" s="8"/>
      <c r="Q25" s="8"/>
      <c r="R25" s="8"/>
      <c r="S25" s="8"/>
      <c r="T25" s="8"/>
      <c r="U25" s="8"/>
      <c r="V25" s="8"/>
    </row>
    <row r="26" spans="1:22" ht="15.6" customHeight="1" x14ac:dyDescent="0.25">
      <c r="A26" s="7"/>
      <c r="B26" s="9"/>
      <c r="C26" s="8"/>
      <c r="D26" s="8"/>
      <c r="E26" s="8"/>
      <c r="F26" s="8"/>
      <c r="G26" s="8"/>
      <c r="H26" s="8"/>
      <c r="I26" s="8"/>
      <c r="J26" s="8"/>
      <c r="K26" s="8"/>
      <c r="L26" s="8"/>
      <c r="M26" s="8"/>
      <c r="N26" s="8"/>
      <c r="O26" s="8"/>
      <c r="P26" s="8"/>
      <c r="Q26" s="8"/>
      <c r="R26" s="8"/>
      <c r="S26" s="8"/>
      <c r="T26" s="8"/>
      <c r="U26" s="8"/>
      <c r="V26" s="8"/>
    </row>
    <row r="27" spans="1:22" ht="15.6" customHeight="1" x14ac:dyDescent="0.25">
      <c r="A27" s="7"/>
      <c r="B27" s="9"/>
      <c r="C27" s="8"/>
      <c r="D27" s="8"/>
      <c r="E27" s="8"/>
      <c r="F27" s="8"/>
      <c r="G27" s="8"/>
      <c r="H27" s="8"/>
      <c r="I27" s="8"/>
      <c r="J27" s="8"/>
      <c r="K27" s="8"/>
      <c r="L27" s="8"/>
      <c r="M27" s="8"/>
      <c r="N27" s="8"/>
      <c r="O27" s="8"/>
      <c r="P27" s="8"/>
      <c r="Q27" s="8"/>
      <c r="R27" s="8"/>
      <c r="S27" s="8"/>
      <c r="T27" s="8"/>
      <c r="U27" s="8"/>
      <c r="V27" s="8"/>
    </row>
    <row r="28" spans="1:22" ht="15.6" customHeight="1" x14ac:dyDescent="0.25">
      <c r="A28" s="7"/>
      <c r="B28" s="9"/>
      <c r="C28" s="8"/>
      <c r="D28" s="8"/>
      <c r="E28" s="8"/>
      <c r="F28" s="8"/>
      <c r="G28" s="8"/>
      <c r="H28" s="8"/>
      <c r="I28" s="8"/>
      <c r="J28" s="8"/>
      <c r="K28" s="8"/>
      <c r="L28" s="8"/>
      <c r="M28" s="8"/>
      <c r="N28" s="8"/>
      <c r="O28" s="8"/>
      <c r="P28" s="8"/>
      <c r="Q28" s="8"/>
      <c r="R28" s="8"/>
      <c r="S28" s="8"/>
      <c r="T28" s="8"/>
      <c r="U28" s="8"/>
      <c r="V28" s="8"/>
    </row>
    <row r="29" spans="1:22" ht="15.6" customHeight="1" x14ac:dyDescent="0.25">
      <c r="A29" s="7"/>
      <c r="B29" s="9"/>
      <c r="C29" s="8"/>
      <c r="D29" s="8"/>
      <c r="E29" s="8"/>
      <c r="F29" s="8"/>
      <c r="G29" s="8"/>
      <c r="H29" s="8"/>
      <c r="I29" s="8"/>
      <c r="J29" s="8"/>
      <c r="K29" s="8"/>
      <c r="L29" s="8"/>
      <c r="M29" s="8"/>
      <c r="N29" s="8"/>
      <c r="O29" s="8"/>
      <c r="P29" s="8"/>
      <c r="Q29" s="8"/>
      <c r="R29" s="8"/>
      <c r="S29" s="8"/>
      <c r="T29" s="8"/>
      <c r="U29" s="8"/>
      <c r="V29" s="8"/>
    </row>
    <row r="30" spans="1:22" ht="15.6" customHeight="1" x14ac:dyDescent="0.25">
      <c r="A30" s="7"/>
      <c r="B30" s="9"/>
      <c r="C30" s="8"/>
      <c r="D30" s="8"/>
      <c r="E30" s="8"/>
      <c r="F30" s="8"/>
      <c r="G30" s="8"/>
      <c r="H30" s="8"/>
      <c r="I30" s="8"/>
      <c r="J30" s="8"/>
      <c r="K30" s="8"/>
      <c r="L30" s="8"/>
      <c r="M30" s="8"/>
      <c r="N30" s="8"/>
      <c r="O30" s="8"/>
      <c r="P30" s="8"/>
      <c r="Q30" s="8"/>
      <c r="R30" s="8"/>
      <c r="S30" s="8"/>
      <c r="T30" s="8"/>
      <c r="U30" s="8"/>
      <c r="V30" s="8"/>
    </row>
    <row r="31" spans="1:22" ht="15.6" customHeight="1" x14ac:dyDescent="0.25">
      <c r="A31" s="7"/>
      <c r="B31" s="9"/>
      <c r="C31" s="8"/>
      <c r="D31" s="8"/>
      <c r="E31" s="8"/>
      <c r="F31" s="8"/>
      <c r="G31" s="8"/>
      <c r="H31" s="8"/>
      <c r="I31" s="8"/>
      <c r="J31" s="8"/>
      <c r="K31" s="8"/>
      <c r="L31" s="8"/>
      <c r="M31" s="8"/>
      <c r="N31" s="8"/>
      <c r="O31" s="8"/>
      <c r="P31" s="8"/>
      <c r="Q31" s="8"/>
      <c r="R31" s="8"/>
      <c r="S31" s="8"/>
      <c r="T31" s="8"/>
      <c r="U31" s="8"/>
      <c r="V31" s="8"/>
    </row>
    <row r="32" spans="1:22" ht="15.6" customHeight="1" x14ac:dyDescent="0.25">
      <c r="A32" s="7"/>
      <c r="B32" s="9"/>
      <c r="C32" s="8"/>
      <c r="D32" s="8"/>
      <c r="E32" s="8"/>
      <c r="F32" s="8"/>
      <c r="G32" s="8"/>
      <c r="H32" s="8"/>
      <c r="I32" s="8"/>
      <c r="J32" s="8"/>
      <c r="K32" s="8"/>
      <c r="L32" s="8"/>
      <c r="M32" s="8"/>
      <c r="N32" s="8"/>
      <c r="O32" s="8"/>
      <c r="P32" s="8"/>
      <c r="Q32" s="8"/>
      <c r="R32" s="8"/>
      <c r="S32" s="8"/>
      <c r="T32" s="8"/>
      <c r="U32" s="8"/>
      <c r="V32" s="8"/>
    </row>
    <row r="33" spans="1:22" ht="15.6" customHeight="1" x14ac:dyDescent="0.25">
      <c r="A33" s="7"/>
      <c r="B33" s="9"/>
      <c r="C33" s="8"/>
      <c r="D33" s="8"/>
      <c r="E33" s="8"/>
      <c r="F33" s="8"/>
      <c r="G33" s="8"/>
      <c r="H33" s="8"/>
      <c r="I33" s="8"/>
      <c r="J33" s="8"/>
      <c r="K33" s="8"/>
      <c r="L33" s="8"/>
      <c r="M33" s="8"/>
      <c r="N33" s="8"/>
      <c r="O33" s="8"/>
      <c r="P33" s="8"/>
      <c r="Q33" s="8"/>
      <c r="R33" s="8"/>
      <c r="S33" s="8"/>
      <c r="T33" s="8"/>
      <c r="U33" s="8"/>
      <c r="V33" s="8"/>
    </row>
    <row r="34" spans="1:22" ht="15.6" customHeight="1" x14ac:dyDescent="0.25">
      <c r="A34" s="7"/>
      <c r="B34" s="9"/>
      <c r="C34" s="8"/>
      <c r="D34" s="8"/>
      <c r="E34" s="8"/>
      <c r="F34" s="8"/>
      <c r="G34" s="8"/>
      <c r="H34" s="8"/>
      <c r="I34" s="8"/>
      <c r="J34" s="8"/>
      <c r="K34" s="8"/>
      <c r="L34" s="8"/>
      <c r="M34" s="8"/>
      <c r="N34" s="8"/>
      <c r="O34" s="8"/>
      <c r="P34" s="8"/>
      <c r="Q34" s="8"/>
      <c r="R34" s="8"/>
      <c r="S34" s="8"/>
      <c r="T34" s="8"/>
      <c r="U34" s="8"/>
      <c r="V34" s="8"/>
    </row>
    <row r="35" spans="1:22" ht="15.6" customHeight="1" x14ac:dyDescent="0.25">
      <c r="A35" s="7"/>
      <c r="B35" s="9"/>
      <c r="C35" s="8"/>
      <c r="D35" s="8"/>
      <c r="E35" s="8"/>
      <c r="F35" s="8"/>
      <c r="G35" s="8"/>
      <c r="H35" s="8"/>
      <c r="I35" s="8"/>
      <c r="J35" s="8"/>
      <c r="K35" s="8"/>
      <c r="L35" s="8"/>
      <c r="M35" s="8"/>
      <c r="N35" s="8"/>
      <c r="O35" s="8"/>
      <c r="P35" s="8"/>
      <c r="Q35" s="8"/>
      <c r="R35" s="8"/>
      <c r="S35" s="8"/>
      <c r="T35" s="8"/>
      <c r="U35" s="8"/>
      <c r="V35" s="8"/>
    </row>
    <row r="36" spans="1:22" ht="15.6" customHeight="1" x14ac:dyDescent="0.25">
      <c r="A36" s="7"/>
      <c r="B36" s="9"/>
      <c r="C36" s="8"/>
      <c r="D36" s="8"/>
      <c r="E36" s="8"/>
      <c r="F36" s="8"/>
      <c r="G36" s="8"/>
      <c r="H36" s="8"/>
      <c r="I36" s="8"/>
      <c r="J36" s="8"/>
      <c r="K36" s="8"/>
      <c r="L36" s="8"/>
      <c r="M36" s="8"/>
      <c r="N36" s="8"/>
      <c r="O36" s="8"/>
      <c r="P36" s="8"/>
      <c r="Q36" s="8"/>
      <c r="R36" s="8"/>
      <c r="S36" s="8"/>
      <c r="T36" s="8"/>
      <c r="U36" s="8"/>
      <c r="V36" s="8"/>
    </row>
    <row r="37" spans="1:22" ht="15.6" customHeight="1" x14ac:dyDescent="0.25">
      <c r="A37" s="7"/>
      <c r="B37" s="9"/>
      <c r="C37" s="8"/>
      <c r="D37" s="8"/>
      <c r="E37" s="8"/>
      <c r="F37" s="8"/>
      <c r="G37" s="8"/>
      <c r="H37" s="8"/>
      <c r="I37" s="8"/>
      <c r="J37" s="8"/>
      <c r="K37" s="8"/>
      <c r="L37" s="8"/>
      <c r="M37" s="8"/>
      <c r="N37" s="8"/>
      <c r="O37" s="8"/>
      <c r="P37" s="8"/>
      <c r="Q37" s="8"/>
      <c r="R37" s="8"/>
      <c r="S37" s="8"/>
      <c r="T37" s="8"/>
      <c r="U37" s="8"/>
      <c r="V37" s="8"/>
    </row>
    <row r="38" spans="1:22" ht="15.6" customHeight="1" x14ac:dyDescent="0.25">
      <c r="A38" s="7"/>
      <c r="B38" s="9"/>
      <c r="C38" s="8"/>
      <c r="D38" s="8"/>
      <c r="E38" s="8"/>
      <c r="F38" s="8"/>
      <c r="G38" s="8"/>
      <c r="H38" s="8"/>
      <c r="I38" s="8"/>
      <c r="J38" s="8"/>
      <c r="K38" s="8"/>
      <c r="L38" s="8"/>
      <c r="M38" s="8"/>
      <c r="N38" s="8"/>
      <c r="O38" s="8"/>
      <c r="P38" s="8"/>
      <c r="Q38" s="8"/>
      <c r="R38" s="8"/>
      <c r="S38" s="8"/>
      <c r="T38" s="8"/>
      <c r="U38" s="8"/>
      <c r="V38" s="8"/>
    </row>
    <row r="39" spans="1:22" ht="15.6" customHeight="1" x14ac:dyDescent="0.25">
      <c r="A39" s="7"/>
      <c r="B39" s="9"/>
      <c r="C39" s="8"/>
      <c r="D39" s="8"/>
      <c r="E39" s="8"/>
      <c r="F39" s="8"/>
      <c r="G39" s="8"/>
      <c r="H39" s="8"/>
      <c r="I39" s="8"/>
      <c r="J39" s="8"/>
      <c r="K39" s="8"/>
      <c r="L39" s="8"/>
      <c r="M39" s="8"/>
      <c r="N39" s="8"/>
      <c r="O39" s="8"/>
      <c r="P39" s="8"/>
      <c r="Q39" s="8"/>
      <c r="R39" s="8"/>
      <c r="S39" s="8"/>
      <c r="T39" s="8"/>
      <c r="U39" s="8"/>
      <c r="V39" s="8"/>
    </row>
    <row r="40" spans="1:22" ht="15.6" customHeight="1" x14ac:dyDescent="0.25">
      <c r="A40" s="7"/>
      <c r="B40" s="9"/>
      <c r="C40" s="8"/>
      <c r="D40" s="8"/>
      <c r="E40" s="8"/>
      <c r="F40" s="8"/>
      <c r="G40" s="8"/>
      <c r="H40" s="8"/>
      <c r="I40" s="8"/>
      <c r="J40" s="8"/>
      <c r="K40" s="8"/>
      <c r="L40" s="8"/>
      <c r="M40" s="8"/>
      <c r="N40" s="8"/>
      <c r="O40" s="8"/>
      <c r="P40" s="8"/>
      <c r="Q40" s="8"/>
      <c r="R40" s="8"/>
      <c r="S40" s="8"/>
      <c r="T40" s="8"/>
      <c r="U40" s="8"/>
      <c r="V40" s="8"/>
    </row>
    <row r="41" spans="1:22" ht="15.6" customHeight="1" x14ac:dyDescent="0.25">
      <c r="A41" s="7"/>
      <c r="B41" s="9"/>
      <c r="C41" s="8"/>
      <c r="D41" s="8"/>
      <c r="E41" s="8"/>
      <c r="F41" s="8"/>
      <c r="G41" s="8"/>
      <c r="H41" s="8"/>
      <c r="I41" s="8"/>
      <c r="J41" s="8"/>
      <c r="K41" s="8"/>
      <c r="L41" s="8"/>
      <c r="M41" s="8"/>
      <c r="N41" s="8"/>
      <c r="O41" s="8"/>
      <c r="P41" s="8"/>
      <c r="Q41" s="8"/>
      <c r="R41" s="8"/>
      <c r="S41" s="8"/>
      <c r="T41" s="8"/>
      <c r="U41" s="8"/>
      <c r="V41" s="8"/>
    </row>
    <row r="42" spans="1:22" ht="15.6" customHeight="1" x14ac:dyDescent="0.25">
      <c r="A42" s="7"/>
      <c r="B42" s="9"/>
      <c r="C42" s="8"/>
      <c r="D42" s="8"/>
      <c r="E42" s="8"/>
      <c r="F42" s="8"/>
      <c r="G42" s="8"/>
      <c r="H42" s="8"/>
      <c r="I42" s="8"/>
      <c r="J42" s="8"/>
      <c r="K42" s="8"/>
      <c r="L42" s="8"/>
      <c r="M42" s="8"/>
      <c r="N42" s="8"/>
      <c r="O42" s="8"/>
      <c r="P42" s="8"/>
      <c r="Q42" s="8"/>
      <c r="R42" s="8"/>
      <c r="S42" s="8"/>
      <c r="T42" s="8"/>
      <c r="U42" s="8"/>
      <c r="V42" s="8"/>
    </row>
    <row r="43" spans="1:22" ht="15.6" customHeight="1" x14ac:dyDescent="0.25">
      <c r="A43" s="7"/>
      <c r="B43" s="9"/>
      <c r="C43" s="8"/>
      <c r="D43" s="8"/>
      <c r="E43" s="8"/>
      <c r="F43" s="8"/>
      <c r="G43" s="8"/>
      <c r="H43" s="8"/>
      <c r="I43" s="8"/>
      <c r="J43" s="8"/>
      <c r="K43" s="8"/>
      <c r="L43" s="8"/>
      <c r="M43" s="8"/>
      <c r="N43" s="8"/>
      <c r="O43" s="8"/>
      <c r="P43" s="8"/>
      <c r="Q43" s="8"/>
      <c r="R43" s="8"/>
      <c r="S43" s="8"/>
      <c r="T43" s="8"/>
      <c r="U43" s="8"/>
      <c r="V43" s="8"/>
    </row>
    <row r="44" spans="1:22" ht="15.6" customHeight="1" x14ac:dyDescent="0.25">
      <c r="A44" s="7"/>
      <c r="B44" s="9"/>
      <c r="C44" s="8"/>
      <c r="D44" s="8"/>
      <c r="E44" s="8"/>
      <c r="F44" s="8"/>
      <c r="G44" s="8"/>
      <c r="H44" s="8"/>
      <c r="I44" s="8"/>
      <c r="J44" s="8"/>
      <c r="K44" s="8"/>
      <c r="L44" s="8"/>
      <c r="M44" s="8"/>
      <c r="N44" s="8"/>
      <c r="O44" s="8"/>
      <c r="P44" s="8"/>
      <c r="Q44" s="8"/>
      <c r="R44" s="8"/>
      <c r="S44" s="8"/>
      <c r="T44" s="8"/>
      <c r="U44" s="8"/>
      <c r="V44" s="8"/>
    </row>
    <row r="45" spans="1:22" ht="15.6" customHeight="1" x14ac:dyDescent="0.25">
      <c r="A45" s="7"/>
      <c r="B45" s="9"/>
      <c r="C45" s="8"/>
      <c r="D45" s="8"/>
      <c r="E45" s="8"/>
      <c r="F45" s="8"/>
      <c r="G45" s="8"/>
      <c r="H45" s="8"/>
      <c r="I45" s="8"/>
      <c r="J45" s="8"/>
      <c r="K45" s="8"/>
      <c r="L45" s="8"/>
      <c r="M45" s="8"/>
      <c r="N45" s="8"/>
      <c r="O45" s="8"/>
      <c r="P45" s="8"/>
      <c r="Q45" s="8"/>
      <c r="R45" s="8"/>
      <c r="S45" s="8"/>
      <c r="T45" s="8"/>
      <c r="U45" s="8"/>
      <c r="V45" s="8"/>
    </row>
    <row r="46" spans="1:22" ht="15.6" customHeight="1" x14ac:dyDescent="0.25">
      <c r="A46" s="7"/>
      <c r="B46" s="9"/>
      <c r="C46" s="8"/>
      <c r="D46" s="8"/>
      <c r="E46" s="8"/>
      <c r="F46" s="8"/>
      <c r="G46" s="8"/>
      <c r="H46" s="8"/>
      <c r="I46" s="8"/>
      <c r="J46" s="8"/>
      <c r="K46" s="8"/>
      <c r="L46" s="8"/>
      <c r="M46" s="8"/>
      <c r="N46" s="8"/>
      <c r="O46" s="8"/>
      <c r="P46" s="8"/>
      <c r="Q46" s="8"/>
      <c r="R46" s="8"/>
      <c r="S46" s="8"/>
      <c r="T46" s="8"/>
      <c r="U46" s="8"/>
      <c r="V46" s="8"/>
    </row>
    <row r="47" spans="1:22" ht="15.6" customHeight="1" x14ac:dyDescent="0.25">
      <c r="A47" s="7"/>
      <c r="B47" s="9"/>
      <c r="C47" s="8"/>
      <c r="D47" s="8"/>
      <c r="E47" s="8"/>
      <c r="F47" s="8"/>
      <c r="G47" s="8"/>
      <c r="H47" s="8"/>
      <c r="I47" s="8"/>
      <c r="J47" s="8"/>
      <c r="K47" s="8"/>
      <c r="L47" s="8"/>
      <c r="M47" s="8"/>
      <c r="N47" s="8"/>
      <c r="O47" s="8"/>
      <c r="P47" s="8"/>
      <c r="Q47" s="8"/>
      <c r="R47" s="8"/>
      <c r="S47" s="8"/>
      <c r="T47" s="8"/>
      <c r="U47" s="8"/>
      <c r="V47" s="8"/>
    </row>
    <row r="48" spans="1:22" ht="15.6" customHeight="1" x14ac:dyDescent="0.25">
      <c r="A48" s="7"/>
      <c r="B48" s="9"/>
      <c r="C48" s="8"/>
      <c r="D48" s="8"/>
      <c r="E48" s="8"/>
      <c r="F48" s="8"/>
      <c r="G48" s="8"/>
      <c r="H48" s="8"/>
      <c r="I48" s="8"/>
      <c r="J48" s="8"/>
      <c r="K48" s="8"/>
      <c r="L48" s="8"/>
      <c r="M48" s="8"/>
      <c r="N48" s="8"/>
      <c r="O48" s="8"/>
      <c r="P48" s="8"/>
      <c r="Q48" s="8"/>
      <c r="R48" s="8"/>
      <c r="S48" s="8"/>
      <c r="T48" s="8"/>
      <c r="U48" s="8"/>
      <c r="V48" s="8"/>
    </row>
    <row r="49" spans="1:22" ht="15.6" customHeight="1" x14ac:dyDescent="0.25">
      <c r="A49" s="7"/>
      <c r="B49" s="9"/>
      <c r="C49" s="8"/>
      <c r="D49" s="8"/>
      <c r="E49" s="8"/>
      <c r="F49" s="8"/>
      <c r="G49" s="8"/>
      <c r="H49" s="8"/>
      <c r="I49" s="8"/>
      <c r="J49" s="8"/>
      <c r="K49" s="8"/>
      <c r="L49" s="8"/>
      <c r="M49" s="8"/>
      <c r="N49" s="8"/>
      <c r="O49" s="8"/>
      <c r="P49" s="8"/>
      <c r="Q49" s="8"/>
      <c r="R49" s="8"/>
      <c r="S49" s="8"/>
      <c r="T49" s="8"/>
      <c r="U49" s="8"/>
      <c r="V49" s="8"/>
    </row>
    <row r="50" spans="1:22" ht="15.6" customHeight="1" x14ac:dyDescent="0.25">
      <c r="A50" s="7"/>
      <c r="B50" s="9"/>
      <c r="C50" s="8"/>
      <c r="D50" s="8"/>
      <c r="E50" s="8"/>
      <c r="F50" s="8"/>
      <c r="G50" s="8"/>
      <c r="H50" s="8"/>
      <c r="I50" s="8"/>
      <c r="J50" s="8"/>
      <c r="K50" s="8"/>
      <c r="L50" s="8"/>
      <c r="M50" s="8"/>
      <c r="N50" s="8"/>
      <c r="O50" s="8"/>
      <c r="P50" s="8"/>
      <c r="Q50" s="8"/>
      <c r="R50" s="8"/>
      <c r="S50" s="8"/>
      <c r="T50" s="8"/>
      <c r="U50" s="8"/>
      <c r="V50" s="8"/>
    </row>
    <row r="51" spans="1:22" ht="15" x14ac:dyDescent="0.25">
      <c r="A51" s="7"/>
      <c r="B51" s="9"/>
      <c r="C51" s="8"/>
      <c r="D51" s="8"/>
      <c r="E51" s="8"/>
      <c r="F51" s="8"/>
      <c r="G51" s="8"/>
      <c r="H51" s="8"/>
      <c r="I51" s="8"/>
      <c r="J51" s="8"/>
      <c r="K51" s="8"/>
      <c r="L51" s="8"/>
      <c r="M51" s="8"/>
      <c r="N51" s="8"/>
      <c r="O51" s="8"/>
      <c r="P51" s="8"/>
      <c r="Q51" s="8"/>
      <c r="R51" s="8"/>
      <c r="S51" s="8"/>
      <c r="T51" s="8"/>
      <c r="U51" s="8"/>
      <c r="V51" s="8"/>
    </row>
    <row r="52" spans="1:22" ht="15.6" customHeight="1" x14ac:dyDescent="0.25">
      <c r="A52" s="7"/>
      <c r="B52" s="9"/>
      <c r="C52" s="8"/>
      <c r="D52" s="8"/>
      <c r="E52" s="8"/>
      <c r="F52" s="8"/>
      <c r="G52" s="8"/>
      <c r="H52" s="8"/>
      <c r="I52" s="8"/>
      <c r="J52" s="8"/>
      <c r="K52" s="8"/>
      <c r="L52" s="8"/>
      <c r="M52" s="8"/>
      <c r="N52" s="8"/>
      <c r="O52" s="8"/>
      <c r="P52" s="8"/>
      <c r="Q52" s="8"/>
      <c r="R52" s="8"/>
      <c r="S52" s="8"/>
      <c r="T52" s="8"/>
      <c r="U52" s="8"/>
      <c r="V52" s="8"/>
    </row>
    <row r="53" spans="1:22" ht="15.6" customHeight="1" x14ac:dyDescent="0.25">
      <c r="A53" s="7"/>
      <c r="B53" s="9"/>
      <c r="C53" s="8"/>
      <c r="D53" s="8"/>
      <c r="E53" s="8"/>
      <c r="F53" s="8"/>
      <c r="G53" s="8"/>
      <c r="H53" s="8"/>
      <c r="I53" s="8"/>
      <c r="J53" s="8"/>
      <c r="K53" s="8"/>
      <c r="L53" s="8"/>
      <c r="M53" s="8"/>
      <c r="N53" s="8"/>
      <c r="O53" s="8"/>
      <c r="P53" s="8"/>
      <c r="Q53" s="8"/>
      <c r="R53" s="8"/>
      <c r="S53" s="8"/>
      <c r="T53" s="8"/>
      <c r="U53" s="8"/>
      <c r="V53" s="8"/>
    </row>
    <row r="54" spans="1:22" ht="15.6" customHeight="1" x14ac:dyDescent="0.25">
      <c r="A54" s="7"/>
      <c r="B54" s="9"/>
      <c r="C54" s="8"/>
      <c r="D54" s="8"/>
      <c r="E54" s="8"/>
      <c r="F54" s="8"/>
      <c r="G54" s="8"/>
      <c r="H54" s="8"/>
      <c r="I54" s="8"/>
      <c r="J54" s="8"/>
      <c r="K54" s="8"/>
      <c r="L54" s="8"/>
      <c r="M54" s="8"/>
      <c r="N54" s="8"/>
      <c r="O54" s="8"/>
      <c r="P54" s="8"/>
      <c r="Q54" s="8"/>
      <c r="R54" s="8"/>
      <c r="S54" s="8"/>
      <c r="T54" s="8"/>
      <c r="U54" s="8"/>
      <c r="V54" s="8"/>
    </row>
    <row r="55" spans="1:22" ht="15.6" customHeight="1" x14ac:dyDescent="0.25">
      <c r="A55" s="7"/>
      <c r="B55" s="9"/>
      <c r="C55" s="8"/>
      <c r="D55" s="8"/>
      <c r="E55" s="8"/>
      <c r="F55" s="8"/>
      <c r="G55" s="8"/>
      <c r="H55" s="8"/>
      <c r="I55" s="8"/>
      <c r="J55" s="8"/>
      <c r="K55" s="8"/>
      <c r="L55" s="8"/>
      <c r="M55" s="8"/>
      <c r="N55" s="8"/>
      <c r="O55" s="8"/>
      <c r="P55" s="8"/>
      <c r="Q55" s="8"/>
      <c r="R55" s="8"/>
      <c r="S55" s="8"/>
      <c r="T55" s="8"/>
      <c r="U55" s="8"/>
      <c r="V55" s="8"/>
    </row>
    <row r="56" spans="1:22" ht="15.6" customHeight="1" x14ac:dyDescent="0.25">
      <c r="A56" s="7"/>
      <c r="B56" s="9"/>
      <c r="C56" s="8"/>
      <c r="D56" s="8"/>
      <c r="E56" s="8"/>
      <c r="F56" s="8"/>
      <c r="G56" s="8"/>
      <c r="H56" s="8"/>
      <c r="I56" s="8"/>
      <c r="J56" s="8"/>
      <c r="K56" s="8"/>
      <c r="L56" s="8"/>
      <c r="M56" s="8"/>
      <c r="N56" s="8"/>
      <c r="O56" s="8"/>
      <c r="P56" s="8"/>
      <c r="Q56" s="8"/>
      <c r="R56" s="8"/>
      <c r="S56" s="8"/>
      <c r="T56" s="8"/>
      <c r="U56" s="8"/>
      <c r="V56" s="8"/>
    </row>
    <row r="57" spans="1:22" ht="15.6" customHeight="1" x14ac:dyDescent="0.25">
      <c r="A57" s="7"/>
      <c r="B57" s="9"/>
      <c r="C57" s="8"/>
      <c r="D57" s="8"/>
      <c r="E57" s="8"/>
      <c r="F57" s="8"/>
      <c r="G57" s="8"/>
      <c r="H57" s="8"/>
      <c r="I57" s="8"/>
      <c r="J57" s="8"/>
      <c r="K57" s="8"/>
      <c r="L57" s="8"/>
      <c r="M57" s="8"/>
      <c r="N57" s="8"/>
      <c r="O57" s="8"/>
      <c r="P57" s="8"/>
      <c r="Q57" s="8"/>
      <c r="R57" s="8"/>
      <c r="S57" s="8"/>
      <c r="T57" s="8"/>
      <c r="U57" s="8"/>
      <c r="V57" s="8"/>
    </row>
    <row r="58" spans="1:22" ht="15.6" customHeight="1" x14ac:dyDescent="0.25">
      <c r="A58" s="7"/>
      <c r="B58" s="9"/>
      <c r="C58" s="8"/>
      <c r="D58" s="8"/>
      <c r="E58" s="8"/>
      <c r="F58" s="8"/>
      <c r="G58" s="8"/>
      <c r="H58" s="8"/>
      <c r="I58" s="8"/>
      <c r="J58" s="8"/>
      <c r="K58" s="8"/>
      <c r="L58" s="8"/>
      <c r="M58" s="8"/>
      <c r="N58" s="8"/>
      <c r="O58" s="8"/>
      <c r="P58" s="8"/>
      <c r="Q58" s="8"/>
      <c r="R58" s="8"/>
      <c r="S58" s="8"/>
      <c r="T58" s="8"/>
      <c r="U58" s="8"/>
      <c r="V58" s="8"/>
    </row>
    <row r="59" spans="1:22" ht="15.6" customHeight="1" x14ac:dyDescent="0.25">
      <c r="A59" s="7"/>
      <c r="B59" s="9"/>
      <c r="C59" s="8"/>
      <c r="D59" s="8"/>
      <c r="E59" s="8"/>
      <c r="F59" s="8"/>
      <c r="G59" s="8"/>
      <c r="H59" s="8"/>
      <c r="I59" s="8"/>
      <c r="J59" s="8"/>
      <c r="K59" s="8"/>
      <c r="L59" s="8"/>
      <c r="M59" s="8"/>
      <c r="N59" s="8"/>
      <c r="O59" s="8"/>
      <c r="P59" s="8"/>
      <c r="Q59" s="8"/>
      <c r="R59" s="8"/>
      <c r="S59" s="8"/>
      <c r="T59" s="8"/>
      <c r="U59" s="8"/>
      <c r="V59" s="8"/>
    </row>
    <row r="60" spans="1:22" ht="15.6" customHeight="1" x14ac:dyDescent="0.25">
      <c r="A60" s="7"/>
      <c r="B60" s="9"/>
      <c r="C60" s="8"/>
      <c r="D60" s="8"/>
      <c r="E60" s="8"/>
      <c r="F60" s="8"/>
      <c r="G60" s="8"/>
      <c r="H60" s="8"/>
      <c r="I60" s="8"/>
      <c r="J60" s="8"/>
      <c r="K60" s="8"/>
      <c r="L60" s="8"/>
      <c r="M60" s="8"/>
      <c r="N60" s="8"/>
      <c r="O60" s="8"/>
      <c r="P60" s="8"/>
      <c r="Q60" s="8"/>
      <c r="R60" s="8"/>
      <c r="S60" s="8"/>
      <c r="T60" s="8"/>
      <c r="U60" s="8"/>
      <c r="V60" s="8"/>
    </row>
    <row r="61" spans="1:22" ht="15.6" customHeight="1" x14ac:dyDescent="0.25">
      <c r="A61" s="7"/>
      <c r="B61" s="9"/>
      <c r="C61" s="8"/>
      <c r="D61" s="8"/>
      <c r="E61" s="8"/>
      <c r="F61" s="8"/>
      <c r="G61" s="8"/>
      <c r="H61" s="8"/>
      <c r="I61" s="8"/>
      <c r="J61" s="8"/>
      <c r="K61" s="8"/>
      <c r="L61" s="8"/>
      <c r="M61" s="8"/>
      <c r="N61" s="8"/>
      <c r="O61" s="8"/>
      <c r="P61" s="8"/>
      <c r="Q61" s="8"/>
      <c r="R61" s="8"/>
      <c r="S61" s="8"/>
      <c r="T61" s="8"/>
      <c r="U61" s="8"/>
      <c r="V61" s="8"/>
    </row>
    <row r="62" spans="1:22" ht="15.6" customHeight="1" x14ac:dyDescent="0.25">
      <c r="A62" s="7"/>
      <c r="B62" s="9"/>
      <c r="C62" s="8"/>
      <c r="D62" s="8"/>
      <c r="E62" s="8"/>
      <c r="F62" s="8"/>
      <c r="G62" s="8"/>
      <c r="H62" s="8"/>
      <c r="I62" s="8"/>
      <c r="J62" s="8"/>
      <c r="K62" s="8"/>
      <c r="L62" s="8"/>
      <c r="M62" s="8"/>
      <c r="N62" s="8"/>
      <c r="O62" s="8"/>
      <c r="P62" s="8"/>
      <c r="Q62" s="8"/>
      <c r="R62" s="8"/>
      <c r="S62" s="8"/>
      <c r="T62" s="8"/>
      <c r="U62" s="8"/>
      <c r="V62" s="8"/>
    </row>
    <row r="63" spans="1:22" ht="15.6" customHeight="1" x14ac:dyDescent="0.25">
      <c r="A63" s="7"/>
      <c r="B63" s="9"/>
      <c r="C63" s="8"/>
      <c r="D63" s="8"/>
      <c r="E63" s="8"/>
      <c r="F63" s="8"/>
      <c r="G63" s="8"/>
      <c r="H63" s="8"/>
      <c r="I63" s="8"/>
      <c r="J63" s="8"/>
      <c r="K63" s="8"/>
      <c r="L63" s="8"/>
      <c r="M63" s="8"/>
      <c r="N63" s="8"/>
      <c r="O63" s="8"/>
      <c r="P63" s="8"/>
      <c r="Q63" s="8"/>
      <c r="R63" s="8"/>
      <c r="S63" s="8"/>
      <c r="T63" s="8"/>
      <c r="U63" s="8"/>
      <c r="V63" s="8"/>
    </row>
    <row r="64" spans="1:22" ht="15.6" customHeight="1" x14ac:dyDescent="0.25">
      <c r="A64" s="7"/>
      <c r="B64" s="9"/>
      <c r="C64" s="8"/>
      <c r="D64" s="8"/>
      <c r="E64" s="8"/>
      <c r="F64" s="8"/>
      <c r="G64" s="8"/>
      <c r="H64" s="8"/>
      <c r="I64" s="8"/>
      <c r="J64" s="8"/>
      <c r="K64" s="8"/>
      <c r="L64" s="8"/>
      <c r="M64" s="8"/>
      <c r="N64" s="8"/>
      <c r="O64" s="8"/>
      <c r="P64" s="8"/>
      <c r="Q64" s="8"/>
      <c r="R64" s="8"/>
      <c r="S64" s="8"/>
      <c r="T64" s="8"/>
      <c r="U64" s="8"/>
      <c r="V64" s="8"/>
    </row>
    <row r="65" spans="1:22" ht="15.6" customHeight="1" x14ac:dyDescent="0.25">
      <c r="A65" s="7"/>
      <c r="B65" s="9"/>
      <c r="C65" s="8"/>
      <c r="D65" s="8"/>
      <c r="E65" s="8"/>
      <c r="F65" s="8"/>
      <c r="G65" s="8"/>
      <c r="H65" s="8"/>
      <c r="I65" s="8"/>
      <c r="J65" s="8"/>
      <c r="K65" s="8"/>
      <c r="L65" s="8"/>
      <c r="M65" s="8"/>
      <c r="N65" s="8"/>
      <c r="O65" s="8"/>
      <c r="P65" s="8"/>
      <c r="Q65" s="8"/>
      <c r="R65" s="8"/>
      <c r="S65" s="8"/>
      <c r="T65" s="8"/>
      <c r="U65" s="8"/>
      <c r="V65" s="8"/>
    </row>
    <row r="66" spans="1:22" ht="15.6" customHeight="1" x14ac:dyDescent="0.25">
      <c r="A66" s="7"/>
      <c r="B66" s="9"/>
      <c r="C66" s="8"/>
      <c r="D66" s="8"/>
      <c r="E66" s="8"/>
      <c r="F66" s="8"/>
      <c r="G66" s="8"/>
      <c r="H66" s="8"/>
      <c r="I66" s="8"/>
      <c r="J66" s="8"/>
      <c r="K66" s="8"/>
      <c r="L66" s="8"/>
      <c r="M66" s="8"/>
      <c r="N66" s="8"/>
      <c r="O66" s="8"/>
      <c r="P66" s="8"/>
      <c r="Q66" s="8"/>
      <c r="R66" s="8"/>
      <c r="S66" s="8"/>
      <c r="T66" s="8"/>
      <c r="U66" s="8"/>
      <c r="V66" s="8"/>
    </row>
    <row r="67" spans="1:22" ht="15.6" customHeight="1" x14ac:dyDescent="0.25">
      <c r="A67" s="7"/>
      <c r="B67" s="9"/>
      <c r="C67" s="8"/>
      <c r="D67" s="8"/>
      <c r="E67" s="8"/>
      <c r="F67" s="8"/>
      <c r="G67" s="8"/>
      <c r="H67" s="8"/>
      <c r="I67" s="8"/>
      <c r="J67" s="8"/>
      <c r="K67" s="8"/>
      <c r="L67" s="8"/>
      <c r="M67" s="8"/>
      <c r="N67" s="8"/>
      <c r="O67" s="8"/>
      <c r="P67" s="8"/>
      <c r="Q67" s="8"/>
      <c r="R67" s="8"/>
      <c r="S67" s="8"/>
      <c r="T67" s="8"/>
      <c r="U67" s="8"/>
      <c r="V67" s="8"/>
    </row>
    <row r="68" spans="1:22" ht="15.6" customHeight="1" x14ac:dyDescent="0.25">
      <c r="A68" s="7"/>
      <c r="B68" s="9"/>
      <c r="C68" s="8"/>
      <c r="D68" s="8"/>
      <c r="E68" s="8"/>
      <c r="F68" s="8"/>
      <c r="G68" s="8"/>
      <c r="H68" s="8"/>
      <c r="I68" s="8"/>
      <c r="J68" s="8"/>
      <c r="K68" s="8"/>
      <c r="L68" s="8"/>
      <c r="M68" s="8"/>
      <c r="N68" s="8"/>
      <c r="O68" s="8"/>
      <c r="P68" s="8"/>
      <c r="Q68" s="8"/>
      <c r="R68" s="8"/>
      <c r="S68" s="8"/>
      <c r="T68" s="8"/>
      <c r="U68" s="8"/>
      <c r="V68" s="8"/>
    </row>
    <row r="69" spans="1:22" ht="15.6" customHeight="1" x14ac:dyDescent="0.25">
      <c r="A69" s="7"/>
      <c r="B69" s="9"/>
      <c r="C69" s="8"/>
      <c r="D69" s="8"/>
      <c r="E69" s="8"/>
      <c r="F69" s="8"/>
      <c r="G69" s="8"/>
      <c r="H69" s="8"/>
      <c r="I69" s="8"/>
      <c r="J69" s="8"/>
      <c r="K69" s="8"/>
      <c r="L69" s="8"/>
      <c r="M69" s="8"/>
      <c r="N69" s="8"/>
      <c r="O69" s="8"/>
      <c r="P69" s="8"/>
      <c r="Q69" s="8"/>
      <c r="R69" s="8"/>
      <c r="S69" s="8"/>
      <c r="T69" s="8"/>
      <c r="U69" s="8"/>
      <c r="V69" s="8"/>
    </row>
    <row r="70" spans="1:22" ht="15.6" customHeight="1" x14ac:dyDescent="0.25">
      <c r="A70" s="7"/>
      <c r="B70" s="9"/>
      <c r="C70" s="8"/>
      <c r="D70" s="8"/>
      <c r="E70" s="8"/>
      <c r="F70" s="8"/>
      <c r="G70" s="8"/>
      <c r="H70" s="8"/>
      <c r="I70" s="8"/>
      <c r="J70" s="8"/>
      <c r="K70" s="8"/>
      <c r="L70" s="8"/>
      <c r="M70" s="8"/>
      <c r="N70" s="8"/>
      <c r="O70" s="8"/>
      <c r="P70" s="8"/>
      <c r="Q70" s="8"/>
      <c r="R70" s="8"/>
      <c r="S70" s="8"/>
      <c r="T70" s="8"/>
      <c r="U70" s="8"/>
      <c r="V70" s="8"/>
    </row>
    <row r="71" spans="1:22" ht="15.6" customHeight="1" x14ac:dyDescent="0.25">
      <c r="A71" s="7"/>
      <c r="B71" s="9"/>
      <c r="C71" s="8"/>
      <c r="D71" s="8"/>
      <c r="E71" s="8"/>
      <c r="F71" s="8"/>
      <c r="G71" s="8"/>
      <c r="H71" s="8"/>
      <c r="I71" s="8"/>
      <c r="J71" s="8"/>
      <c r="K71" s="8"/>
      <c r="L71" s="8"/>
      <c r="M71" s="8"/>
      <c r="N71" s="8"/>
      <c r="O71" s="8"/>
      <c r="P71" s="8"/>
      <c r="Q71" s="8"/>
      <c r="R71" s="8"/>
      <c r="S71" s="8"/>
      <c r="T71" s="8"/>
      <c r="U71" s="8"/>
      <c r="V71" s="8"/>
    </row>
    <row r="72" spans="1:22" ht="15.6" customHeight="1" x14ac:dyDescent="0.25">
      <c r="A72" s="7"/>
      <c r="B72" s="9"/>
      <c r="C72" s="8"/>
      <c r="D72" s="8"/>
      <c r="E72" s="8"/>
      <c r="F72" s="8"/>
      <c r="G72" s="8"/>
      <c r="H72" s="8"/>
      <c r="I72" s="8"/>
      <c r="J72" s="8"/>
      <c r="K72" s="8"/>
      <c r="L72" s="8"/>
      <c r="M72" s="8"/>
      <c r="N72" s="8"/>
      <c r="O72" s="8"/>
      <c r="P72" s="8"/>
      <c r="Q72" s="8"/>
      <c r="R72" s="8"/>
      <c r="S72" s="8"/>
      <c r="T72" s="8"/>
      <c r="U72" s="8"/>
      <c r="V72" s="8"/>
    </row>
    <row r="73" spans="1:22" ht="15.6" customHeight="1" x14ac:dyDescent="0.25">
      <c r="A73" s="7"/>
      <c r="B73" s="9"/>
      <c r="C73" s="8"/>
      <c r="D73" s="8"/>
      <c r="E73" s="8"/>
      <c r="F73" s="8"/>
      <c r="G73" s="8"/>
      <c r="H73" s="8"/>
      <c r="I73" s="8"/>
      <c r="J73" s="8"/>
      <c r="K73" s="8"/>
      <c r="L73" s="8"/>
      <c r="M73" s="8"/>
      <c r="N73" s="8"/>
      <c r="O73" s="8"/>
      <c r="P73" s="8"/>
      <c r="Q73" s="8"/>
      <c r="R73" s="8"/>
      <c r="S73" s="8"/>
      <c r="T73" s="8"/>
      <c r="U73" s="8"/>
      <c r="V73" s="8"/>
    </row>
    <row r="74" spans="1:22" ht="15.6" customHeight="1" x14ac:dyDescent="0.25">
      <c r="A74" s="7"/>
      <c r="B74" s="9"/>
      <c r="C74" s="8"/>
      <c r="D74" s="8"/>
      <c r="E74" s="8"/>
      <c r="F74" s="8"/>
      <c r="G74" s="8"/>
      <c r="H74" s="8"/>
      <c r="I74" s="8"/>
      <c r="J74" s="8"/>
      <c r="K74" s="8"/>
      <c r="L74" s="8"/>
      <c r="M74" s="8"/>
      <c r="N74" s="8"/>
      <c r="O74" s="8"/>
      <c r="P74" s="8"/>
      <c r="Q74" s="8"/>
      <c r="R74" s="8"/>
      <c r="S74" s="8"/>
      <c r="T74" s="8"/>
      <c r="U74" s="8"/>
      <c r="V74" s="8"/>
    </row>
    <row r="75" spans="1:22" ht="15.6" customHeight="1" x14ac:dyDescent="0.25">
      <c r="A75" s="7"/>
      <c r="B75" s="9"/>
      <c r="C75" s="8"/>
      <c r="D75" s="8"/>
      <c r="E75" s="8"/>
      <c r="F75" s="8"/>
      <c r="G75" s="8"/>
      <c r="H75" s="8"/>
      <c r="I75" s="8"/>
      <c r="J75" s="8"/>
      <c r="K75" s="8"/>
      <c r="L75" s="8"/>
      <c r="M75" s="8"/>
      <c r="N75" s="8"/>
      <c r="O75" s="8"/>
      <c r="P75" s="8"/>
      <c r="Q75" s="8"/>
      <c r="R75" s="8"/>
      <c r="S75" s="8"/>
      <c r="T75" s="8"/>
      <c r="U75" s="8"/>
      <c r="V75" s="8"/>
    </row>
    <row r="76" spans="1:22" ht="15.6" customHeight="1" x14ac:dyDescent="0.25">
      <c r="A76" s="7"/>
      <c r="B76" s="9"/>
      <c r="C76" s="8"/>
      <c r="D76" s="8"/>
      <c r="E76" s="8"/>
      <c r="F76" s="8"/>
      <c r="G76" s="8"/>
      <c r="H76" s="8"/>
      <c r="I76" s="8"/>
      <c r="J76" s="8"/>
      <c r="K76" s="8"/>
      <c r="L76" s="8"/>
      <c r="M76" s="8"/>
      <c r="N76" s="8"/>
      <c r="O76" s="8"/>
      <c r="P76" s="8"/>
      <c r="Q76" s="8"/>
      <c r="R76" s="8"/>
      <c r="S76" s="8"/>
      <c r="T76" s="8"/>
      <c r="U76" s="8"/>
      <c r="V76" s="8"/>
    </row>
    <row r="77" spans="1:22" ht="15.6" customHeight="1" x14ac:dyDescent="0.25">
      <c r="A77" s="7"/>
      <c r="B77" s="9"/>
      <c r="C77" s="8"/>
      <c r="D77" s="8"/>
      <c r="E77" s="8"/>
      <c r="F77" s="8"/>
      <c r="G77" s="8"/>
      <c r="H77" s="8"/>
      <c r="I77" s="8"/>
      <c r="J77" s="8"/>
      <c r="K77" s="8"/>
      <c r="L77" s="8"/>
      <c r="M77" s="8"/>
      <c r="N77" s="8"/>
      <c r="O77" s="8"/>
      <c r="P77" s="8"/>
      <c r="Q77" s="8"/>
      <c r="R77" s="8"/>
      <c r="S77" s="8"/>
      <c r="T77" s="8"/>
      <c r="U77" s="8"/>
      <c r="V77" s="8"/>
    </row>
    <row r="78" spans="1:22" ht="15.6" customHeight="1" x14ac:dyDescent="0.25">
      <c r="A78" s="7"/>
      <c r="B78" s="9"/>
      <c r="C78" s="8"/>
      <c r="D78" s="8"/>
      <c r="E78" s="8"/>
      <c r="F78" s="8"/>
      <c r="G78" s="8"/>
      <c r="H78" s="8"/>
      <c r="I78" s="8"/>
      <c r="J78" s="8"/>
      <c r="K78" s="8"/>
      <c r="L78" s="8"/>
      <c r="M78" s="8"/>
      <c r="N78" s="8"/>
      <c r="O78" s="8"/>
      <c r="P78" s="8"/>
      <c r="Q78" s="8"/>
      <c r="R78" s="8"/>
      <c r="S78" s="8"/>
      <c r="T78" s="8"/>
      <c r="U78" s="8"/>
      <c r="V78" s="8"/>
    </row>
    <row r="79" spans="1:22" ht="15.6" customHeight="1" x14ac:dyDescent="0.25">
      <c r="A79" s="7"/>
      <c r="B79" s="9"/>
      <c r="C79" s="8"/>
      <c r="D79" s="8"/>
      <c r="E79" s="8"/>
      <c r="F79" s="8"/>
      <c r="G79" s="8"/>
      <c r="H79" s="8"/>
      <c r="I79" s="8"/>
      <c r="J79" s="8"/>
      <c r="K79" s="8"/>
      <c r="L79" s="8"/>
      <c r="M79" s="8"/>
      <c r="N79" s="8"/>
      <c r="O79" s="8"/>
      <c r="P79" s="8"/>
      <c r="Q79" s="8"/>
      <c r="R79" s="8"/>
      <c r="S79" s="8"/>
      <c r="T79" s="8"/>
      <c r="U79" s="8"/>
      <c r="V79" s="8"/>
    </row>
    <row r="80" spans="1:22" ht="15.6" customHeight="1" x14ac:dyDescent="0.25">
      <c r="A80" s="7"/>
      <c r="B80" s="9"/>
      <c r="C80" s="8"/>
      <c r="D80" s="8"/>
      <c r="E80" s="8"/>
      <c r="F80" s="8"/>
      <c r="G80" s="8"/>
      <c r="H80" s="8"/>
      <c r="I80" s="8"/>
      <c r="J80" s="8"/>
      <c r="K80" s="8"/>
      <c r="L80" s="8"/>
      <c r="M80" s="8"/>
      <c r="N80" s="8"/>
      <c r="O80" s="8"/>
      <c r="P80" s="8"/>
      <c r="Q80" s="8"/>
      <c r="R80" s="8"/>
      <c r="S80" s="8"/>
      <c r="T80" s="8"/>
      <c r="U80" s="8"/>
      <c r="V80" s="8"/>
    </row>
    <row r="81" spans="1:22" ht="15.6" customHeight="1" x14ac:dyDescent="0.25">
      <c r="A81" s="7"/>
      <c r="B81" s="9"/>
      <c r="C81" s="8"/>
      <c r="D81" s="8"/>
      <c r="E81" s="8"/>
      <c r="F81" s="8"/>
      <c r="G81" s="8"/>
      <c r="H81" s="8"/>
      <c r="I81" s="8"/>
      <c r="J81" s="8"/>
      <c r="K81" s="8"/>
      <c r="L81" s="8"/>
      <c r="M81" s="8"/>
      <c r="N81" s="8"/>
      <c r="O81" s="8"/>
      <c r="P81" s="8"/>
      <c r="Q81" s="8"/>
      <c r="R81" s="8"/>
      <c r="S81" s="8"/>
      <c r="T81" s="8"/>
      <c r="U81" s="8"/>
      <c r="V81" s="8"/>
    </row>
    <row r="82" spans="1:22" ht="15.6" customHeight="1" x14ac:dyDescent="0.25">
      <c r="A82" s="7"/>
      <c r="B82" s="9"/>
      <c r="C82" s="8"/>
      <c r="D82" s="8"/>
      <c r="E82" s="8"/>
      <c r="F82" s="8"/>
      <c r="G82" s="8"/>
      <c r="H82" s="8"/>
      <c r="I82" s="8"/>
      <c r="J82" s="8"/>
      <c r="K82" s="8"/>
      <c r="L82" s="8"/>
      <c r="M82" s="8"/>
      <c r="N82" s="8"/>
      <c r="O82" s="8"/>
      <c r="P82" s="8"/>
      <c r="Q82" s="8"/>
      <c r="R82" s="8"/>
      <c r="S82" s="8"/>
      <c r="T82" s="8"/>
      <c r="U82" s="8"/>
      <c r="V82" s="8"/>
    </row>
    <row r="83" spans="1:22" ht="15.6" customHeight="1" x14ac:dyDescent="0.25">
      <c r="A83" s="7"/>
      <c r="B83" s="9"/>
      <c r="C83" s="8"/>
      <c r="D83" s="8"/>
      <c r="E83" s="8"/>
      <c r="F83" s="8"/>
      <c r="G83" s="8"/>
      <c r="H83" s="8"/>
      <c r="I83" s="8"/>
      <c r="J83" s="8"/>
      <c r="K83" s="8"/>
      <c r="L83" s="8"/>
      <c r="M83" s="8"/>
      <c r="N83" s="8"/>
      <c r="O83" s="8"/>
      <c r="P83" s="8"/>
      <c r="Q83" s="8"/>
      <c r="R83" s="8"/>
      <c r="S83" s="8"/>
      <c r="T83" s="8"/>
      <c r="U83" s="8"/>
      <c r="V83" s="8"/>
    </row>
    <row r="84" spans="1:22" ht="15.6" customHeight="1" x14ac:dyDescent="0.25">
      <c r="A84" s="7"/>
      <c r="B84" s="9"/>
      <c r="C84" s="8"/>
      <c r="D84" s="8"/>
      <c r="E84" s="8"/>
      <c r="F84" s="8"/>
      <c r="G84" s="8"/>
      <c r="H84" s="8"/>
      <c r="I84" s="8"/>
      <c r="J84" s="8"/>
      <c r="K84" s="8"/>
      <c r="L84" s="8"/>
      <c r="M84" s="8"/>
      <c r="N84" s="8"/>
      <c r="O84" s="8"/>
      <c r="P84" s="8"/>
      <c r="Q84" s="8"/>
      <c r="R84" s="8"/>
      <c r="S84" s="8"/>
      <c r="T84" s="8"/>
      <c r="U84" s="8"/>
      <c r="V84" s="8"/>
    </row>
    <row r="85" spans="1:22" ht="15.6" customHeight="1" x14ac:dyDescent="0.25">
      <c r="A85" s="7"/>
      <c r="B85" s="9"/>
      <c r="C85" s="8"/>
      <c r="D85" s="8"/>
      <c r="E85" s="8"/>
      <c r="F85" s="8"/>
      <c r="G85" s="8"/>
      <c r="H85" s="8"/>
      <c r="I85" s="8"/>
      <c r="J85" s="8"/>
      <c r="K85" s="8"/>
      <c r="L85" s="8"/>
      <c r="M85" s="8"/>
      <c r="N85" s="8"/>
      <c r="O85" s="8"/>
      <c r="P85" s="8"/>
      <c r="Q85" s="8"/>
      <c r="R85" s="8"/>
      <c r="S85" s="8"/>
      <c r="T85" s="8"/>
      <c r="U85" s="8"/>
      <c r="V85" s="8"/>
    </row>
    <row r="86" spans="1:22" ht="15.6" customHeight="1" x14ac:dyDescent="0.25">
      <c r="A86" s="7"/>
      <c r="B86" s="9"/>
      <c r="C86" s="8"/>
      <c r="D86" s="8"/>
      <c r="E86" s="8"/>
      <c r="F86" s="8"/>
      <c r="G86" s="8"/>
      <c r="H86" s="8"/>
      <c r="I86" s="8"/>
      <c r="J86" s="8"/>
      <c r="K86" s="8"/>
      <c r="L86" s="8"/>
      <c r="M86" s="8"/>
      <c r="N86" s="8"/>
      <c r="O86" s="8"/>
      <c r="P86" s="8"/>
      <c r="Q86" s="8"/>
      <c r="R86" s="8"/>
      <c r="S86" s="8"/>
      <c r="T86" s="8"/>
      <c r="U86" s="8"/>
      <c r="V86" s="8"/>
    </row>
    <row r="87" spans="1:22" ht="15.6" customHeight="1" x14ac:dyDescent="0.25">
      <c r="A87" s="7"/>
      <c r="B87" s="9"/>
      <c r="C87" s="8"/>
      <c r="D87" s="8"/>
      <c r="E87" s="8"/>
      <c r="F87" s="8"/>
      <c r="G87" s="8"/>
      <c r="H87" s="8"/>
      <c r="I87" s="8"/>
      <c r="J87" s="8"/>
      <c r="K87" s="8"/>
      <c r="L87" s="8"/>
      <c r="M87" s="8"/>
      <c r="N87" s="8"/>
      <c r="O87" s="8"/>
      <c r="P87" s="8"/>
      <c r="Q87" s="8"/>
      <c r="R87" s="8"/>
      <c r="S87" s="8"/>
      <c r="T87" s="8"/>
      <c r="U87" s="8"/>
      <c r="V87" s="8"/>
    </row>
    <row r="88" spans="1:22" ht="15.6" customHeight="1" x14ac:dyDescent="0.25">
      <c r="A88" s="7"/>
      <c r="B88" s="9"/>
      <c r="C88" s="8"/>
      <c r="D88" s="8"/>
      <c r="E88" s="8"/>
      <c r="F88" s="8"/>
      <c r="G88" s="8"/>
      <c r="H88" s="8"/>
      <c r="I88" s="8"/>
      <c r="J88" s="8"/>
      <c r="K88" s="8"/>
      <c r="L88" s="8"/>
      <c r="M88" s="8"/>
      <c r="N88" s="8"/>
      <c r="O88" s="8"/>
      <c r="P88" s="8"/>
      <c r="Q88" s="8"/>
      <c r="R88" s="8"/>
      <c r="S88" s="8"/>
      <c r="T88" s="8"/>
      <c r="U88" s="8"/>
      <c r="V88" s="8"/>
    </row>
    <row r="89" spans="1:22" ht="15.6" customHeight="1" x14ac:dyDescent="0.25">
      <c r="A89" s="7"/>
      <c r="B89" s="9"/>
      <c r="C89" s="8"/>
      <c r="D89" s="8"/>
      <c r="E89" s="8"/>
      <c r="F89" s="8"/>
      <c r="G89" s="8"/>
      <c r="H89" s="8"/>
      <c r="I89" s="8"/>
      <c r="J89" s="8"/>
      <c r="K89" s="8"/>
      <c r="L89" s="8"/>
      <c r="M89" s="8"/>
      <c r="N89" s="8"/>
      <c r="O89" s="8"/>
      <c r="P89" s="8"/>
      <c r="Q89" s="8"/>
      <c r="R89" s="8"/>
      <c r="S89" s="8"/>
      <c r="T89" s="8"/>
      <c r="U89" s="8"/>
      <c r="V89" s="8"/>
    </row>
    <row r="90" spans="1:22" ht="15.6" customHeight="1" x14ac:dyDescent="0.25">
      <c r="A90" s="7"/>
      <c r="B90" s="9"/>
      <c r="C90" s="8"/>
      <c r="D90" s="8"/>
      <c r="E90" s="8"/>
      <c r="F90" s="8"/>
      <c r="G90" s="8"/>
      <c r="H90" s="8"/>
      <c r="I90" s="8"/>
      <c r="J90" s="8"/>
      <c r="K90" s="8"/>
      <c r="L90" s="8"/>
      <c r="M90" s="8"/>
      <c r="N90" s="8"/>
      <c r="O90" s="8"/>
      <c r="P90" s="8"/>
      <c r="Q90" s="8"/>
      <c r="R90" s="8"/>
      <c r="S90" s="8"/>
      <c r="T90" s="8"/>
      <c r="U90" s="8"/>
      <c r="V90" s="8"/>
    </row>
    <row r="91" spans="1:22" ht="15.6" customHeight="1" x14ac:dyDescent="0.25">
      <c r="A91" s="7"/>
      <c r="B91" s="9"/>
      <c r="C91" s="8"/>
      <c r="D91" s="8"/>
      <c r="E91" s="8"/>
      <c r="F91" s="8"/>
      <c r="G91" s="8"/>
      <c r="H91" s="8"/>
      <c r="I91" s="8"/>
      <c r="J91" s="8"/>
      <c r="K91" s="8"/>
      <c r="L91" s="8"/>
      <c r="M91" s="8"/>
      <c r="N91" s="8"/>
      <c r="O91" s="8"/>
      <c r="P91" s="8"/>
      <c r="Q91" s="8"/>
      <c r="R91" s="8"/>
      <c r="S91" s="8"/>
      <c r="T91" s="8"/>
      <c r="U91" s="8"/>
      <c r="V91" s="8"/>
    </row>
    <row r="92" spans="1:22" ht="15.6" customHeight="1" x14ac:dyDescent="0.25">
      <c r="A92" s="7"/>
      <c r="B92" s="9"/>
      <c r="C92" s="8"/>
      <c r="D92" s="8"/>
      <c r="E92" s="8"/>
      <c r="F92" s="8"/>
      <c r="G92" s="8"/>
      <c r="H92" s="8"/>
      <c r="I92" s="8"/>
      <c r="J92" s="8"/>
      <c r="K92" s="8"/>
      <c r="L92" s="8"/>
      <c r="M92" s="8"/>
      <c r="N92" s="8"/>
      <c r="O92" s="8"/>
      <c r="P92" s="8"/>
      <c r="Q92" s="8"/>
      <c r="R92" s="8"/>
      <c r="S92" s="8"/>
      <c r="T92" s="8"/>
      <c r="U92" s="8"/>
      <c r="V92" s="8"/>
    </row>
    <row r="93" spans="1:22" ht="15.6" customHeight="1" x14ac:dyDescent="0.25">
      <c r="A93" s="7"/>
      <c r="B93" s="9"/>
      <c r="C93" s="8"/>
      <c r="D93" s="8"/>
      <c r="E93" s="8"/>
      <c r="F93" s="8"/>
      <c r="G93" s="8"/>
      <c r="H93" s="8"/>
      <c r="I93" s="8"/>
      <c r="J93" s="8"/>
      <c r="K93" s="8"/>
      <c r="L93" s="8"/>
      <c r="M93" s="8"/>
      <c r="N93" s="8"/>
      <c r="O93" s="8"/>
      <c r="P93" s="8"/>
      <c r="Q93" s="8"/>
      <c r="R93" s="8"/>
      <c r="S93" s="8"/>
      <c r="T93" s="8"/>
      <c r="U93" s="8"/>
      <c r="V93" s="8"/>
    </row>
    <row r="94" spans="1:22" ht="15.6" customHeight="1" x14ac:dyDescent="0.25">
      <c r="A94" s="7"/>
      <c r="B94" s="9"/>
      <c r="C94" s="8"/>
      <c r="D94" s="8"/>
      <c r="E94" s="8"/>
      <c r="F94" s="8"/>
      <c r="G94" s="8"/>
      <c r="H94" s="8"/>
      <c r="I94" s="8"/>
      <c r="J94" s="8"/>
      <c r="K94" s="8"/>
      <c r="L94" s="8"/>
      <c r="M94" s="8"/>
      <c r="N94" s="8"/>
      <c r="O94" s="8"/>
      <c r="P94" s="8"/>
      <c r="Q94" s="8"/>
      <c r="R94" s="8"/>
      <c r="S94" s="8"/>
      <c r="T94" s="8"/>
      <c r="U94" s="8"/>
      <c r="V94" s="8"/>
    </row>
    <row r="95" spans="1:22" ht="15.6" customHeight="1" x14ac:dyDescent="0.25">
      <c r="A95" s="7"/>
      <c r="B95" s="9"/>
      <c r="C95" s="8"/>
      <c r="D95" s="8"/>
      <c r="E95" s="8"/>
      <c r="F95" s="8"/>
      <c r="G95" s="8"/>
      <c r="H95" s="8"/>
      <c r="I95" s="8"/>
      <c r="J95" s="8"/>
      <c r="K95" s="8"/>
      <c r="L95" s="8"/>
      <c r="M95" s="8"/>
      <c r="N95" s="8"/>
      <c r="O95" s="8"/>
      <c r="P95" s="8"/>
      <c r="Q95" s="8"/>
      <c r="R95" s="8"/>
      <c r="S95" s="8"/>
      <c r="T95" s="8"/>
      <c r="U95" s="8"/>
      <c r="V95" s="8"/>
    </row>
    <row r="96" spans="1:22" ht="15.6" customHeight="1" x14ac:dyDescent="0.25">
      <c r="A96" s="7"/>
      <c r="B96" s="9"/>
      <c r="C96" s="8"/>
      <c r="D96" s="8"/>
      <c r="E96" s="8"/>
      <c r="F96" s="8"/>
      <c r="G96" s="8"/>
      <c r="H96" s="8"/>
      <c r="I96" s="8"/>
      <c r="J96" s="8"/>
      <c r="K96" s="8"/>
      <c r="L96" s="8"/>
      <c r="M96" s="8"/>
      <c r="N96" s="8"/>
      <c r="O96" s="8"/>
      <c r="P96" s="8"/>
      <c r="Q96" s="8"/>
      <c r="R96" s="8"/>
      <c r="S96" s="8"/>
      <c r="T96" s="8"/>
      <c r="U96" s="8"/>
      <c r="V96" s="8"/>
    </row>
    <row r="97" spans="1:22" ht="15.6" customHeight="1" x14ac:dyDescent="0.25">
      <c r="A97" s="7"/>
      <c r="B97" s="9"/>
      <c r="C97" s="8"/>
      <c r="D97" s="8"/>
      <c r="E97" s="8"/>
      <c r="F97" s="8"/>
      <c r="G97" s="8"/>
      <c r="H97" s="8"/>
      <c r="I97" s="8"/>
      <c r="J97" s="8"/>
      <c r="K97" s="8"/>
      <c r="L97" s="8"/>
      <c r="M97" s="8"/>
      <c r="N97" s="8"/>
      <c r="O97" s="8"/>
      <c r="P97" s="8"/>
      <c r="Q97" s="8"/>
      <c r="R97" s="8"/>
      <c r="S97" s="8"/>
      <c r="T97" s="8"/>
      <c r="U97" s="8"/>
      <c r="V97" s="8"/>
    </row>
    <row r="98" spans="1:22" ht="15.6" customHeight="1" x14ac:dyDescent="0.25">
      <c r="A98" s="7"/>
      <c r="B98" s="9"/>
      <c r="C98" s="8"/>
      <c r="D98" s="8"/>
      <c r="E98" s="8"/>
      <c r="F98" s="8"/>
      <c r="G98" s="8"/>
      <c r="H98" s="8"/>
      <c r="I98" s="8"/>
      <c r="J98" s="8"/>
      <c r="K98" s="8"/>
      <c r="L98" s="8"/>
      <c r="M98" s="8"/>
      <c r="N98" s="8"/>
      <c r="O98" s="8"/>
      <c r="P98" s="8"/>
      <c r="Q98" s="8"/>
      <c r="R98" s="8"/>
      <c r="S98" s="8"/>
      <c r="T98" s="8"/>
      <c r="U98" s="8"/>
      <c r="V98" s="8"/>
    </row>
    <row r="99" spans="1:22" ht="15.6" customHeight="1" x14ac:dyDescent="0.25">
      <c r="A99" s="7"/>
      <c r="B99" s="9"/>
      <c r="C99" s="8"/>
      <c r="D99" s="8"/>
      <c r="E99" s="8"/>
      <c r="F99" s="8"/>
      <c r="G99" s="8"/>
      <c r="H99" s="8"/>
      <c r="I99" s="8"/>
      <c r="J99" s="8"/>
      <c r="K99" s="8"/>
      <c r="L99" s="8"/>
      <c r="M99" s="8"/>
      <c r="N99" s="8"/>
      <c r="O99" s="8"/>
      <c r="P99" s="8"/>
      <c r="Q99" s="8"/>
      <c r="R99" s="8"/>
      <c r="S99" s="8"/>
      <c r="T99" s="8"/>
      <c r="U99" s="8"/>
      <c r="V99" s="8"/>
    </row>
    <row r="100" spans="1:22" ht="15.6" customHeight="1" x14ac:dyDescent="0.25">
      <c r="A100" s="7"/>
      <c r="B100" s="9"/>
      <c r="C100" s="8"/>
      <c r="D100" s="8"/>
      <c r="E100" s="8"/>
      <c r="F100" s="8"/>
      <c r="G100" s="8"/>
      <c r="H100" s="8"/>
      <c r="I100" s="8"/>
      <c r="J100" s="8"/>
      <c r="K100" s="8"/>
      <c r="L100" s="8"/>
      <c r="M100" s="8"/>
      <c r="N100" s="8"/>
      <c r="O100" s="8"/>
      <c r="P100" s="8"/>
      <c r="Q100" s="8"/>
      <c r="R100" s="8"/>
      <c r="S100" s="8"/>
      <c r="T100" s="8"/>
      <c r="U100" s="8"/>
      <c r="V100" s="8"/>
    </row>
    <row r="101" spans="1:22" ht="15.6" customHeight="1" x14ac:dyDescent="0.25">
      <c r="A101" s="7"/>
      <c r="B101" s="9"/>
      <c r="C101" s="8"/>
      <c r="D101" s="8"/>
      <c r="E101" s="8"/>
      <c r="F101" s="8"/>
      <c r="G101" s="8"/>
      <c r="H101" s="8"/>
      <c r="I101" s="8"/>
      <c r="J101" s="8"/>
      <c r="K101" s="8"/>
      <c r="L101" s="8"/>
      <c r="M101" s="8"/>
      <c r="N101" s="8"/>
      <c r="O101" s="8"/>
      <c r="P101" s="8"/>
      <c r="Q101" s="8"/>
      <c r="R101" s="8"/>
      <c r="S101" s="8"/>
      <c r="T101" s="8"/>
      <c r="U101" s="8"/>
      <c r="V101" s="8"/>
    </row>
    <row r="102" spans="1:22" ht="15.6" customHeight="1" x14ac:dyDescent="0.25">
      <c r="A102" s="7"/>
      <c r="B102" s="9"/>
      <c r="C102" s="8"/>
      <c r="D102" s="8"/>
      <c r="E102" s="8"/>
      <c r="F102" s="8"/>
      <c r="G102" s="8"/>
      <c r="H102" s="8"/>
      <c r="I102" s="8"/>
      <c r="J102" s="8"/>
      <c r="K102" s="8"/>
      <c r="L102" s="8"/>
      <c r="M102" s="8"/>
      <c r="N102" s="8"/>
      <c r="O102" s="8"/>
      <c r="P102" s="8"/>
      <c r="Q102" s="8"/>
      <c r="R102" s="8"/>
      <c r="S102" s="8"/>
      <c r="T102" s="8"/>
      <c r="U102" s="8"/>
      <c r="V102" s="8"/>
    </row>
    <row r="103" spans="1:22" ht="15.6" customHeight="1" x14ac:dyDescent="0.25">
      <c r="A103" s="7"/>
      <c r="B103" s="9"/>
      <c r="C103" s="8"/>
      <c r="D103" s="8"/>
      <c r="E103" s="8"/>
      <c r="F103" s="8"/>
      <c r="G103" s="8"/>
      <c r="H103" s="8"/>
      <c r="I103" s="8"/>
      <c r="J103" s="8"/>
      <c r="K103" s="8"/>
      <c r="L103" s="8"/>
      <c r="M103" s="8"/>
      <c r="N103" s="8"/>
      <c r="O103" s="8"/>
      <c r="P103" s="8"/>
      <c r="Q103" s="8"/>
      <c r="R103" s="8"/>
      <c r="S103" s="8"/>
      <c r="T103" s="8"/>
      <c r="U103" s="8"/>
      <c r="V103" s="8"/>
    </row>
    <row r="104" spans="1:22" ht="15.6" customHeight="1" x14ac:dyDescent="0.25">
      <c r="A104" s="7"/>
      <c r="B104" s="9"/>
      <c r="C104" s="8"/>
      <c r="D104" s="8"/>
      <c r="E104" s="8"/>
      <c r="F104" s="8"/>
      <c r="G104" s="8"/>
      <c r="H104" s="8"/>
      <c r="I104" s="8"/>
      <c r="J104" s="8"/>
      <c r="K104" s="8"/>
      <c r="L104" s="8"/>
      <c r="M104" s="8"/>
      <c r="N104" s="8"/>
      <c r="O104" s="8"/>
      <c r="P104" s="8"/>
      <c r="Q104" s="8"/>
      <c r="R104" s="8"/>
      <c r="S104" s="8"/>
      <c r="T104" s="8"/>
      <c r="U104" s="8"/>
      <c r="V104" s="8"/>
    </row>
    <row r="105" spans="1:22" ht="15.6" customHeight="1" x14ac:dyDescent="0.25">
      <c r="A105" s="7"/>
      <c r="B105" s="9"/>
      <c r="C105" s="8"/>
      <c r="D105" s="8"/>
      <c r="E105" s="8"/>
      <c r="F105" s="8"/>
      <c r="G105" s="8"/>
      <c r="H105" s="8"/>
      <c r="I105" s="8"/>
      <c r="J105" s="8"/>
      <c r="K105" s="8"/>
      <c r="L105" s="8"/>
      <c r="M105" s="8"/>
      <c r="N105" s="8"/>
      <c r="O105" s="8"/>
      <c r="P105" s="8"/>
      <c r="Q105" s="8"/>
      <c r="R105" s="8"/>
      <c r="S105" s="8"/>
      <c r="T105" s="8"/>
      <c r="U105" s="8"/>
      <c r="V105" s="8"/>
    </row>
    <row r="106" spans="1:22" ht="15.6" customHeight="1" x14ac:dyDescent="0.25">
      <c r="A106" s="7"/>
      <c r="B106" s="9"/>
      <c r="C106" s="8"/>
      <c r="D106" s="8"/>
      <c r="E106" s="8"/>
      <c r="F106" s="8"/>
      <c r="G106" s="8"/>
      <c r="H106" s="8"/>
      <c r="I106" s="8"/>
      <c r="J106" s="8"/>
      <c r="K106" s="8"/>
      <c r="L106" s="8"/>
      <c r="M106" s="8"/>
      <c r="N106" s="8"/>
      <c r="O106" s="8"/>
      <c r="P106" s="8"/>
      <c r="Q106" s="8"/>
      <c r="R106" s="8"/>
      <c r="S106" s="8"/>
      <c r="T106" s="8"/>
      <c r="U106" s="8"/>
      <c r="V106" s="8"/>
    </row>
    <row r="107" spans="1:22" ht="15.6" customHeight="1" x14ac:dyDescent="0.25">
      <c r="A107" s="7"/>
      <c r="B107" s="9"/>
      <c r="C107" s="8"/>
      <c r="D107" s="8"/>
      <c r="E107" s="8"/>
      <c r="F107" s="8"/>
      <c r="G107" s="8"/>
      <c r="H107" s="8"/>
      <c r="I107" s="8"/>
      <c r="J107" s="8"/>
      <c r="K107" s="8"/>
      <c r="L107" s="8"/>
      <c r="M107" s="8"/>
      <c r="N107" s="8"/>
      <c r="O107" s="8"/>
      <c r="P107" s="8"/>
      <c r="Q107" s="8"/>
      <c r="R107" s="8"/>
      <c r="S107" s="8"/>
      <c r="T107" s="8"/>
      <c r="U107" s="8"/>
      <c r="V107" s="8"/>
    </row>
    <row r="108" spans="1:22" ht="15.6" customHeight="1" x14ac:dyDescent="0.25">
      <c r="A108" s="7"/>
      <c r="B108" s="9"/>
      <c r="C108" s="8"/>
      <c r="D108" s="8"/>
      <c r="E108" s="8"/>
      <c r="F108" s="8"/>
      <c r="G108" s="8"/>
      <c r="H108" s="8"/>
      <c r="I108" s="8"/>
      <c r="J108" s="8"/>
      <c r="K108" s="8"/>
      <c r="L108" s="8"/>
      <c r="M108" s="8"/>
      <c r="N108" s="8"/>
      <c r="O108" s="8"/>
      <c r="P108" s="8"/>
      <c r="Q108" s="8"/>
      <c r="R108" s="8"/>
      <c r="S108" s="8"/>
      <c r="T108" s="8"/>
      <c r="U108" s="8"/>
      <c r="V108" s="8"/>
    </row>
    <row r="109" spans="1:22" ht="15.6" customHeight="1" x14ac:dyDescent="0.25">
      <c r="A109" s="7"/>
      <c r="B109" s="9"/>
      <c r="C109" s="8"/>
      <c r="D109" s="8"/>
      <c r="E109" s="8"/>
      <c r="F109" s="8"/>
      <c r="G109" s="8"/>
      <c r="H109" s="8"/>
      <c r="I109" s="8"/>
      <c r="J109" s="8"/>
      <c r="K109" s="8"/>
      <c r="L109" s="8"/>
      <c r="M109" s="8"/>
      <c r="N109" s="8"/>
      <c r="O109" s="8"/>
      <c r="P109" s="8"/>
      <c r="Q109" s="8"/>
      <c r="R109" s="8"/>
      <c r="S109" s="8"/>
      <c r="T109" s="8"/>
      <c r="U109" s="8"/>
      <c r="V109" s="8"/>
    </row>
    <row r="110" spans="1:22" ht="15.6" customHeight="1" x14ac:dyDescent="0.25">
      <c r="A110" s="7"/>
      <c r="B110" s="9"/>
      <c r="C110" s="8"/>
      <c r="D110" s="8"/>
      <c r="E110" s="8"/>
      <c r="F110" s="8"/>
      <c r="G110" s="8"/>
      <c r="H110" s="8"/>
      <c r="I110" s="8"/>
      <c r="J110" s="8"/>
      <c r="K110" s="8"/>
      <c r="L110" s="8"/>
      <c r="M110" s="8"/>
      <c r="N110" s="8"/>
      <c r="O110" s="8"/>
      <c r="P110" s="8"/>
      <c r="Q110" s="8"/>
      <c r="R110" s="8"/>
      <c r="S110" s="8"/>
      <c r="T110" s="8"/>
      <c r="U110" s="8"/>
      <c r="V110" s="8"/>
    </row>
    <row r="111" spans="1:22" ht="15.6" customHeight="1" x14ac:dyDescent="0.25">
      <c r="A111" s="7"/>
      <c r="B111" s="9"/>
      <c r="C111" s="8"/>
      <c r="D111" s="8"/>
      <c r="E111" s="8"/>
      <c r="F111" s="8"/>
      <c r="G111" s="8"/>
      <c r="H111" s="8"/>
      <c r="I111" s="8"/>
      <c r="J111" s="8"/>
      <c r="K111" s="8"/>
      <c r="L111" s="8"/>
      <c r="M111" s="8"/>
      <c r="N111" s="8"/>
      <c r="O111" s="8"/>
      <c r="P111" s="8"/>
      <c r="Q111" s="8"/>
      <c r="R111" s="8"/>
      <c r="S111" s="8"/>
      <c r="T111" s="8"/>
      <c r="U111" s="8"/>
      <c r="V111" s="8"/>
    </row>
    <row r="112" spans="1:22" ht="15.6" customHeight="1" x14ac:dyDescent="0.25">
      <c r="A112" s="7"/>
      <c r="B112" s="9"/>
      <c r="C112" s="8"/>
      <c r="D112" s="8"/>
      <c r="E112" s="8"/>
      <c r="F112" s="8"/>
      <c r="G112" s="8"/>
      <c r="H112" s="8"/>
      <c r="I112" s="8"/>
      <c r="J112" s="8"/>
      <c r="K112" s="8"/>
      <c r="L112" s="8"/>
      <c r="M112" s="8"/>
      <c r="N112" s="8"/>
      <c r="O112" s="8"/>
      <c r="P112" s="8"/>
      <c r="Q112" s="8"/>
      <c r="R112" s="8"/>
      <c r="S112" s="8"/>
      <c r="T112" s="8"/>
      <c r="U112" s="8"/>
      <c r="V112" s="8"/>
    </row>
    <row r="113" spans="1:22" ht="15.6" customHeight="1" x14ac:dyDescent="0.25">
      <c r="A113" s="7"/>
      <c r="B113" s="9"/>
      <c r="C113" s="8"/>
      <c r="D113" s="8"/>
      <c r="E113" s="8"/>
      <c r="F113" s="8"/>
      <c r="G113" s="8"/>
      <c r="H113" s="8"/>
      <c r="I113" s="8"/>
      <c r="J113" s="8"/>
      <c r="K113" s="8"/>
      <c r="L113" s="8"/>
      <c r="M113" s="8"/>
      <c r="N113" s="8"/>
      <c r="O113" s="8"/>
      <c r="P113" s="8"/>
      <c r="Q113" s="8"/>
      <c r="R113" s="8"/>
      <c r="S113" s="8"/>
      <c r="T113" s="8"/>
      <c r="U113" s="8"/>
      <c r="V113" s="8"/>
    </row>
    <row r="114" spans="1:22" ht="15.6" customHeight="1" x14ac:dyDescent="0.25">
      <c r="A114" s="7"/>
      <c r="B114" s="9"/>
      <c r="C114" s="8"/>
      <c r="D114" s="8"/>
      <c r="E114" s="8"/>
      <c r="F114" s="8"/>
      <c r="G114" s="8"/>
      <c r="H114" s="8"/>
      <c r="I114" s="8"/>
      <c r="J114" s="8"/>
      <c r="K114" s="8"/>
      <c r="L114" s="8"/>
      <c r="M114" s="8"/>
      <c r="N114" s="8"/>
      <c r="O114" s="8"/>
      <c r="P114" s="8"/>
      <c r="Q114" s="8"/>
      <c r="R114" s="8"/>
      <c r="S114" s="8"/>
      <c r="T114" s="8"/>
      <c r="U114" s="8"/>
      <c r="V114" s="8"/>
    </row>
    <row r="115" spans="1:22" ht="15.6" customHeight="1" x14ac:dyDescent="0.25">
      <c r="A115" s="7"/>
      <c r="B115" s="9"/>
      <c r="C115" s="8"/>
      <c r="D115" s="8"/>
      <c r="E115" s="8"/>
      <c r="F115" s="8"/>
      <c r="G115" s="8"/>
      <c r="H115" s="8"/>
      <c r="I115" s="8"/>
      <c r="J115" s="8"/>
      <c r="K115" s="8"/>
      <c r="L115" s="8"/>
      <c r="M115" s="8"/>
      <c r="N115" s="8"/>
      <c r="O115" s="8"/>
      <c r="P115" s="8"/>
      <c r="Q115" s="8"/>
      <c r="R115" s="8"/>
      <c r="S115" s="8"/>
      <c r="T115" s="8"/>
      <c r="U115" s="8"/>
      <c r="V115" s="8"/>
    </row>
    <row r="116" spans="1:22" ht="15.6" customHeight="1" x14ac:dyDescent="0.25">
      <c r="A116" s="7"/>
      <c r="B116" s="9"/>
      <c r="C116" s="8"/>
      <c r="D116" s="8"/>
      <c r="E116" s="8"/>
      <c r="F116" s="8"/>
      <c r="G116" s="8"/>
      <c r="H116" s="8"/>
      <c r="I116" s="8"/>
      <c r="J116" s="8"/>
      <c r="K116" s="8"/>
      <c r="L116" s="8"/>
      <c r="M116" s="8"/>
      <c r="N116" s="8"/>
      <c r="O116" s="8"/>
      <c r="P116" s="8"/>
      <c r="Q116" s="8"/>
      <c r="R116" s="8"/>
      <c r="S116" s="8"/>
      <c r="T116" s="8"/>
      <c r="U116" s="8"/>
      <c r="V116" s="8"/>
    </row>
  </sheetData>
  <sheetProtection formatCells="0" formatColumns="0" formatRows="0"/>
  <mergeCells count="4">
    <mergeCell ref="L2:M2"/>
    <mergeCell ref="N2:U2"/>
    <mergeCell ref="A1:C1"/>
    <mergeCell ref="N1:U1"/>
  </mergeCells>
  <conditionalFormatting sqref="A2:XFD1048576 A1:C1 F1:XFD1">
    <cfRule type="expression" dxfId="2" priority="88">
      <formula>#REF!&lt;TODAY()</formula>
    </cfRule>
  </conditionalFormatting>
  <conditionalFormatting sqref="L7">
    <cfRule type="expression" dxfId="1" priority="7">
      <formula>AND($L$7 ="No/Non", TODAY()-#REF!&gt;60)</formula>
    </cfRule>
  </conditionalFormatting>
  <dataValidations count="1">
    <dataValidation type="date" operator="greaterThan" allowBlank="1" showInputMessage="1" showErrorMessage="1" sqref="M7:M43" xr:uid="{5EABA273-1395-4CBE-9828-3C508C5F71E2}">
      <formula1>36161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1AFBA688-7104-46B2-8852-F27F78325120}">
          <x14:formula1>
            <xm:f>List!$G$14:$G$16</xm:f>
          </x14:formula1>
          <xm:sqref>O8:O10</xm:sqref>
        </x14:dataValidation>
        <x14:dataValidation type="list" allowBlank="1" showInputMessage="1" showErrorMessage="1" xr:uid="{2F8CA4D4-5AB7-47AC-97E2-A7A3F46C1F2A}">
          <x14:formula1>
            <xm:f>List!$F$14:$F$21</xm:f>
          </x14:formula1>
          <xm:sqref>Q8:T14 N8:N14 Q15:T15</xm:sqref>
        </x14:dataValidation>
        <x14:dataValidation type="list" allowBlank="1" showInputMessage="1" showErrorMessage="1" xr:uid="{2AF57053-028C-4528-A521-2A34D5ECD8DD}">
          <x14:formula1>
            <xm:f>List!$J$2:$J$3</xm:f>
          </x14:formula1>
          <xm:sqref>L8:L14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29C65-FF07-4964-8EE6-580FBADD2E10}">
  <dimension ref="A1:L8"/>
  <sheetViews>
    <sheetView workbookViewId="0">
      <pane xSplit="3" ySplit="2" topLeftCell="D3" activePane="bottomRight" state="frozen"/>
      <selection pane="topRight" activeCell="D1" sqref="D1"/>
      <selection pane="bottomLeft" activeCell="A3" sqref="A3"/>
      <selection pane="bottomRight" activeCell="D2" sqref="D2"/>
    </sheetView>
  </sheetViews>
  <sheetFormatPr defaultRowHeight="15" customHeight="1" x14ac:dyDescent="0.25"/>
  <cols>
    <col min="1" max="1" width="12.28515625" customWidth="1"/>
    <col min="2" max="2" width="13.5703125" customWidth="1"/>
    <col min="3" max="3" width="44.85546875" bestFit="1" customWidth="1"/>
    <col min="4" max="4" width="16.42578125" bestFit="1" customWidth="1"/>
    <col min="5" max="6" width="12.42578125" bestFit="1" customWidth="1"/>
    <col min="7" max="11" width="44.85546875" customWidth="1"/>
    <col min="12" max="12" width="81.28515625" customWidth="1"/>
  </cols>
  <sheetData>
    <row r="1" spans="1:12" ht="18.75" thickBot="1" x14ac:dyDescent="0.3">
      <c r="A1" s="92" t="s">
        <v>291</v>
      </c>
      <c r="B1" s="93"/>
      <c r="C1" s="93"/>
      <c r="D1" s="93"/>
      <c r="E1" s="93"/>
      <c r="F1" s="93"/>
      <c r="G1" s="93"/>
      <c r="H1" s="93"/>
      <c r="I1" s="93"/>
      <c r="J1" s="93"/>
      <c r="K1" s="93"/>
      <c r="L1" s="94"/>
    </row>
    <row r="2" spans="1:12" s="86" customFormat="1" ht="29.25" thickBot="1" x14ac:dyDescent="0.3">
      <c r="A2" s="50" t="s">
        <v>303</v>
      </c>
      <c r="B2" s="53" t="s">
        <v>71</v>
      </c>
      <c r="C2" s="51" t="s">
        <v>17</v>
      </c>
      <c r="D2" s="51" t="s">
        <v>304</v>
      </c>
      <c r="E2" s="51" t="s">
        <v>84</v>
      </c>
      <c r="F2" s="51" t="s">
        <v>305</v>
      </c>
      <c r="G2" s="51" t="s">
        <v>86</v>
      </c>
      <c r="H2" s="64" t="s">
        <v>72</v>
      </c>
      <c r="I2" s="64" t="s">
        <v>292</v>
      </c>
      <c r="J2" s="64" t="s">
        <v>293</v>
      </c>
      <c r="K2" s="64" t="s">
        <v>294</v>
      </c>
      <c r="L2" s="52" t="s">
        <v>306</v>
      </c>
    </row>
    <row r="3" spans="1:12" x14ac:dyDescent="0.25">
      <c r="B3" t="s">
        <v>452</v>
      </c>
      <c r="C3" t="s">
        <v>453</v>
      </c>
      <c r="D3" t="s">
        <v>221</v>
      </c>
      <c r="E3" t="s">
        <v>296</v>
      </c>
      <c r="F3">
        <v>2025</v>
      </c>
      <c r="G3" t="s">
        <v>295</v>
      </c>
      <c r="H3" t="s">
        <v>296</v>
      </c>
      <c r="L3" t="s">
        <v>297</v>
      </c>
    </row>
    <row r="4" spans="1:12" x14ac:dyDescent="0.25"/>
    <row r="5" spans="1:12" x14ac:dyDescent="0.25"/>
    <row r="6" spans="1:12" x14ac:dyDescent="0.25"/>
    <row r="7" spans="1:12" x14ac:dyDescent="0.25"/>
    <row r="8" spans="1:12" x14ac:dyDescent="0.25"/>
  </sheetData>
  <phoneticPr fontId="17" type="noConversion"/>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CBFB55EA-BCAC-4969-9E21-C0E636E8B37A}">
          <x14:formula1>
            <xm:f>List!$K$2:$K$6</xm:f>
          </x14:formula1>
          <xm:sqref>G3:G7</xm:sqref>
        </x14:dataValidation>
        <x14:dataValidation type="list" allowBlank="1" showInputMessage="1" showErrorMessage="1" xr:uid="{696B2ABC-D290-493D-BB0A-7B19C5043E72}">
          <x14:formula1>
            <xm:f>List!$L$2:$L$9</xm:f>
          </x14:formula1>
          <xm:sqref>E3:E7 H3:H7</xm:sqref>
        </x14:dataValidation>
        <x14:dataValidation type="list" allowBlank="1" showInputMessage="1" showErrorMessage="1" xr:uid="{51C57DDE-3C43-4429-8979-EB6E5AAD47FB}">
          <x14:formula1>
            <xm:f>List!$E$14:$E$17</xm:f>
          </x14:formula1>
          <xm:sqref>D3:D7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51F79-A367-4E56-94C5-B9A73FE05FAD}">
  <dimension ref="A1:AE8"/>
  <sheetViews>
    <sheetView workbookViewId="0">
      <pane xSplit="2" ySplit="4" topLeftCell="C5" activePane="bottomRight" state="frozen"/>
      <selection pane="topRight" activeCell="C1" sqref="C1"/>
      <selection pane="bottomLeft" activeCell="A5" sqref="A5"/>
      <selection pane="bottomRight" activeCell="A5" sqref="A5"/>
    </sheetView>
  </sheetViews>
  <sheetFormatPr defaultRowHeight="15" x14ac:dyDescent="0.25"/>
  <cols>
    <col min="1" max="1" width="18" bestFit="1" customWidth="1"/>
    <col min="2" max="2" width="37.28515625" customWidth="1"/>
    <col min="3" max="3" width="18" customWidth="1"/>
    <col min="4" max="4" width="27" bestFit="1" customWidth="1"/>
    <col min="5" max="5" width="20.140625" customWidth="1"/>
    <col min="6" max="6" width="23" bestFit="1" customWidth="1"/>
    <col min="7" max="8" width="20.7109375" bestFit="1" customWidth="1"/>
    <col min="9" max="9" width="22.85546875" bestFit="1" customWidth="1"/>
    <col min="10" max="10" width="27" bestFit="1" customWidth="1"/>
    <col min="11" max="11" width="24.7109375" bestFit="1" customWidth="1"/>
    <col min="12" max="12" width="20.140625" bestFit="1" customWidth="1"/>
    <col min="13" max="13" width="63" hidden="1" customWidth="1"/>
    <col min="14" max="14" width="39.85546875" hidden="1" customWidth="1"/>
    <col min="15" max="15" width="43.42578125" hidden="1" customWidth="1"/>
    <col min="16" max="16" width="34.5703125" hidden="1" customWidth="1"/>
    <col min="17" max="17" width="31.42578125" hidden="1" customWidth="1"/>
    <col min="18" max="18" width="35.42578125" hidden="1" customWidth="1"/>
    <col min="19" max="19" width="36.5703125" hidden="1" customWidth="1"/>
    <col min="20" max="20" width="46.85546875" hidden="1" customWidth="1"/>
    <col min="21" max="21" width="32.7109375" hidden="1" customWidth="1"/>
    <col min="22" max="22" width="35.7109375" hidden="1" customWidth="1"/>
    <col min="23" max="26" width="41.5703125" hidden="1" customWidth="1"/>
    <col min="27" max="27" width="23" hidden="1" customWidth="1"/>
    <col min="28" max="28" width="18.42578125" hidden="1" customWidth="1"/>
    <col min="29" max="29" width="30.42578125" bestFit="1" customWidth="1"/>
    <col min="30" max="30" width="28.28515625" bestFit="1" customWidth="1"/>
    <col min="31" max="31" width="24" bestFit="1" customWidth="1"/>
  </cols>
  <sheetData>
    <row r="1" spans="1:31" ht="36" x14ac:dyDescent="0.55000000000000004">
      <c r="A1" s="174" t="s">
        <v>495</v>
      </c>
      <c r="B1" s="174"/>
      <c r="C1" s="174"/>
    </row>
    <row r="2" spans="1:31" x14ac:dyDescent="0.25">
      <c r="A2" s="145" t="s">
        <v>9</v>
      </c>
      <c r="B2">
        <f>COLUMN()</f>
        <v>2</v>
      </c>
      <c r="C2">
        <f>COLUMN()</f>
        <v>3</v>
      </c>
      <c r="D2">
        <f>COLUMN()</f>
        <v>4</v>
      </c>
      <c r="E2">
        <f>COLUMN()</f>
        <v>5</v>
      </c>
      <c r="F2">
        <f>COLUMN()</f>
        <v>6</v>
      </c>
      <c r="G2">
        <f>COLUMN()</f>
        <v>7</v>
      </c>
      <c r="H2">
        <f>COLUMN()</f>
        <v>8</v>
      </c>
      <c r="I2">
        <f>COLUMN()</f>
        <v>9</v>
      </c>
      <c r="J2">
        <f>COLUMN()</f>
        <v>10</v>
      </c>
      <c r="K2">
        <f>COLUMN()</f>
        <v>11</v>
      </c>
      <c r="L2">
        <f>COLUMN()</f>
        <v>12</v>
      </c>
    </row>
    <row r="3" spans="1:31" s="4" customFormat="1" ht="15" customHeight="1" x14ac:dyDescent="0.25">
      <c r="A3" s="146" t="str">
        <f>Translation!A97</f>
        <v>Project Info</v>
      </c>
      <c r="B3" s="146"/>
      <c r="C3" s="175" t="str">
        <f>Translation!A110</f>
        <v>Key Milestones</v>
      </c>
      <c r="D3" s="175"/>
      <c r="E3" s="175"/>
      <c r="F3" s="175"/>
      <c r="G3" s="175"/>
      <c r="H3" s="175"/>
      <c r="I3" s="175"/>
      <c r="J3" s="175"/>
      <c r="K3" s="175"/>
      <c r="L3" s="175"/>
    </row>
    <row r="4" spans="1:31" s="141" customFormat="1" ht="23.1" customHeight="1" x14ac:dyDescent="0.25">
      <c r="A4" s="141" t="str">
        <f>Translation!A99</f>
        <v>Project ID</v>
      </c>
      <c r="B4" s="141" t="str">
        <f>Translation!A100</f>
        <v xml:space="preserve">Project Name </v>
      </c>
      <c r="C4" s="142" t="str">
        <f>Translation!A111</f>
        <v xml:space="preserve">Site Purchase </v>
      </c>
      <c r="D4" s="142" t="s">
        <v>430</v>
      </c>
      <c r="E4" s="142" t="s">
        <v>431</v>
      </c>
      <c r="F4" s="142" t="s">
        <v>432</v>
      </c>
      <c r="G4" s="142" t="s">
        <v>433</v>
      </c>
      <c r="H4" s="142" t="s">
        <v>434</v>
      </c>
      <c r="I4" s="142" t="s">
        <v>53</v>
      </c>
      <c r="J4" s="142" t="s">
        <v>250</v>
      </c>
      <c r="K4" s="142" t="str">
        <f>Translation!A120</f>
        <v xml:space="preserve">School/Addition Opening </v>
      </c>
      <c r="L4" s="143" t="s">
        <v>435</v>
      </c>
      <c r="M4" s="144" t="str">
        <f>'Monthly Update'!J6</f>
        <v>Site Purchase Date</v>
      </c>
      <c r="N4" s="144" t="str">
        <f>'Monthly Update'!K6</f>
        <v xml:space="preserve">Space Template Approval Date </v>
      </c>
      <c r="O4" s="144" t="str">
        <f>'Monthly Update'!L6</f>
        <v xml:space="preserve">Child Care Floorplan Approval - Date </v>
      </c>
      <c r="P4" s="144" t="str">
        <f>'Monthly Update'!M6</f>
        <v>Site Plan Submission Date</v>
      </c>
      <c r="Q4" s="144" t="str">
        <f>'Monthly Update'!N6</f>
        <v>Site Plan Approval Date</v>
      </c>
      <c r="R4" s="144" t="str">
        <f>'Monthly Update'!O6</f>
        <v>Build Permit Obtained</v>
      </c>
      <c r="S4" s="144" t="str">
        <f>'Monthly Update'!P6</f>
        <v>Pre-Tender Check-In Date</v>
      </c>
      <c r="T4" s="144" t="str">
        <f>'Monthly Update'!Q6</f>
        <v xml:space="preserve">Tender Issued Date </v>
      </c>
      <c r="U4" s="144" t="str">
        <f>'Monthly Update'!R6</f>
        <v>Tender Closed</v>
      </c>
      <c r="V4" s="144" t="str">
        <f>'Monthly Update'!S6</f>
        <v>Post-Tender Check-In</v>
      </c>
      <c r="W4" s="144" t="str">
        <f>'Monthly Update'!T6</f>
        <v>Contract Awarded</v>
      </c>
      <c r="X4" s="144" t="str">
        <f>'Monthly Update'!U6</f>
        <v>Construction Start - Date</v>
      </c>
      <c r="Y4" s="144" t="str">
        <f>'Monthly Update'!V6</f>
        <v>Substantial Completion</v>
      </c>
      <c r="Z4" s="144" t="str">
        <f>'Monthly Update'!W6</f>
        <v xml:space="preserve">School Opening Date </v>
      </c>
      <c r="AA4" s="144" t="str">
        <f>'Monthly Update'!X6</f>
        <v>Child Care Opening Date</v>
      </c>
      <c r="AB4" s="144" t="str">
        <f>'Monthly Update'!Y6</f>
        <v>Financial Close-Out</v>
      </c>
      <c r="AC4" s="144"/>
      <c r="AD4" s="144"/>
      <c r="AE4" s="144"/>
    </row>
    <row r="5" spans="1:31" x14ac:dyDescent="0.25">
      <c r="A5" t="s">
        <v>429</v>
      </c>
      <c r="B5" t="s">
        <v>413</v>
      </c>
      <c r="C5" s="35" t="s">
        <v>414</v>
      </c>
      <c r="D5" s="35" t="s">
        <v>385</v>
      </c>
      <c r="E5" s="35" t="s">
        <v>436</v>
      </c>
      <c r="F5" s="35" t="s">
        <v>387</v>
      </c>
      <c r="G5" s="35" t="s">
        <v>437</v>
      </c>
      <c r="H5" s="35" t="s">
        <v>438</v>
      </c>
      <c r="I5" s="35" t="s">
        <v>418</v>
      </c>
      <c r="J5" s="35" t="s">
        <v>392</v>
      </c>
      <c r="K5" s="35" t="s">
        <v>393</v>
      </c>
      <c r="L5" s="35" t="s">
        <v>394</v>
      </c>
      <c r="M5" s="100" t="str">
        <f>C5&amp;"_comparison*((formula*((down"</f>
        <v>*((col*((date_site_purchase_comparison*((formula*((down</v>
      </c>
      <c r="N5" s="100" t="str">
        <f t="shared" ref="N5:AB5" si="0">D5&amp;"_comparison*((formula*((down"</f>
        <v>*((col*((date_space_template_comparison*((formula*((down</v>
      </c>
      <c r="O5" s="100" t="str">
        <f t="shared" si="0"/>
        <v>*((col*((date_site_plan_approved_comparison*((formula*((down</v>
      </c>
      <c r="P5" s="100" t="str">
        <f t="shared" si="0"/>
        <v>*((col*((date_pretender_comparison*((formula*((down</v>
      </c>
      <c r="Q5" s="100" t="str">
        <f t="shared" si="0"/>
        <v>*((col*((date_tender_comparison*((formula*((down</v>
      </c>
      <c r="R5" s="100" t="str">
        <f t="shared" si="0"/>
        <v>*((col*((date_posttender_comparison*((formula*((down</v>
      </c>
      <c r="S5" s="100" t="str">
        <f t="shared" si="0"/>
        <v>*((col*((date_construction_comparison*((formula*((down</v>
      </c>
      <c r="T5" s="100" t="str">
        <f t="shared" si="0"/>
        <v>*((col*((date_substantial_completion_comparison*((formula*((down</v>
      </c>
      <c r="U5" s="100" t="str">
        <f t="shared" si="0"/>
        <v>*((col*((date_opening_comparison*((formula*((down</v>
      </c>
      <c r="V5" s="100" t="str">
        <f t="shared" si="0"/>
        <v>*((col*((date_completion_comparison*((formula*((down</v>
      </c>
      <c r="W5" s="100" t="str">
        <f t="shared" si="0"/>
        <v>*((col*((date_site_purchase_comparison*((formula*((down_comparison*((formula*((down</v>
      </c>
      <c r="X5" s="100" t="str">
        <f t="shared" si="0"/>
        <v>*((col*((date_space_template_comparison*((formula*((down_comparison*((formula*((down</v>
      </c>
      <c r="Y5" s="100" t="str">
        <f t="shared" si="0"/>
        <v>*((col*((date_site_plan_approved_comparison*((formula*((down_comparison*((formula*((down</v>
      </c>
      <c r="Z5" s="100" t="str">
        <f t="shared" si="0"/>
        <v>*((col*((date_pretender_comparison*((formula*((down_comparison*((formula*((down</v>
      </c>
      <c r="AA5" s="100" t="str">
        <f t="shared" si="0"/>
        <v>*((col*((date_tender_comparison*((formula*((down_comparison*((formula*((down</v>
      </c>
      <c r="AB5" s="100" t="str">
        <f t="shared" si="0"/>
        <v>*((col*((date_posttender_comparison*((formula*((down_comparison*((formula*((down</v>
      </c>
    </row>
    <row r="6" spans="1:31" x14ac:dyDescent="0.25">
      <c r="C6" s="35"/>
      <c r="D6" s="35"/>
      <c r="E6" s="35"/>
      <c r="F6" s="35"/>
      <c r="G6" s="35"/>
      <c r="H6" s="35"/>
      <c r="I6" s="35"/>
      <c r="J6" s="35"/>
      <c r="K6" s="35"/>
      <c r="L6" s="35"/>
      <c r="M6" s="100">
        <f>C6-SUMIF('Monthly Update'!$A:$A,'Project Commitment'!$A6, 'Monthly Update'!J:J)</f>
        <v>0</v>
      </c>
      <c r="N6" s="100">
        <f>D6-SUMIF('Monthly Update'!$A:$A,'Project Commitment'!$A6, 'Monthly Update'!K:K)</f>
        <v>0</v>
      </c>
      <c r="O6">
        <f>0</f>
        <v>0</v>
      </c>
      <c r="P6">
        <f>0</f>
        <v>0</v>
      </c>
      <c r="Q6" s="100">
        <f>E6-SUMIF('Monthly Update'!$A:$A,'Project Commitment'!$A6, 'Monthly Update'!N:N)</f>
        <v>0</v>
      </c>
      <c r="R6">
        <f>0</f>
        <v>0</v>
      </c>
      <c r="S6" s="100">
        <f>F6-SUMIF('Monthly Update'!$A:$A,'Project Commitment'!$A6, 'Monthly Update'!P:P)</f>
        <v>0</v>
      </c>
      <c r="T6">
        <f>0</f>
        <v>0</v>
      </c>
      <c r="U6" s="100">
        <f>G6-SUMIF('Monthly Update'!$A:$A,'Project Commitment'!$A6, 'Monthly Update'!R:R)</f>
        <v>0</v>
      </c>
      <c r="V6" s="100">
        <f>H6-SUMIF('Monthly Update'!$A:$A,'Project Commitment'!$A6, 'Monthly Update'!S:S)</f>
        <v>0</v>
      </c>
      <c r="W6">
        <f>0</f>
        <v>0</v>
      </c>
      <c r="X6" s="100">
        <f>I6-SUMIF('Monthly Update'!$A:$A,'Project Commitment'!$A6, 'Monthly Update'!U:U)</f>
        <v>0</v>
      </c>
      <c r="Y6" s="100">
        <f>J6-SUMIF('Monthly Update'!$A:$A,'Project Commitment'!$A6, 'Monthly Update'!V:V)</f>
        <v>0</v>
      </c>
      <c r="Z6" s="100">
        <f>K6-SUMIF('Monthly Update'!$A:$A,'Project Commitment'!$A6, 'Monthly Update'!W:W)</f>
        <v>0</v>
      </c>
      <c r="AA6">
        <f>0</f>
        <v>0</v>
      </c>
      <c r="AB6" s="100">
        <f>L6-SUMIF('Monthly Update'!$A:$A,'Project Commitment'!$A6, 'Monthly Update'!Y:Y)</f>
        <v>0</v>
      </c>
    </row>
    <row r="7" spans="1:31" x14ac:dyDescent="0.25">
      <c r="C7" s="35"/>
      <c r="D7" s="35"/>
      <c r="E7" s="35"/>
      <c r="F7" s="35"/>
      <c r="G7" s="35"/>
      <c r="H7" s="35"/>
      <c r="I7" s="35"/>
      <c r="J7" s="35"/>
      <c r="K7" s="35"/>
      <c r="L7" s="35"/>
      <c r="N7" s="35"/>
    </row>
    <row r="8" spans="1:31" x14ac:dyDescent="0.25">
      <c r="C8" s="35"/>
      <c r="D8" s="35"/>
      <c r="E8" s="35"/>
      <c r="F8" s="35"/>
      <c r="G8" s="35"/>
      <c r="H8" s="35"/>
      <c r="I8" s="35"/>
      <c r="J8" s="35"/>
      <c r="K8" s="35"/>
      <c r="L8" s="35"/>
    </row>
  </sheetData>
  <sheetProtection sheet="1" objects="1" scenarios="1" formatCells="0" formatColumns="0" formatRows="0"/>
  <mergeCells count="2">
    <mergeCell ref="A1:C1"/>
    <mergeCell ref="C3:L3"/>
  </mergeCells>
  <phoneticPr fontId="17" type="noConversion"/>
  <dataValidations count="2">
    <dataValidation type="date" operator="notEqual" allowBlank="1" showInputMessage="1" showErrorMessage="1" errorTitle="Dates Warning " error="Please enter mm/dd/yyyy" promptTitle="Date" prompt="Please enter dates as mm/dd/yyyy" sqref="C6:C7 D6:L6" xr:uid="{A67145E9-13BA-405D-B9F8-39D67F24AFAF}">
      <formula1>1</formula1>
    </dataValidation>
    <dataValidation operator="notEqual" allowBlank="1" showInputMessage="1" showErrorMessage="1" errorTitle="Dates Warning " error="Please enter mm/dd/yyyy" promptTitle="Date" prompt="Please enter dates as mm/dd/yyyy" sqref="A5:XFD5" xr:uid="{85C050F8-6C90-4CAE-89C6-F56BE8D760F0}"/>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63" id="{AAA8B012-D3C1-4418-9258-961C04503779}">
            <xm:f>'Monthly Update'!#REF!&gt;=EDATE(#REF!,6)</xm:f>
            <x14:dxf>
              <fill>
                <patternFill>
                  <bgColor rgb="FFFF0000"/>
                </patternFill>
              </fill>
            </x14:dxf>
          </x14:cfRule>
          <xm:sqref>AB10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4E113-776C-4553-B030-B117F3587D01}">
  <dimension ref="A1:B4"/>
  <sheetViews>
    <sheetView workbookViewId="0">
      <selection activeCell="B5" sqref="B5"/>
    </sheetView>
  </sheetViews>
  <sheetFormatPr defaultRowHeight="15" x14ac:dyDescent="0.25"/>
  <cols>
    <col min="1" max="1" width="12.5703125" customWidth="1"/>
  </cols>
  <sheetData>
    <row r="1" spans="1:2" x14ac:dyDescent="0.25">
      <c r="A1" t="s">
        <v>482</v>
      </c>
    </row>
    <row r="3" spans="1:2" x14ac:dyDescent="0.25">
      <c r="A3" t="s">
        <v>483</v>
      </c>
      <c r="B3">
        <f>-365*0.75</f>
        <v>-273.75</v>
      </c>
    </row>
    <row r="4" spans="1:2" x14ac:dyDescent="0.25">
      <c r="A4" t="s">
        <v>484</v>
      </c>
      <c r="B4">
        <v>-365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90491-FE61-42BF-B80B-F34D397474E4}">
  <sheetPr codeName="Sheet5"/>
  <dimension ref="A1:L36"/>
  <sheetViews>
    <sheetView topLeftCell="A13" workbookViewId="0">
      <selection activeCell="A97" sqref="A97:A126"/>
    </sheetView>
  </sheetViews>
  <sheetFormatPr defaultRowHeight="15" x14ac:dyDescent="0.25"/>
  <cols>
    <col min="1" max="1" width="21.140625" bestFit="1" customWidth="1"/>
    <col min="2" max="2" width="22.140625" customWidth="1"/>
    <col min="3" max="3" width="42.28515625" bestFit="1" customWidth="1"/>
    <col min="4" max="4" width="42.28515625" customWidth="1"/>
    <col min="5" max="5" width="16.42578125" bestFit="1" customWidth="1"/>
    <col min="6" max="6" width="27.85546875" bestFit="1" customWidth="1"/>
    <col min="7" max="7" width="18.28515625" bestFit="1" customWidth="1"/>
    <col min="8" max="8" width="34.85546875" bestFit="1" customWidth="1"/>
    <col min="9" max="9" width="34.85546875" customWidth="1"/>
    <col min="10" max="10" width="19" bestFit="1" customWidth="1"/>
    <col min="11" max="11" width="24" bestFit="1" customWidth="1"/>
    <col min="12" max="12" width="12.42578125" bestFit="1" customWidth="1"/>
  </cols>
  <sheetData>
    <row r="1" spans="1:12" x14ac:dyDescent="0.25">
      <c r="A1" s="4" t="s">
        <v>310</v>
      </c>
      <c r="B1" s="4" t="s">
        <v>311</v>
      </c>
      <c r="C1" s="4" t="s">
        <v>73</v>
      </c>
      <c r="D1" s="4" t="s">
        <v>67</v>
      </c>
      <c r="E1" s="4" t="s">
        <v>312</v>
      </c>
      <c r="F1" s="4" t="s">
        <v>239</v>
      </c>
      <c r="G1" s="4" t="s">
        <v>309</v>
      </c>
      <c r="H1" s="4" t="s">
        <v>313</v>
      </c>
      <c r="I1" s="4" t="s">
        <v>314</v>
      </c>
      <c r="J1" s="23" t="s">
        <v>315</v>
      </c>
      <c r="K1" s="4" t="s">
        <v>86</v>
      </c>
      <c r="L1" s="4" t="s">
        <v>84</v>
      </c>
    </row>
    <row r="2" spans="1:12" x14ac:dyDescent="0.25">
      <c r="A2" s="5" t="s">
        <v>316</v>
      </c>
      <c r="B2" s="5" t="s">
        <v>9</v>
      </c>
      <c r="C2" s="5" t="s">
        <v>91</v>
      </c>
      <c r="D2" s="5">
        <v>1</v>
      </c>
      <c r="E2" t="s">
        <v>317</v>
      </c>
      <c r="F2" t="s">
        <v>318</v>
      </c>
      <c r="G2" t="s">
        <v>223</v>
      </c>
      <c r="H2" t="s">
        <v>212</v>
      </c>
      <c r="I2" t="s">
        <v>210</v>
      </c>
      <c r="J2" t="s">
        <v>319</v>
      </c>
      <c r="K2" t="s">
        <v>295</v>
      </c>
      <c r="L2" t="s">
        <v>296</v>
      </c>
    </row>
    <row r="3" spans="1:12" x14ac:dyDescent="0.25">
      <c r="A3" t="s">
        <v>320</v>
      </c>
      <c r="B3" t="s">
        <v>10</v>
      </c>
      <c r="C3" s="6" t="s">
        <v>321</v>
      </c>
      <c r="D3" s="5">
        <v>1</v>
      </c>
      <c r="E3" t="s">
        <v>322</v>
      </c>
      <c r="F3" t="s">
        <v>323</v>
      </c>
      <c r="G3" t="s">
        <v>211</v>
      </c>
      <c r="H3" t="s">
        <v>324</v>
      </c>
      <c r="I3" t="s">
        <v>218</v>
      </c>
      <c r="J3" t="s">
        <v>214</v>
      </c>
      <c r="K3" t="s">
        <v>325</v>
      </c>
      <c r="L3" t="s">
        <v>301</v>
      </c>
    </row>
    <row r="4" spans="1:12" x14ac:dyDescent="0.25">
      <c r="C4" s="5" t="s">
        <v>326</v>
      </c>
      <c r="D4" s="5">
        <v>1</v>
      </c>
      <c r="E4" t="s">
        <v>308</v>
      </c>
      <c r="F4" t="s">
        <v>327</v>
      </c>
      <c r="G4" t="s">
        <v>219</v>
      </c>
      <c r="H4" t="s">
        <v>328</v>
      </c>
      <c r="I4" t="s">
        <v>226</v>
      </c>
      <c r="K4" t="s">
        <v>299</v>
      </c>
      <c r="L4" t="s">
        <v>70</v>
      </c>
    </row>
    <row r="5" spans="1:12" x14ac:dyDescent="0.25">
      <c r="C5" s="5" t="s">
        <v>97</v>
      </c>
      <c r="D5" s="5">
        <v>1</v>
      </c>
      <c r="F5" t="s">
        <v>209</v>
      </c>
      <c r="H5" t="s">
        <v>220</v>
      </c>
      <c r="K5" t="s">
        <v>329</v>
      </c>
      <c r="L5" t="s">
        <v>330</v>
      </c>
    </row>
    <row r="6" spans="1:12" x14ac:dyDescent="0.25">
      <c r="C6" s="5" t="s">
        <v>285</v>
      </c>
      <c r="D6" s="5">
        <v>1</v>
      </c>
      <c r="F6" t="s">
        <v>420</v>
      </c>
      <c r="H6" t="s">
        <v>331</v>
      </c>
      <c r="K6" t="s">
        <v>256</v>
      </c>
      <c r="L6" t="s">
        <v>332</v>
      </c>
    </row>
    <row r="7" spans="1:12" x14ac:dyDescent="0.25">
      <c r="C7" s="5" t="s">
        <v>333</v>
      </c>
      <c r="D7" s="5">
        <v>2</v>
      </c>
      <c r="H7" t="s">
        <v>334</v>
      </c>
      <c r="L7" t="s">
        <v>298</v>
      </c>
    </row>
    <row r="8" spans="1:12" x14ac:dyDescent="0.25">
      <c r="C8" s="5" t="s">
        <v>103</v>
      </c>
      <c r="D8" s="5">
        <v>2</v>
      </c>
      <c r="H8" t="s">
        <v>335</v>
      </c>
      <c r="L8" t="s">
        <v>300</v>
      </c>
    </row>
    <row r="9" spans="1:12" x14ac:dyDescent="0.25">
      <c r="C9" s="5" t="s">
        <v>250</v>
      </c>
      <c r="D9" s="5">
        <v>3</v>
      </c>
      <c r="H9" t="s">
        <v>224</v>
      </c>
      <c r="L9" t="s">
        <v>302</v>
      </c>
    </row>
    <row r="10" spans="1:12" x14ac:dyDescent="0.25">
      <c r="C10" s="5" t="s">
        <v>336</v>
      </c>
      <c r="D10" s="5">
        <v>4</v>
      </c>
    </row>
    <row r="11" spans="1:12" x14ac:dyDescent="0.25">
      <c r="C11" s="5" t="s">
        <v>337</v>
      </c>
      <c r="D11" s="5"/>
    </row>
    <row r="13" spans="1:12" x14ac:dyDescent="0.25">
      <c r="A13" s="24" t="s">
        <v>169</v>
      </c>
      <c r="B13" s="24"/>
      <c r="C13" s="24" t="s">
        <v>338</v>
      </c>
      <c r="D13" s="4" t="s">
        <v>233</v>
      </c>
      <c r="E13" t="s">
        <v>304</v>
      </c>
      <c r="F13" s="24" t="s">
        <v>339</v>
      </c>
      <c r="G13" s="24" t="s">
        <v>340</v>
      </c>
      <c r="H13" t="s">
        <v>287</v>
      </c>
      <c r="I13" t="s">
        <v>341</v>
      </c>
    </row>
    <row r="14" spans="1:12" x14ac:dyDescent="0.25">
      <c r="A14">
        <v>10</v>
      </c>
      <c r="C14">
        <v>0</v>
      </c>
      <c r="D14" t="s">
        <v>225</v>
      </c>
      <c r="E14" t="s">
        <v>254</v>
      </c>
      <c r="F14" t="s">
        <v>293</v>
      </c>
      <c r="G14" t="s">
        <v>342</v>
      </c>
      <c r="H14" t="s">
        <v>213</v>
      </c>
      <c r="I14" t="s">
        <v>343</v>
      </c>
    </row>
    <row r="15" spans="1:12" x14ac:dyDescent="0.25">
      <c r="A15">
        <v>20</v>
      </c>
      <c r="C15">
        <v>1</v>
      </c>
      <c r="D15" t="s">
        <v>217</v>
      </c>
      <c r="E15" t="s">
        <v>221</v>
      </c>
      <c r="F15" t="s">
        <v>215</v>
      </c>
      <c r="G15" t="s">
        <v>344</v>
      </c>
      <c r="H15" t="s">
        <v>307</v>
      </c>
      <c r="I15" t="s">
        <v>216</v>
      </c>
    </row>
    <row r="16" spans="1:12" x14ac:dyDescent="0.25">
      <c r="A16">
        <v>30</v>
      </c>
      <c r="C16">
        <v>2</v>
      </c>
      <c r="D16" t="s">
        <v>222</v>
      </c>
      <c r="F16" t="s">
        <v>345</v>
      </c>
      <c r="G16" t="s">
        <v>346</v>
      </c>
      <c r="H16" t="s">
        <v>253</v>
      </c>
      <c r="I16" t="s">
        <v>347</v>
      </c>
    </row>
    <row r="17" spans="1:9" x14ac:dyDescent="0.25">
      <c r="A17">
        <v>40</v>
      </c>
      <c r="C17">
        <v>3</v>
      </c>
      <c r="I17" t="s">
        <v>348</v>
      </c>
    </row>
    <row r="18" spans="1:9" x14ac:dyDescent="0.25">
      <c r="A18">
        <v>50</v>
      </c>
      <c r="C18">
        <v>4</v>
      </c>
      <c r="F18" t="s">
        <v>349</v>
      </c>
    </row>
    <row r="19" spans="1:9" x14ac:dyDescent="0.25">
      <c r="A19">
        <v>60</v>
      </c>
      <c r="F19" t="s">
        <v>350</v>
      </c>
    </row>
    <row r="20" spans="1:9" x14ac:dyDescent="0.25">
      <c r="A20">
        <v>70</v>
      </c>
      <c r="F20" t="s">
        <v>351</v>
      </c>
    </row>
    <row r="21" spans="1:9" x14ac:dyDescent="0.25">
      <c r="A21">
        <v>80</v>
      </c>
      <c r="F21" t="s">
        <v>352</v>
      </c>
    </row>
    <row r="22" spans="1:9" x14ac:dyDescent="0.25">
      <c r="A22">
        <v>90</v>
      </c>
      <c r="F22" t="s">
        <v>353</v>
      </c>
    </row>
    <row r="23" spans="1:9" x14ac:dyDescent="0.25">
      <c r="A23">
        <v>100</v>
      </c>
      <c r="F23" t="s">
        <v>354</v>
      </c>
    </row>
    <row r="24" spans="1:9" x14ac:dyDescent="0.25">
      <c r="F24" t="s">
        <v>355</v>
      </c>
    </row>
    <row r="25" spans="1:9" x14ac:dyDescent="0.25">
      <c r="A25" t="s">
        <v>356</v>
      </c>
      <c r="F25" t="s">
        <v>357</v>
      </c>
    </row>
    <row r="26" spans="1:9" x14ac:dyDescent="0.25">
      <c r="A26" t="s">
        <v>210</v>
      </c>
      <c r="F26" t="s">
        <v>358</v>
      </c>
    </row>
    <row r="27" spans="1:9" x14ac:dyDescent="0.25">
      <c r="A27" t="s">
        <v>359</v>
      </c>
    </row>
    <row r="28" spans="1:9" x14ac:dyDescent="0.25">
      <c r="A28" t="s">
        <v>360</v>
      </c>
    </row>
    <row r="32" spans="1:9" x14ac:dyDescent="0.25">
      <c r="B32" t="s">
        <v>443</v>
      </c>
    </row>
    <row r="33" spans="2:2" x14ac:dyDescent="0.25">
      <c r="B33" t="s">
        <v>442</v>
      </c>
    </row>
    <row r="34" spans="2:2" x14ac:dyDescent="0.25">
      <c r="B34" t="s">
        <v>445</v>
      </c>
    </row>
    <row r="35" spans="2:2" x14ac:dyDescent="0.25">
      <c r="B35" t="s">
        <v>446</v>
      </c>
    </row>
    <row r="36" spans="2:2" x14ac:dyDescent="0.25">
      <c r="B36" t="s">
        <v>447</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8A7AC-E7D6-422A-8560-A4880B4B0BA2}">
  <sheetPr codeName="Sheet6"/>
  <dimension ref="A1:AZ160"/>
  <sheetViews>
    <sheetView topLeftCell="A90" workbookViewId="0">
      <selection activeCell="A97" sqref="A97:A126"/>
    </sheetView>
  </sheetViews>
  <sheetFormatPr defaultColWidth="10.42578125" defaultRowHeight="14.25" customHeight="1" outlineLevelCol="1" x14ac:dyDescent="0.25"/>
  <cols>
    <col min="1" max="2" width="32.140625" style="2" bestFit="1" customWidth="1"/>
    <col min="3" max="3" width="13" style="2" bestFit="1" customWidth="1"/>
    <col min="4" max="9" width="10.42578125" style="2"/>
    <col min="10" max="13" width="10.42578125" style="19" outlineLevel="1"/>
    <col min="14" max="21" width="10.42578125" style="2"/>
    <col min="22" max="22" width="10.42578125" style="2" collapsed="1"/>
    <col min="23" max="26" width="10.42578125" style="2"/>
    <col min="27" max="27" width="10.42578125" style="2" collapsed="1"/>
    <col min="28" max="29" width="10.42578125" style="2"/>
    <col min="30" max="30" width="10.42578125" style="2" collapsed="1"/>
    <col min="31" max="31" width="10.42578125" style="2"/>
    <col min="32" max="32" width="10.42578125" style="2" outlineLevel="1"/>
    <col min="33" max="35" width="10.42578125" style="22" outlineLevel="1"/>
    <col min="36" max="36" width="10.42578125" style="22"/>
    <col min="37" max="48" width="10.42578125" style="19"/>
    <col min="49" max="51" width="10.42578125" style="2"/>
    <col min="52" max="52" width="10.42578125" style="28"/>
    <col min="53" max="16384" width="10.42578125" style="2"/>
  </cols>
  <sheetData>
    <row r="1" spans="1:39" ht="14.25" customHeight="1" x14ac:dyDescent="0.25">
      <c r="A1" t="str">
        <f>'Project Commitment'!A2</f>
        <v>English</v>
      </c>
      <c r="B1"/>
      <c r="C1"/>
      <c r="D1"/>
      <c r="E1"/>
      <c r="F1"/>
      <c r="G1"/>
      <c r="H1"/>
      <c r="I1"/>
      <c r="J1"/>
      <c r="K1"/>
      <c r="L1"/>
      <c r="M1"/>
      <c r="N1"/>
      <c r="O1"/>
      <c r="P1"/>
      <c r="Q1"/>
      <c r="R1"/>
      <c r="S1"/>
      <c r="T1"/>
      <c r="U1"/>
      <c r="V1"/>
      <c r="W1"/>
      <c r="X1"/>
      <c r="Y1"/>
      <c r="Z1"/>
      <c r="AA1"/>
      <c r="AB1"/>
      <c r="AC1"/>
      <c r="AD1"/>
      <c r="AE1"/>
      <c r="AF1"/>
      <c r="AG1"/>
      <c r="AH1"/>
      <c r="AI1"/>
      <c r="AJ1"/>
      <c r="AK1"/>
      <c r="AL1"/>
      <c r="AM1"/>
    </row>
    <row r="2" spans="1:39" ht="23.25" x14ac:dyDescent="0.35">
      <c r="A2" s="55" t="s">
        <v>8</v>
      </c>
      <c r="B2" s="55" t="s">
        <v>9</v>
      </c>
      <c r="C2" s="55" t="s">
        <v>10</v>
      </c>
      <c r="D2"/>
      <c r="E2"/>
      <c r="F2"/>
      <c r="G2"/>
      <c r="H2"/>
      <c r="I2"/>
      <c r="J2"/>
      <c r="K2"/>
      <c r="L2"/>
      <c r="M2"/>
      <c r="N2"/>
      <c r="O2"/>
      <c r="P2"/>
      <c r="Q2"/>
      <c r="R2"/>
      <c r="S2"/>
      <c r="T2"/>
      <c r="U2"/>
      <c r="V2"/>
      <c r="W2"/>
      <c r="X2"/>
      <c r="Y2"/>
      <c r="Z2"/>
      <c r="AA2"/>
      <c r="AB2"/>
      <c r="AC2"/>
      <c r="AD2"/>
      <c r="AE2"/>
      <c r="AF2"/>
      <c r="AG2"/>
      <c r="AH2"/>
      <c r="AI2"/>
      <c r="AJ2"/>
      <c r="AK2"/>
      <c r="AL2"/>
      <c r="AM2"/>
    </row>
    <row r="3" spans="1:39" ht="14.25" customHeight="1" x14ac:dyDescent="0.25">
      <c r="A3" s="176" t="s">
        <v>227</v>
      </c>
      <c r="B3" s="176"/>
      <c r="C3" s="176"/>
      <c r="D3"/>
      <c r="E3"/>
      <c r="F3"/>
      <c r="G3"/>
      <c r="H3"/>
      <c r="I3"/>
      <c r="J3"/>
      <c r="K3"/>
      <c r="L3"/>
      <c r="M3"/>
      <c r="N3"/>
      <c r="O3"/>
      <c r="P3"/>
      <c r="Q3"/>
      <c r="R3"/>
      <c r="S3"/>
      <c r="T3"/>
      <c r="U3"/>
      <c r="V3"/>
      <c r="W3"/>
      <c r="X3"/>
      <c r="Y3"/>
      <c r="Z3"/>
      <c r="AA3"/>
      <c r="AB3"/>
      <c r="AC3"/>
      <c r="AD3"/>
      <c r="AE3"/>
      <c r="AF3"/>
      <c r="AG3"/>
      <c r="AH3"/>
      <c r="AI3"/>
      <c r="AJ3"/>
      <c r="AK3"/>
      <c r="AL3"/>
      <c r="AM3"/>
    </row>
    <row r="4" spans="1:39" ht="14.25" customHeight="1" x14ac:dyDescent="0.25">
      <c r="A4" t="str">
        <f t="shared" ref="A4:A70" si="0">IF($A$1="English",B4,C4)</f>
        <v>Meeting Date</v>
      </c>
      <c r="B4" t="s">
        <v>228</v>
      </c>
      <c r="C4"/>
      <c r="D4"/>
      <c r="E4"/>
      <c r="F4"/>
      <c r="G4"/>
      <c r="H4"/>
      <c r="I4"/>
      <c r="J4"/>
      <c r="K4"/>
      <c r="L4"/>
      <c r="M4"/>
      <c r="N4"/>
      <c r="O4"/>
      <c r="P4"/>
      <c r="Q4"/>
      <c r="R4"/>
      <c r="S4"/>
      <c r="T4"/>
      <c r="U4"/>
      <c r="V4"/>
      <c r="W4"/>
      <c r="X4"/>
      <c r="Y4"/>
      <c r="Z4"/>
      <c r="AA4"/>
      <c r="AB4"/>
      <c r="AC4"/>
      <c r="AD4"/>
      <c r="AE4"/>
      <c r="AF4"/>
      <c r="AG4"/>
      <c r="AH4"/>
      <c r="AI4"/>
      <c r="AJ4"/>
      <c r="AK4"/>
      <c r="AL4"/>
      <c r="AM4"/>
    </row>
    <row r="5" spans="1:39" ht="14.25" customHeight="1" x14ac:dyDescent="0.25">
      <c r="A5" t="str">
        <f t="shared" si="0"/>
        <v>Section 1: Project Details</v>
      </c>
      <c r="B5" t="s">
        <v>229</v>
      </c>
      <c r="C5" t="s">
        <v>230</v>
      </c>
      <c r="D5"/>
      <c r="E5"/>
      <c r="F5"/>
      <c r="G5"/>
      <c r="H5"/>
      <c r="I5"/>
      <c r="J5"/>
      <c r="K5"/>
      <c r="L5"/>
      <c r="M5"/>
      <c r="N5"/>
      <c r="O5"/>
      <c r="P5"/>
      <c r="Q5"/>
      <c r="R5"/>
      <c r="S5"/>
      <c r="T5"/>
      <c r="U5"/>
      <c r="V5"/>
      <c r="W5"/>
      <c r="X5"/>
      <c r="Y5"/>
      <c r="Z5"/>
      <c r="AA5"/>
      <c r="AB5"/>
      <c r="AC5"/>
      <c r="AD5"/>
      <c r="AE5"/>
      <c r="AF5"/>
      <c r="AG5"/>
      <c r="AH5"/>
      <c r="AI5"/>
      <c r="AJ5"/>
      <c r="AK5"/>
      <c r="AL5"/>
      <c r="AM5"/>
    </row>
    <row r="6" spans="1:39" ht="14.25" customHeight="1" x14ac:dyDescent="0.25">
      <c r="A6" t="str">
        <f t="shared" si="0"/>
        <v>Project ID</v>
      </c>
      <c r="B6" t="s">
        <v>1</v>
      </c>
      <c r="C6"/>
      <c r="D6"/>
      <c r="E6"/>
      <c r="F6"/>
      <c r="G6"/>
      <c r="H6"/>
      <c r="I6"/>
      <c r="J6"/>
      <c r="K6"/>
      <c r="L6"/>
      <c r="M6"/>
      <c r="N6"/>
      <c r="O6"/>
      <c r="P6"/>
      <c r="Q6"/>
      <c r="R6"/>
      <c r="S6"/>
      <c r="T6"/>
      <c r="U6"/>
      <c r="V6"/>
      <c r="W6"/>
      <c r="X6"/>
      <c r="Y6"/>
      <c r="Z6"/>
      <c r="AA6"/>
      <c r="AB6"/>
      <c r="AC6"/>
      <c r="AD6"/>
      <c r="AE6"/>
      <c r="AF6"/>
      <c r="AG6"/>
      <c r="AH6"/>
      <c r="AI6"/>
      <c r="AJ6"/>
      <c r="AK6"/>
      <c r="AL6"/>
      <c r="AM6"/>
    </row>
    <row r="7" spans="1:39" ht="14.25" customHeight="1" x14ac:dyDescent="0.25">
      <c r="A7" t="str">
        <f t="shared" si="0"/>
        <v>Project Name</v>
      </c>
      <c r="B7" t="s">
        <v>2</v>
      </c>
      <c r="C7"/>
      <c r="D7"/>
      <c r="E7"/>
      <c r="F7"/>
      <c r="G7"/>
      <c r="H7"/>
      <c r="I7"/>
      <c r="J7"/>
      <c r="K7"/>
      <c r="L7"/>
      <c r="M7"/>
      <c r="N7"/>
      <c r="O7"/>
      <c r="P7"/>
      <c r="Q7"/>
      <c r="R7"/>
      <c r="S7"/>
      <c r="T7"/>
      <c r="U7"/>
      <c r="V7"/>
      <c r="W7"/>
      <c r="X7"/>
      <c r="Y7"/>
      <c r="Z7"/>
      <c r="AA7"/>
      <c r="AB7"/>
      <c r="AC7"/>
      <c r="AD7"/>
      <c r="AE7"/>
      <c r="AF7"/>
      <c r="AG7"/>
      <c r="AH7"/>
      <c r="AI7"/>
      <c r="AJ7"/>
      <c r="AK7"/>
      <c r="AL7"/>
      <c r="AM7"/>
    </row>
    <row r="8" spans="1:39" ht="14.25" customHeight="1" x14ac:dyDescent="0.25">
      <c r="A8" t="str">
        <f t="shared" si="0"/>
        <v>Address</v>
      </c>
      <c r="B8" t="s">
        <v>78</v>
      </c>
      <c r="C8"/>
      <c r="D8"/>
      <c r="E8"/>
      <c r="F8"/>
      <c r="G8"/>
      <c r="H8"/>
      <c r="I8"/>
      <c r="J8"/>
      <c r="K8"/>
      <c r="L8"/>
      <c r="M8"/>
      <c r="N8"/>
      <c r="O8"/>
      <c r="P8"/>
      <c r="Q8"/>
      <c r="R8"/>
      <c r="S8"/>
      <c r="T8"/>
      <c r="U8"/>
      <c r="V8"/>
      <c r="W8"/>
      <c r="X8"/>
      <c r="Y8"/>
      <c r="Z8"/>
      <c r="AA8"/>
      <c r="AB8"/>
      <c r="AC8"/>
      <c r="AD8"/>
      <c r="AE8"/>
      <c r="AF8"/>
      <c r="AG8"/>
      <c r="AH8"/>
      <c r="AI8"/>
      <c r="AJ8"/>
      <c r="AK8"/>
      <c r="AL8"/>
      <c r="AM8"/>
    </row>
    <row r="9" spans="1:39" ht="14.25" customHeight="1" x14ac:dyDescent="0.25">
      <c r="A9" t="str">
        <f t="shared" si="0"/>
        <v xml:space="preserve">City </v>
      </c>
      <c r="B9" t="s">
        <v>80</v>
      </c>
      <c r="C9"/>
      <c r="D9"/>
      <c r="E9"/>
      <c r="F9"/>
      <c r="G9"/>
      <c r="H9"/>
      <c r="I9"/>
      <c r="J9"/>
      <c r="K9"/>
      <c r="L9"/>
      <c r="M9"/>
      <c r="N9"/>
      <c r="O9"/>
      <c r="P9"/>
      <c r="Q9"/>
      <c r="R9"/>
      <c r="S9"/>
      <c r="T9"/>
      <c r="U9"/>
      <c r="V9"/>
      <c r="W9"/>
      <c r="X9"/>
      <c r="Y9"/>
      <c r="Z9"/>
      <c r="AA9"/>
      <c r="AB9"/>
      <c r="AC9"/>
      <c r="AD9"/>
      <c r="AE9"/>
      <c r="AF9"/>
      <c r="AG9"/>
      <c r="AH9"/>
      <c r="AI9"/>
      <c r="AJ9"/>
      <c r="AK9"/>
      <c r="AL9"/>
      <c r="AM9"/>
    </row>
    <row r="10" spans="1:39" ht="14.25" customHeight="1" x14ac:dyDescent="0.25">
      <c r="A10" t="str">
        <f t="shared" si="0"/>
        <v>Postal Code</v>
      </c>
      <c r="B10" t="s">
        <v>231</v>
      </c>
      <c r="C10"/>
      <c r="D10"/>
      <c r="E10"/>
      <c r="F10"/>
      <c r="G10"/>
      <c r="H10"/>
      <c r="I10"/>
      <c r="J10"/>
      <c r="K10"/>
      <c r="L10"/>
      <c r="M10"/>
      <c r="N10"/>
      <c r="O10"/>
      <c r="P10"/>
      <c r="Q10"/>
      <c r="R10"/>
      <c r="S10"/>
      <c r="T10"/>
      <c r="U10"/>
      <c r="V10"/>
      <c r="W10"/>
      <c r="X10"/>
      <c r="Y10"/>
      <c r="Z10"/>
      <c r="AA10"/>
      <c r="AB10"/>
      <c r="AC10"/>
      <c r="AD10"/>
      <c r="AE10"/>
      <c r="AF10"/>
      <c r="AG10"/>
      <c r="AH10"/>
      <c r="AI10"/>
      <c r="AJ10"/>
      <c r="AK10"/>
      <c r="AL10"/>
      <c r="AM10"/>
    </row>
    <row r="11" spans="1:39" ht="14.25" customHeight="1" x14ac:dyDescent="0.25">
      <c r="A11" t="str">
        <f t="shared" si="0"/>
        <v>Project Type</v>
      </c>
      <c r="B11" t="s">
        <v>72</v>
      </c>
      <c r="C11"/>
      <c r="D11"/>
      <c r="E11"/>
      <c r="F11"/>
      <c r="G11"/>
      <c r="H11"/>
      <c r="I11"/>
      <c r="J11"/>
      <c r="K11"/>
      <c r="L11"/>
      <c r="M11"/>
      <c r="N11"/>
      <c r="O11"/>
      <c r="P11"/>
      <c r="Q11"/>
      <c r="R11"/>
      <c r="S11"/>
      <c r="T11"/>
      <c r="U11"/>
      <c r="V11"/>
      <c r="W11"/>
      <c r="X11"/>
      <c r="Y11"/>
      <c r="Z11"/>
      <c r="AA11"/>
      <c r="AB11"/>
      <c r="AC11"/>
      <c r="AD11"/>
      <c r="AE11"/>
      <c r="AF11"/>
      <c r="AG11"/>
      <c r="AH11"/>
      <c r="AI11"/>
      <c r="AJ11"/>
      <c r="AK11"/>
      <c r="AL11"/>
      <c r="AM11"/>
    </row>
    <row r="12" spans="1:39" ht="14.25" customHeight="1" x14ac:dyDescent="0.25">
      <c r="A12" t="str">
        <f t="shared" si="0"/>
        <v>Approval Period</v>
      </c>
      <c r="B12" t="s">
        <v>232</v>
      </c>
      <c r="C12"/>
      <c r="D12"/>
      <c r="E12"/>
      <c r="F12"/>
      <c r="G12"/>
      <c r="H12"/>
      <c r="I12"/>
      <c r="J12"/>
      <c r="K12"/>
      <c r="L12"/>
      <c r="M12"/>
      <c r="N12"/>
      <c r="O12"/>
      <c r="P12"/>
      <c r="Q12"/>
      <c r="R12"/>
      <c r="S12"/>
      <c r="T12"/>
      <c r="U12"/>
      <c r="V12"/>
      <c r="W12"/>
      <c r="X12"/>
      <c r="Y12"/>
      <c r="Z12"/>
      <c r="AA12"/>
      <c r="AB12"/>
      <c r="AC12"/>
      <c r="AD12"/>
      <c r="AE12"/>
      <c r="AF12"/>
      <c r="AG12"/>
      <c r="AH12"/>
      <c r="AI12"/>
      <c r="AJ12"/>
      <c r="AK12"/>
      <c r="AL12"/>
      <c r="AM12"/>
    </row>
    <row r="13" spans="1:39" ht="14.25" customHeight="1" x14ac:dyDescent="0.25">
      <c r="A13" t="str">
        <f t="shared" si="0"/>
        <v xml:space="preserve">Project Category </v>
      </c>
      <c r="B13" t="s">
        <v>86</v>
      </c>
      <c r="C13"/>
      <c r="D13"/>
      <c r="E13"/>
      <c r="F13"/>
      <c r="G13"/>
      <c r="H13"/>
      <c r="I13"/>
      <c r="J13"/>
      <c r="K13"/>
      <c r="L13"/>
      <c r="M13"/>
      <c r="N13"/>
      <c r="O13"/>
      <c r="P13"/>
      <c r="Q13"/>
      <c r="R13"/>
      <c r="S13"/>
      <c r="T13"/>
      <c r="U13"/>
      <c r="V13"/>
      <c r="W13"/>
      <c r="X13"/>
      <c r="Y13"/>
      <c r="Z13"/>
      <c r="AA13"/>
      <c r="AB13"/>
      <c r="AC13"/>
      <c r="AD13"/>
      <c r="AE13"/>
      <c r="AF13"/>
      <c r="AG13"/>
      <c r="AH13"/>
      <c r="AI13"/>
      <c r="AJ13"/>
      <c r="AK13"/>
      <c r="AL13"/>
      <c r="AM13"/>
    </row>
    <row r="14" spans="1:39" ht="14.25" customHeight="1" x14ac:dyDescent="0.25">
      <c r="A14" t="str">
        <f t="shared" si="0"/>
        <v>Project Status</v>
      </c>
      <c r="B14" t="s">
        <v>233</v>
      </c>
      <c r="C14"/>
      <c r="D14"/>
      <c r="E14"/>
      <c r="F14"/>
      <c r="G14"/>
      <c r="H14"/>
      <c r="I14"/>
      <c r="J14"/>
      <c r="K14"/>
      <c r="L14"/>
      <c r="M14"/>
      <c r="N14"/>
      <c r="O14"/>
      <c r="P14"/>
      <c r="Q14"/>
      <c r="R14"/>
      <c r="S14"/>
      <c r="T14"/>
      <c r="U14"/>
      <c r="V14"/>
      <c r="W14"/>
      <c r="X14"/>
      <c r="Y14"/>
      <c r="Z14"/>
      <c r="AA14"/>
      <c r="AB14"/>
      <c r="AC14"/>
      <c r="AD14"/>
      <c r="AE14"/>
      <c r="AF14"/>
      <c r="AG14"/>
      <c r="AH14"/>
      <c r="AI14"/>
      <c r="AJ14"/>
      <c r="AK14"/>
      <c r="AL14"/>
      <c r="AM14"/>
    </row>
    <row r="15" spans="1:39" ht="14.25" customHeight="1" x14ac:dyDescent="0.25">
      <c r="A15" t="str">
        <f t="shared" si="0"/>
        <v>Construction Status</v>
      </c>
      <c r="B15" t="s">
        <v>234</v>
      </c>
      <c r="C15"/>
      <c r="D15"/>
      <c r="E15"/>
      <c r="F15"/>
      <c r="G15"/>
      <c r="H15"/>
      <c r="I15"/>
      <c r="J15"/>
      <c r="K15"/>
      <c r="L15"/>
      <c r="M15"/>
      <c r="N15"/>
      <c r="O15"/>
      <c r="P15"/>
      <c r="Q15"/>
      <c r="R15"/>
      <c r="S15"/>
      <c r="T15"/>
      <c r="U15"/>
      <c r="V15"/>
      <c r="W15"/>
      <c r="X15"/>
      <c r="Y15"/>
      <c r="Z15"/>
      <c r="AA15"/>
      <c r="AB15"/>
      <c r="AC15"/>
      <c r="AD15"/>
      <c r="AE15"/>
      <c r="AF15"/>
      <c r="AG15"/>
      <c r="AH15"/>
      <c r="AI15"/>
      <c r="AJ15"/>
      <c r="AK15"/>
      <c r="AL15"/>
      <c r="AM15"/>
    </row>
    <row r="16" spans="1:39" ht="14.25" customHeight="1" x14ac:dyDescent="0.25">
      <c r="A16" t="str">
        <f t="shared" si="0"/>
        <v>Section 2: Square Footage Specification</v>
      </c>
      <c r="B16" t="s">
        <v>111</v>
      </c>
      <c r="C16"/>
      <c r="D16"/>
      <c r="E16"/>
      <c r="F16"/>
      <c r="G16"/>
      <c r="H16"/>
      <c r="I16"/>
      <c r="J16"/>
      <c r="K16"/>
      <c r="L16"/>
      <c r="M16"/>
      <c r="N16"/>
      <c r="O16"/>
      <c r="P16"/>
      <c r="Q16"/>
      <c r="R16"/>
      <c r="S16"/>
      <c r="T16"/>
      <c r="U16"/>
      <c r="V16"/>
      <c r="W16"/>
      <c r="X16"/>
      <c r="Y16"/>
      <c r="Z16"/>
      <c r="AA16"/>
      <c r="AB16"/>
      <c r="AC16"/>
      <c r="AD16"/>
      <c r="AE16"/>
      <c r="AF16"/>
      <c r="AG16"/>
      <c r="AH16"/>
      <c r="AI16"/>
      <c r="AJ16"/>
      <c r="AK16"/>
      <c r="AL16"/>
      <c r="AM16"/>
    </row>
    <row r="17" spans="1:39" ht="14.25" customHeight="1" x14ac:dyDescent="0.25">
      <c r="A17" t="str">
        <f t="shared" si="0"/>
        <v>Anticipate Design Change?</v>
      </c>
      <c r="B17" t="s">
        <v>112</v>
      </c>
      <c r="C17"/>
      <c r="D17"/>
      <c r="E17"/>
      <c r="F17"/>
      <c r="G17"/>
      <c r="H17"/>
      <c r="I17"/>
      <c r="J17"/>
      <c r="K17"/>
      <c r="L17"/>
      <c r="M17"/>
      <c r="N17"/>
      <c r="O17"/>
      <c r="P17"/>
      <c r="Q17"/>
      <c r="R17"/>
      <c r="S17"/>
      <c r="T17"/>
      <c r="U17"/>
      <c r="V17"/>
      <c r="W17"/>
      <c r="X17"/>
      <c r="Y17"/>
      <c r="Z17"/>
      <c r="AA17"/>
      <c r="AB17"/>
      <c r="AC17"/>
      <c r="AD17"/>
      <c r="AE17"/>
      <c r="AF17"/>
      <c r="AG17"/>
      <c r="AH17"/>
      <c r="AI17"/>
      <c r="AJ17"/>
      <c r="AK17"/>
      <c r="AL17"/>
      <c r="AM17"/>
    </row>
    <row r="18" spans="1:39" ht="14.25" customHeight="1" x14ac:dyDescent="0.25">
      <c r="A18" t="str">
        <f t="shared" si="0"/>
        <v>Square Footage of New Construction</v>
      </c>
      <c r="B18" t="s">
        <v>114</v>
      </c>
      <c r="C18"/>
      <c r="D18"/>
      <c r="E18"/>
      <c r="F18"/>
      <c r="G18"/>
      <c r="H18"/>
      <c r="I18"/>
      <c r="J18"/>
      <c r="K18"/>
      <c r="L18"/>
      <c r="M18"/>
      <c r="N18"/>
      <c r="O18"/>
      <c r="P18"/>
      <c r="Q18"/>
      <c r="R18"/>
      <c r="S18"/>
      <c r="T18"/>
      <c r="U18"/>
      <c r="V18"/>
      <c r="W18"/>
      <c r="X18"/>
      <c r="Y18"/>
      <c r="Z18"/>
      <c r="AA18"/>
      <c r="AB18"/>
      <c r="AC18"/>
      <c r="AD18"/>
      <c r="AE18"/>
      <c r="AF18"/>
      <c r="AG18"/>
      <c r="AH18"/>
      <c r="AI18"/>
      <c r="AJ18"/>
      <c r="AK18"/>
      <c r="AL18"/>
      <c r="AM18"/>
    </row>
    <row r="19" spans="1:39" ht="14.25" customHeight="1" x14ac:dyDescent="0.25">
      <c r="A19" t="str">
        <f t="shared" si="0"/>
        <v>Square Footage of Renovaton/Retrofit</v>
      </c>
      <c r="B19" t="s">
        <v>235</v>
      </c>
      <c r="C19"/>
      <c r="D19"/>
      <c r="E19"/>
      <c r="F19"/>
      <c r="G19"/>
      <c r="H19"/>
      <c r="I19"/>
      <c r="J19"/>
      <c r="K19"/>
      <c r="L19"/>
      <c r="M19"/>
      <c r="N19"/>
      <c r="O19"/>
      <c r="P19"/>
      <c r="Q19"/>
      <c r="R19"/>
      <c r="S19"/>
      <c r="T19"/>
      <c r="U19"/>
      <c r="V19"/>
      <c r="W19"/>
      <c r="X19"/>
      <c r="Y19"/>
      <c r="Z19"/>
      <c r="AA19"/>
      <c r="AB19"/>
      <c r="AC19"/>
      <c r="AD19"/>
      <c r="AE19"/>
      <c r="AF19"/>
      <c r="AG19"/>
      <c r="AH19"/>
      <c r="AI19"/>
      <c r="AJ19"/>
      <c r="AK19"/>
      <c r="AL19"/>
      <c r="AM19"/>
    </row>
    <row r="20" spans="1:39" ht="14.25" customHeight="1" x14ac:dyDescent="0.25">
      <c r="A20" t="str">
        <f t="shared" si="0"/>
        <v>Square Footage of Demolition</v>
      </c>
      <c r="B20" t="s">
        <v>118</v>
      </c>
      <c r="C20"/>
      <c r="D20"/>
      <c r="E20"/>
      <c r="F20"/>
      <c r="G20"/>
      <c r="H20"/>
      <c r="I20"/>
      <c r="J20"/>
      <c r="K20"/>
      <c r="L20"/>
      <c r="M20"/>
      <c r="N20"/>
      <c r="O20"/>
      <c r="P20"/>
      <c r="Q20"/>
      <c r="R20"/>
      <c r="S20"/>
      <c r="T20"/>
      <c r="U20"/>
      <c r="V20"/>
      <c r="W20"/>
      <c r="X20"/>
      <c r="Y20"/>
      <c r="Z20"/>
      <c r="AA20"/>
      <c r="AB20"/>
      <c r="AC20"/>
      <c r="AD20"/>
      <c r="AE20"/>
      <c r="AF20"/>
      <c r="AG20"/>
      <c r="AH20"/>
      <c r="AI20"/>
      <c r="AJ20"/>
      <c r="AK20"/>
      <c r="AL20"/>
      <c r="AM20"/>
    </row>
    <row r="21" spans="1:39" ht="14.25" customHeight="1" x14ac:dyDescent="0.25">
      <c r="A21" t="str">
        <f t="shared" si="0"/>
        <v>Square Footage of New Child Care</v>
      </c>
      <c r="B21" t="s">
        <v>236</v>
      </c>
      <c r="C21"/>
      <c r="D21"/>
      <c r="E21"/>
      <c r="F21"/>
      <c r="G21"/>
      <c r="H21"/>
      <c r="I21"/>
      <c r="J21"/>
      <c r="K21"/>
      <c r="L21"/>
      <c r="M21"/>
      <c r="N21"/>
      <c r="O21"/>
      <c r="P21"/>
      <c r="Q21"/>
      <c r="R21"/>
      <c r="S21"/>
      <c r="T21"/>
      <c r="U21"/>
      <c r="V21"/>
      <c r="W21"/>
      <c r="X21"/>
      <c r="Y21"/>
      <c r="Z21"/>
      <c r="AA21"/>
      <c r="AB21"/>
      <c r="AC21"/>
      <c r="AD21"/>
      <c r="AE21"/>
      <c r="AF21"/>
      <c r="AG21"/>
      <c r="AH21"/>
      <c r="AI21"/>
      <c r="AJ21"/>
      <c r="AK21"/>
      <c r="AL21"/>
      <c r="AM21"/>
    </row>
    <row r="22" spans="1:39" ht="14.25" customHeight="1" x14ac:dyDescent="0.25">
      <c r="A22" t="str">
        <f t="shared" si="0"/>
        <v xml:space="preserve">Square Footage of Community Space </v>
      </c>
      <c r="B22" t="s">
        <v>237</v>
      </c>
      <c r="C22"/>
      <c r="D22"/>
      <c r="E22"/>
      <c r="F22"/>
      <c r="G22"/>
      <c r="H22"/>
      <c r="I22"/>
      <c r="J22"/>
      <c r="K22"/>
      <c r="L22"/>
      <c r="M22"/>
      <c r="N22"/>
      <c r="O22"/>
      <c r="P22"/>
      <c r="Q22"/>
      <c r="R22"/>
      <c r="S22"/>
      <c r="T22"/>
      <c r="U22"/>
      <c r="V22"/>
      <c r="W22"/>
      <c r="X22"/>
      <c r="Y22"/>
      <c r="Z22"/>
      <c r="AA22"/>
      <c r="AB22"/>
      <c r="AC22"/>
      <c r="AD22"/>
      <c r="AE22"/>
      <c r="AF22"/>
      <c r="AG22"/>
      <c r="AH22"/>
      <c r="AI22"/>
      <c r="AJ22"/>
      <c r="AK22"/>
      <c r="AL22"/>
      <c r="AM22"/>
    </row>
    <row r="23" spans="1:39" ht="14.25" customHeight="1" x14ac:dyDescent="0.25">
      <c r="A23" t="str">
        <f t="shared" si="0"/>
        <v>Square Footage of EarlyOn</v>
      </c>
      <c r="B23" t="s">
        <v>122</v>
      </c>
      <c r="C23"/>
      <c r="D23"/>
      <c r="E23"/>
      <c r="F23"/>
      <c r="G23"/>
      <c r="H23"/>
      <c r="I23"/>
      <c r="J23"/>
      <c r="K23"/>
      <c r="L23"/>
      <c r="M23"/>
      <c r="N23"/>
      <c r="O23"/>
      <c r="P23"/>
      <c r="Q23"/>
      <c r="R23"/>
      <c r="S23"/>
      <c r="T23"/>
      <c r="U23"/>
      <c r="V23"/>
      <c r="W23"/>
      <c r="X23"/>
      <c r="Y23"/>
      <c r="Z23"/>
      <c r="AA23"/>
      <c r="AB23"/>
      <c r="AC23"/>
      <c r="AD23"/>
      <c r="AE23"/>
      <c r="AF23"/>
      <c r="AG23"/>
      <c r="AH23"/>
      <c r="AI23"/>
      <c r="AJ23"/>
      <c r="AK23"/>
      <c r="AL23"/>
      <c r="AM23"/>
    </row>
    <row r="24" spans="1:39" ht="14.25" customHeight="1" x14ac:dyDescent="0.25">
      <c r="A24" t="str">
        <f t="shared" si="0"/>
        <v xml:space="preserve">Section 3: Phase 1 - Pre-Tender </v>
      </c>
      <c r="B24" t="s">
        <v>238</v>
      </c>
      <c r="C24"/>
      <c r="D24"/>
      <c r="E24"/>
      <c r="F24"/>
      <c r="G24"/>
      <c r="H24"/>
      <c r="I24"/>
      <c r="J24"/>
      <c r="K24"/>
      <c r="L24"/>
      <c r="M24"/>
      <c r="N24"/>
      <c r="O24"/>
      <c r="P24"/>
      <c r="Q24"/>
      <c r="R24"/>
      <c r="S24"/>
      <c r="T24"/>
      <c r="U24"/>
      <c r="V24"/>
      <c r="W24"/>
      <c r="X24"/>
      <c r="Y24"/>
      <c r="Z24"/>
      <c r="AA24"/>
      <c r="AB24"/>
      <c r="AC24"/>
      <c r="AD24"/>
      <c r="AE24"/>
      <c r="AF24"/>
      <c r="AG24"/>
      <c r="AH24"/>
      <c r="AI24"/>
      <c r="AJ24"/>
      <c r="AK24"/>
      <c r="AL24"/>
      <c r="AM24"/>
    </row>
    <row r="25" spans="1:39" ht="14.25" customHeight="1" x14ac:dyDescent="0.25">
      <c r="A25" t="str">
        <f t="shared" si="0"/>
        <v>Site Ownership Status</v>
      </c>
      <c r="B25" t="s">
        <v>239</v>
      </c>
      <c r="C25"/>
      <c r="D25"/>
      <c r="E25"/>
      <c r="F25"/>
      <c r="G25"/>
      <c r="H25"/>
      <c r="I25"/>
      <c r="J25"/>
      <c r="K25"/>
      <c r="L25"/>
      <c r="M25"/>
      <c r="N25"/>
      <c r="O25"/>
      <c r="P25"/>
      <c r="Q25"/>
      <c r="R25"/>
      <c r="S25"/>
      <c r="T25"/>
      <c r="U25"/>
      <c r="V25"/>
      <c r="W25"/>
      <c r="X25"/>
      <c r="Y25"/>
      <c r="Z25"/>
      <c r="AA25"/>
      <c r="AB25"/>
      <c r="AC25"/>
      <c r="AD25"/>
      <c r="AE25"/>
      <c r="AF25"/>
      <c r="AG25"/>
      <c r="AH25"/>
      <c r="AI25"/>
      <c r="AJ25"/>
      <c r="AK25"/>
      <c r="AL25"/>
      <c r="AM25"/>
    </row>
    <row r="26" spans="1:39" ht="14.25" customHeight="1" x14ac:dyDescent="0.25">
      <c r="A26" t="str">
        <f t="shared" si="0"/>
        <v>Site Purchase Date</v>
      </c>
      <c r="B26" t="s">
        <v>240</v>
      </c>
      <c r="C26"/>
      <c r="D26"/>
      <c r="E26"/>
      <c r="F26"/>
      <c r="G26"/>
      <c r="H26"/>
      <c r="I26"/>
      <c r="J26"/>
      <c r="K26"/>
      <c r="L26"/>
      <c r="M26"/>
      <c r="N26"/>
      <c r="O26"/>
      <c r="P26"/>
      <c r="Q26"/>
      <c r="R26"/>
      <c r="S26"/>
      <c r="T26"/>
      <c r="U26"/>
      <c r="V26"/>
      <c r="W26"/>
      <c r="X26"/>
      <c r="Y26"/>
      <c r="Z26"/>
      <c r="AA26"/>
      <c r="AB26"/>
      <c r="AC26"/>
      <c r="AD26"/>
      <c r="AE26"/>
      <c r="AF26"/>
      <c r="AG26"/>
      <c r="AH26"/>
      <c r="AI26"/>
      <c r="AJ26"/>
      <c r="AK26"/>
      <c r="AL26"/>
      <c r="AM26"/>
    </row>
    <row r="27" spans="1:39" ht="14.25" customHeight="1" x14ac:dyDescent="0.25">
      <c r="A27" t="str">
        <f t="shared" si="0"/>
        <v xml:space="preserve">Space Template Approval Date </v>
      </c>
      <c r="B27" t="s">
        <v>241</v>
      </c>
      <c r="C27"/>
      <c r="D27"/>
      <c r="E27"/>
      <c r="F27"/>
      <c r="G27"/>
      <c r="H27"/>
      <c r="I27"/>
      <c r="J27"/>
      <c r="K27"/>
      <c r="L27"/>
      <c r="M27"/>
      <c r="N27"/>
      <c r="O27"/>
      <c r="P27"/>
      <c r="Q27"/>
      <c r="R27"/>
      <c r="S27"/>
      <c r="T27"/>
      <c r="U27"/>
      <c r="V27"/>
      <c r="W27"/>
      <c r="X27"/>
      <c r="Y27"/>
      <c r="Z27"/>
      <c r="AA27"/>
      <c r="AB27"/>
      <c r="AC27"/>
      <c r="AD27"/>
      <c r="AE27"/>
      <c r="AF27"/>
      <c r="AG27"/>
      <c r="AH27"/>
      <c r="AI27"/>
      <c r="AJ27"/>
      <c r="AK27"/>
      <c r="AL27"/>
      <c r="AM27"/>
    </row>
    <row r="28" spans="1:39" ht="14.25" customHeight="1" x14ac:dyDescent="0.25">
      <c r="A28" t="str">
        <f t="shared" si="0"/>
        <v xml:space="preserve">Type of Design Used </v>
      </c>
      <c r="B28" t="s">
        <v>242</v>
      </c>
      <c r="C28"/>
      <c r="D28"/>
      <c r="E28"/>
      <c r="F28"/>
      <c r="G28"/>
      <c r="H28"/>
      <c r="I28"/>
      <c r="J28"/>
      <c r="K28"/>
      <c r="L28"/>
      <c r="M28"/>
      <c r="N28"/>
      <c r="O28"/>
      <c r="P28"/>
      <c r="Q28"/>
      <c r="R28"/>
      <c r="S28"/>
      <c r="T28"/>
      <c r="U28"/>
      <c r="V28"/>
      <c r="W28"/>
      <c r="X28"/>
      <c r="Y28"/>
      <c r="Z28"/>
      <c r="AA28"/>
      <c r="AB28"/>
      <c r="AC28"/>
      <c r="AD28"/>
      <c r="AE28"/>
      <c r="AF28"/>
      <c r="AG28"/>
      <c r="AH28"/>
      <c r="AI28"/>
      <c r="AJ28"/>
      <c r="AK28"/>
      <c r="AL28"/>
      <c r="AM28"/>
    </row>
    <row r="29" spans="1:39" ht="14.25" customHeight="1" x14ac:dyDescent="0.25">
      <c r="A29" t="str">
        <f t="shared" si="0"/>
        <v xml:space="preserve">Design Status </v>
      </c>
      <c r="B29" t="s">
        <v>143</v>
      </c>
      <c r="C29"/>
      <c r="D29"/>
      <c r="E29"/>
      <c r="F29"/>
      <c r="G29"/>
      <c r="H29"/>
      <c r="I29"/>
      <c r="J29"/>
      <c r="K29"/>
      <c r="L29"/>
      <c r="M29"/>
      <c r="N29"/>
      <c r="O29"/>
      <c r="P29"/>
      <c r="Q29"/>
      <c r="R29"/>
      <c r="S29"/>
      <c r="T29"/>
      <c r="U29"/>
      <c r="V29"/>
      <c r="W29"/>
      <c r="X29"/>
      <c r="Y29"/>
      <c r="Z29"/>
      <c r="AA29"/>
      <c r="AB29"/>
      <c r="AC29"/>
      <c r="AD29"/>
      <c r="AE29"/>
      <c r="AF29"/>
      <c r="AG29"/>
      <c r="AH29"/>
      <c r="AI29"/>
      <c r="AJ29"/>
      <c r="AK29"/>
      <c r="AL29"/>
      <c r="AM29"/>
    </row>
    <row r="30" spans="1:39" ht="14.25" customHeight="1" x14ac:dyDescent="0.25">
      <c r="A30" t="str">
        <f t="shared" si="0"/>
        <v xml:space="preserve">Class A/B Cost Estimate -Date </v>
      </c>
      <c r="B30" t="s">
        <v>243</v>
      </c>
      <c r="C30"/>
      <c r="D30"/>
      <c r="E30"/>
      <c r="F30"/>
      <c r="G30"/>
      <c r="H30"/>
      <c r="I30"/>
      <c r="J30"/>
      <c r="K30"/>
      <c r="L30"/>
      <c r="M30"/>
      <c r="N30"/>
      <c r="O30"/>
      <c r="P30"/>
      <c r="Q30"/>
      <c r="R30"/>
      <c r="S30"/>
      <c r="T30"/>
      <c r="U30"/>
      <c r="V30"/>
      <c r="W30"/>
      <c r="X30"/>
      <c r="Y30"/>
      <c r="Z30"/>
      <c r="AA30"/>
      <c r="AB30"/>
      <c r="AC30"/>
      <c r="AD30"/>
      <c r="AE30"/>
      <c r="AF30"/>
      <c r="AG30"/>
      <c r="AH30"/>
      <c r="AI30"/>
      <c r="AJ30"/>
      <c r="AK30"/>
      <c r="AL30"/>
      <c r="AM30"/>
    </row>
    <row r="31" spans="1:39" ht="14.25" customHeight="1" x14ac:dyDescent="0.25">
      <c r="A31" t="str">
        <f t="shared" si="0"/>
        <v xml:space="preserve">Child Care Floorplan Approval - Date </v>
      </c>
      <c r="B31" t="s">
        <v>147</v>
      </c>
      <c r="C31"/>
      <c r="D31"/>
      <c r="E31"/>
      <c r="F31"/>
      <c r="G31"/>
      <c r="H31"/>
      <c r="I31"/>
      <c r="J31"/>
      <c r="K31"/>
      <c r="L31"/>
      <c r="M31"/>
      <c r="N31"/>
      <c r="O31"/>
      <c r="P31"/>
      <c r="Q31"/>
      <c r="R31"/>
      <c r="S31"/>
      <c r="T31"/>
      <c r="U31"/>
      <c r="V31"/>
      <c r="W31"/>
      <c r="X31"/>
      <c r="Y31"/>
      <c r="Z31"/>
      <c r="AA31"/>
      <c r="AB31"/>
      <c r="AC31"/>
      <c r="AD31"/>
      <c r="AE31"/>
      <c r="AF31"/>
      <c r="AG31"/>
      <c r="AH31"/>
      <c r="AI31"/>
      <c r="AJ31"/>
      <c r="AK31"/>
      <c r="AL31"/>
      <c r="AM31"/>
    </row>
    <row r="32" spans="1:39" ht="14.25" customHeight="1" x14ac:dyDescent="0.25">
      <c r="A32" t="str">
        <f t="shared" si="0"/>
        <v xml:space="preserve">Site, Design and Child Care Related Comments: Include details of scope change if applicable </v>
      </c>
      <c r="B32" t="s">
        <v>244</v>
      </c>
      <c r="C32"/>
      <c r="D32"/>
      <c r="E32"/>
      <c r="F32"/>
      <c r="G32"/>
      <c r="H32"/>
      <c r="I32"/>
      <c r="J32"/>
      <c r="K32"/>
      <c r="L32"/>
      <c r="M32"/>
      <c r="N32"/>
      <c r="O32"/>
      <c r="P32"/>
      <c r="Q32"/>
      <c r="R32"/>
      <c r="S32"/>
      <c r="T32"/>
      <c r="U32"/>
      <c r="V32"/>
      <c r="W32"/>
      <c r="X32"/>
      <c r="Y32"/>
      <c r="Z32"/>
      <c r="AA32"/>
      <c r="AB32"/>
      <c r="AC32"/>
      <c r="AD32"/>
      <c r="AE32"/>
      <c r="AF32"/>
      <c r="AG32"/>
      <c r="AH32"/>
      <c r="AI32"/>
      <c r="AJ32"/>
      <c r="AK32"/>
      <c r="AL32"/>
      <c r="AM32"/>
    </row>
    <row r="33" spans="1:39" ht="14.25" customHeight="1" x14ac:dyDescent="0.25">
      <c r="A33" t="str">
        <f t="shared" si="0"/>
        <v>Section 4: Phase 2 - Tender</v>
      </c>
      <c r="B33" t="s">
        <v>151</v>
      </c>
      <c r="C33"/>
      <c r="D33"/>
      <c r="E33"/>
      <c r="F33"/>
      <c r="G33"/>
      <c r="H33"/>
      <c r="I33"/>
      <c r="J33"/>
      <c r="K33"/>
      <c r="L33"/>
      <c r="M33"/>
      <c r="N33"/>
      <c r="O33"/>
      <c r="P33"/>
      <c r="Q33"/>
      <c r="R33"/>
      <c r="S33"/>
      <c r="T33"/>
      <c r="U33"/>
      <c r="V33"/>
      <c r="W33"/>
      <c r="X33"/>
      <c r="Y33"/>
      <c r="Z33"/>
      <c r="AA33"/>
      <c r="AB33"/>
      <c r="AC33"/>
      <c r="AD33"/>
      <c r="AE33"/>
      <c r="AF33"/>
      <c r="AG33"/>
      <c r="AH33"/>
      <c r="AI33"/>
      <c r="AJ33"/>
      <c r="AK33"/>
      <c r="AL33"/>
      <c r="AM33"/>
    </row>
    <row r="34" spans="1:39" ht="14.25" customHeight="1" x14ac:dyDescent="0.25">
      <c r="A34" t="str">
        <f t="shared" si="0"/>
        <v xml:space="preserve">Tender Issued Date </v>
      </c>
      <c r="B34" t="s">
        <v>158</v>
      </c>
      <c r="C34"/>
      <c r="D34"/>
      <c r="E34"/>
      <c r="F34"/>
      <c r="G34"/>
      <c r="H34"/>
      <c r="I34"/>
      <c r="J34"/>
      <c r="K34"/>
      <c r="L34"/>
      <c r="M34"/>
      <c r="N34"/>
      <c r="O34"/>
      <c r="P34"/>
      <c r="Q34"/>
      <c r="R34"/>
      <c r="S34"/>
      <c r="T34"/>
      <c r="U34"/>
      <c r="V34"/>
      <c r="W34"/>
      <c r="X34"/>
      <c r="Y34"/>
      <c r="Z34"/>
      <c r="AA34"/>
      <c r="AB34"/>
      <c r="AC34"/>
      <c r="AD34"/>
      <c r="AE34"/>
      <c r="AF34"/>
      <c r="AG34"/>
      <c r="AH34"/>
      <c r="AI34"/>
      <c r="AJ34"/>
      <c r="AK34"/>
      <c r="AL34"/>
      <c r="AM34"/>
    </row>
    <row r="35" spans="1:39" ht="14.25" customHeight="1" x14ac:dyDescent="0.25">
      <c r="A35" t="str">
        <f t="shared" si="0"/>
        <v>Tender Closed</v>
      </c>
      <c r="B35" t="s">
        <v>245</v>
      </c>
      <c r="C35"/>
      <c r="D35"/>
      <c r="E35"/>
      <c r="F35"/>
      <c r="G35"/>
      <c r="H35"/>
      <c r="I35"/>
      <c r="J35"/>
      <c r="K35"/>
      <c r="L35"/>
      <c r="M35"/>
      <c r="N35"/>
      <c r="O35"/>
      <c r="P35"/>
      <c r="Q35"/>
      <c r="R35"/>
      <c r="S35"/>
      <c r="T35"/>
      <c r="U35"/>
      <c r="V35"/>
      <c r="W35"/>
      <c r="X35"/>
      <c r="Y35"/>
      <c r="Z35"/>
      <c r="AA35"/>
      <c r="AB35"/>
      <c r="AC35"/>
      <c r="AD35"/>
      <c r="AE35"/>
      <c r="AF35"/>
      <c r="AG35"/>
      <c r="AH35"/>
      <c r="AI35"/>
      <c r="AJ35"/>
      <c r="AK35"/>
      <c r="AL35"/>
      <c r="AM35"/>
    </row>
    <row r="36" spans="1:39" ht="14.25" customHeight="1" x14ac:dyDescent="0.25">
      <c r="A36" t="str">
        <f t="shared" si="0"/>
        <v>Site Plan Submission Date</v>
      </c>
      <c r="B36" t="s">
        <v>246</v>
      </c>
      <c r="C36"/>
      <c r="D36"/>
      <c r="E36"/>
      <c r="F36"/>
      <c r="G36"/>
      <c r="H36"/>
      <c r="I36"/>
      <c r="J36"/>
      <c r="K36"/>
      <c r="L36"/>
      <c r="M36"/>
      <c r="N36"/>
      <c r="O36"/>
      <c r="P36"/>
      <c r="Q36"/>
      <c r="R36"/>
      <c r="S36"/>
      <c r="T36"/>
      <c r="U36"/>
      <c r="V36"/>
      <c r="W36"/>
      <c r="X36"/>
      <c r="Y36"/>
      <c r="Z36"/>
      <c r="AA36"/>
      <c r="AB36"/>
      <c r="AC36"/>
      <c r="AD36"/>
      <c r="AE36"/>
      <c r="AF36"/>
      <c r="AG36"/>
      <c r="AH36"/>
      <c r="AI36"/>
      <c r="AJ36"/>
      <c r="AK36"/>
      <c r="AL36"/>
      <c r="AM36"/>
    </row>
    <row r="37" spans="1:39" ht="14.25" customHeight="1" x14ac:dyDescent="0.25">
      <c r="A37" t="str">
        <f t="shared" si="0"/>
        <v>Site Plan Approval Date</v>
      </c>
      <c r="B37" t="s">
        <v>247</v>
      </c>
      <c r="C37"/>
      <c r="D37"/>
      <c r="E37"/>
      <c r="F37"/>
      <c r="G37"/>
      <c r="H37"/>
      <c r="I37"/>
      <c r="J37"/>
      <c r="K37"/>
      <c r="L37"/>
      <c r="M37"/>
      <c r="N37"/>
      <c r="O37"/>
      <c r="P37"/>
      <c r="Q37"/>
      <c r="R37"/>
      <c r="S37"/>
      <c r="T37"/>
      <c r="U37"/>
      <c r="V37"/>
      <c r="W37"/>
      <c r="X37"/>
      <c r="Y37"/>
      <c r="Z37"/>
      <c r="AA37"/>
      <c r="AB37"/>
      <c r="AC37"/>
      <c r="AD37"/>
      <c r="AE37"/>
      <c r="AF37"/>
      <c r="AG37"/>
      <c r="AH37"/>
      <c r="AI37"/>
      <c r="AJ37"/>
      <c r="AK37"/>
      <c r="AL37"/>
      <c r="AM37"/>
    </row>
    <row r="38" spans="1:39" ht="14.25" customHeight="1" x14ac:dyDescent="0.25">
      <c r="A38" t="str">
        <f t="shared" si="0"/>
        <v>Section 5: Phase 3 - Construction</v>
      </c>
      <c r="B38" t="s">
        <v>248</v>
      </c>
      <c r="C38"/>
      <c r="D38"/>
      <c r="E38"/>
      <c r="F38"/>
      <c r="G38"/>
      <c r="H38"/>
      <c r="I38"/>
      <c r="J38"/>
      <c r="K38"/>
      <c r="L38"/>
      <c r="M38"/>
      <c r="N38"/>
      <c r="O38"/>
      <c r="P38"/>
      <c r="Q38"/>
      <c r="R38"/>
      <c r="S38"/>
      <c r="T38"/>
      <c r="U38"/>
      <c r="V38"/>
      <c r="W38"/>
      <c r="X38"/>
      <c r="Y38"/>
      <c r="Z38"/>
      <c r="AA38"/>
      <c r="AB38"/>
      <c r="AC38"/>
      <c r="AD38"/>
      <c r="AE38"/>
      <c r="AF38"/>
      <c r="AG38"/>
      <c r="AH38"/>
      <c r="AI38"/>
      <c r="AJ38"/>
      <c r="AK38"/>
      <c r="AL38"/>
      <c r="AM38"/>
    </row>
    <row r="39" spans="1:39" ht="14.25" customHeight="1" x14ac:dyDescent="0.25">
      <c r="A39" t="str">
        <f t="shared" si="0"/>
        <v>Construction Start - Date</v>
      </c>
      <c r="B39" t="s">
        <v>249</v>
      </c>
      <c r="C39"/>
      <c r="D39"/>
      <c r="E39"/>
      <c r="F39"/>
      <c r="G39"/>
      <c r="H39"/>
      <c r="I39"/>
      <c r="J39"/>
      <c r="K39"/>
      <c r="L39"/>
      <c r="M39"/>
      <c r="N39"/>
      <c r="O39"/>
      <c r="P39"/>
      <c r="Q39"/>
      <c r="R39"/>
      <c r="S39"/>
      <c r="T39"/>
      <c r="U39"/>
      <c r="V39"/>
      <c r="W39"/>
      <c r="X39"/>
      <c r="Y39"/>
      <c r="Z39"/>
      <c r="AA39"/>
      <c r="AB39"/>
      <c r="AC39"/>
      <c r="AD39"/>
      <c r="AE39"/>
      <c r="AF39"/>
      <c r="AG39"/>
      <c r="AH39"/>
      <c r="AI39"/>
      <c r="AJ39"/>
      <c r="AK39"/>
      <c r="AL39"/>
      <c r="AM39"/>
    </row>
    <row r="40" spans="1:39" ht="14.25" customHeight="1" x14ac:dyDescent="0.25">
      <c r="A40" t="str">
        <f t="shared" si="0"/>
        <v>% Construction Progress</v>
      </c>
      <c r="B40" t="s">
        <v>169</v>
      </c>
      <c r="C40"/>
      <c r="D40"/>
      <c r="E40"/>
      <c r="F40"/>
      <c r="G40"/>
      <c r="H40"/>
      <c r="I40"/>
      <c r="J40"/>
      <c r="K40"/>
      <c r="L40"/>
      <c r="M40"/>
      <c r="N40"/>
      <c r="O40"/>
      <c r="P40"/>
      <c r="Q40"/>
      <c r="R40"/>
      <c r="S40"/>
      <c r="T40"/>
      <c r="U40"/>
      <c r="V40"/>
      <c r="W40"/>
      <c r="X40"/>
      <c r="Y40"/>
      <c r="Z40"/>
      <c r="AA40"/>
      <c r="AB40"/>
      <c r="AC40"/>
      <c r="AD40"/>
      <c r="AE40"/>
      <c r="AF40"/>
      <c r="AG40"/>
      <c r="AH40"/>
      <c r="AI40"/>
      <c r="AJ40"/>
      <c r="AK40"/>
      <c r="AL40"/>
      <c r="AM40"/>
    </row>
    <row r="41" spans="1:39" ht="14.25" customHeight="1" x14ac:dyDescent="0.25">
      <c r="A41" t="str">
        <f t="shared" si="0"/>
        <v>Substantial Completion</v>
      </c>
      <c r="B41" t="s">
        <v>250</v>
      </c>
      <c r="C41"/>
      <c r="D41"/>
      <c r="E41"/>
      <c r="F41"/>
      <c r="G41"/>
      <c r="H41"/>
      <c r="I41"/>
      <c r="J41"/>
      <c r="K41"/>
      <c r="L41"/>
      <c r="M41"/>
      <c r="N41"/>
      <c r="O41"/>
      <c r="P41"/>
      <c r="Q41"/>
      <c r="R41"/>
      <c r="S41"/>
      <c r="T41"/>
      <c r="U41"/>
      <c r="V41"/>
      <c r="W41"/>
      <c r="X41"/>
      <c r="Y41"/>
      <c r="Z41"/>
      <c r="AA41"/>
      <c r="AB41"/>
      <c r="AC41"/>
      <c r="AD41"/>
      <c r="AE41"/>
      <c r="AF41"/>
      <c r="AG41"/>
      <c r="AH41"/>
      <c r="AI41"/>
      <c r="AJ41"/>
      <c r="AK41"/>
      <c r="AL41"/>
      <c r="AM41"/>
    </row>
    <row r="42" spans="1:39" ht="14.25" customHeight="1" x14ac:dyDescent="0.25">
      <c r="A42" t="str">
        <f t="shared" si="0"/>
        <v>Section 6: Phase 4 - Project Completion</v>
      </c>
      <c r="B42" t="s">
        <v>173</v>
      </c>
      <c r="C42"/>
      <c r="D42"/>
      <c r="E42"/>
      <c r="F42"/>
      <c r="G42"/>
      <c r="H42"/>
      <c r="I42"/>
      <c r="J42"/>
      <c r="K42"/>
      <c r="L42"/>
      <c r="M42"/>
      <c r="N42"/>
      <c r="O42"/>
      <c r="P42"/>
      <c r="Q42"/>
      <c r="R42"/>
      <c r="S42"/>
      <c r="T42"/>
      <c r="U42"/>
      <c r="V42"/>
      <c r="W42"/>
      <c r="X42"/>
      <c r="Y42"/>
      <c r="Z42"/>
      <c r="AA42"/>
      <c r="AB42"/>
      <c r="AC42"/>
      <c r="AD42"/>
      <c r="AE42"/>
      <c r="AF42"/>
      <c r="AG42"/>
      <c r="AH42"/>
      <c r="AI42"/>
      <c r="AJ42"/>
      <c r="AK42"/>
      <c r="AL42"/>
      <c r="AM42"/>
    </row>
    <row r="43" spans="1:39" ht="14.25" customHeight="1" x14ac:dyDescent="0.25">
      <c r="A43" t="str">
        <f t="shared" si="0"/>
        <v xml:space="preserve">School Opening Date </v>
      </c>
      <c r="B43" t="s">
        <v>174</v>
      </c>
      <c r="C43"/>
      <c r="D43"/>
      <c r="E43"/>
      <c r="F43"/>
      <c r="G43"/>
      <c r="H43"/>
      <c r="I43"/>
      <c r="J43"/>
      <c r="K43"/>
      <c r="L43"/>
      <c r="M43"/>
      <c r="N43"/>
      <c r="O43"/>
      <c r="P43"/>
      <c r="Q43"/>
      <c r="R43"/>
      <c r="S43"/>
      <c r="T43"/>
      <c r="U43"/>
      <c r="V43"/>
      <c r="W43"/>
      <c r="X43"/>
      <c r="Y43"/>
      <c r="Z43"/>
      <c r="AA43"/>
      <c r="AB43"/>
      <c r="AC43"/>
      <c r="AD43"/>
      <c r="AE43"/>
      <c r="AF43"/>
      <c r="AG43"/>
      <c r="AH43"/>
      <c r="AI43"/>
      <c r="AJ43"/>
      <c r="AK43"/>
      <c r="AL43"/>
      <c r="AM43"/>
    </row>
    <row r="44" spans="1:39" ht="14.25" customHeight="1" x14ac:dyDescent="0.25">
      <c r="A44" t="str">
        <f t="shared" si="0"/>
        <v>Child Care Opening Date</v>
      </c>
      <c r="B44" t="s">
        <v>251</v>
      </c>
      <c r="C44"/>
      <c r="D44"/>
      <c r="E44"/>
      <c r="F44"/>
      <c r="G44"/>
      <c r="H44"/>
      <c r="I44"/>
      <c r="J44"/>
      <c r="K44"/>
      <c r="L44"/>
      <c r="M44"/>
      <c r="N44"/>
      <c r="O44"/>
      <c r="P44"/>
      <c r="Q44"/>
      <c r="R44"/>
      <c r="S44"/>
      <c r="T44"/>
      <c r="U44"/>
      <c r="V44"/>
      <c r="W44"/>
      <c r="X44"/>
      <c r="Y44"/>
      <c r="Z44"/>
      <c r="AA44"/>
      <c r="AB44"/>
      <c r="AC44"/>
      <c r="AD44"/>
      <c r="AE44"/>
      <c r="AF44"/>
      <c r="AG44"/>
      <c r="AH44"/>
      <c r="AI44"/>
      <c r="AJ44"/>
      <c r="AK44"/>
      <c r="AL44"/>
      <c r="AM44"/>
    </row>
    <row r="45" spans="1:39" ht="14.25" customHeight="1" x14ac:dyDescent="0.25">
      <c r="A45" t="str">
        <f t="shared" si="0"/>
        <v>Project Reconciliation</v>
      </c>
      <c r="B45" t="s">
        <v>57</v>
      </c>
      <c r="C45"/>
      <c r="D45"/>
      <c r="E45"/>
      <c r="F45"/>
      <c r="G45"/>
      <c r="H45"/>
      <c r="I45"/>
      <c r="J45"/>
      <c r="K45"/>
      <c r="L45"/>
      <c r="M45"/>
      <c r="N45"/>
      <c r="O45"/>
      <c r="P45"/>
      <c r="Q45"/>
      <c r="R45"/>
      <c r="S45"/>
      <c r="T45"/>
      <c r="U45"/>
      <c r="V45"/>
      <c r="W45"/>
      <c r="X45"/>
      <c r="Y45"/>
      <c r="Z45"/>
      <c r="AA45"/>
      <c r="AB45"/>
      <c r="AC45"/>
      <c r="AD45"/>
      <c r="AE45"/>
      <c r="AF45"/>
      <c r="AG45"/>
      <c r="AH45"/>
      <c r="AI45"/>
      <c r="AJ45"/>
      <c r="AK45"/>
      <c r="AL45"/>
      <c r="AM45"/>
    </row>
    <row r="46" spans="1:39" ht="14.25" customHeight="1" x14ac:dyDescent="0.25">
      <c r="A46" t="str">
        <f t="shared" si="0"/>
        <v xml:space="preserve">Section 7: Approved Project Funding </v>
      </c>
      <c r="B46" t="s">
        <v>180</v>
      </c>
      <c r="C46" t="s">
        <v>252</v>
      </c>
      <c r="D46"/>
      <c r="E46"/>
      <c r="F46"/>
      <c r="G46"/>
      <c r="H46"/>
      <c r="I46"/>
      <c r="J46"/>
      <c r="K46"/>
      <c r="L46"/>
      <c r="M46"/>
      <c r="N46"/>
      <c r="O46"/>
      <c r="P46"/>
      <c r="Q46"/>
      <c r="R46"/>
      <c r="S46"/>
      <c r="T46"/>
      <c r="U46"/>
      <c r="V46"/>
      <c r="W46"/>
      <c r="X46"/>
      <c r="Y46"/>
      <c r="Z46"/>
      <c r="AA46"/>
      <c r="AB46"/>
      <c r="AC46"/>
      <c r="AD46"/>
      <c r="AE46"/>
      <c r="AF46"/>
      <c r="AG46"/>
      <c r="AH46"/>
      <c r="AI46"/>
      <c r="AJ46"/>
      <c r="AK46"/>
      <c r="AL46"/>
      <c r="AM46"/>
    </row>
    <row r="47" spans="1:39" ht="14.25" customHeight="1" x14ac:dyDescent="0.25">
      <c r="A47" t="str">
        <f t="shared" si="0"/>
        <v>LP/EDC</v>
      </c>
      <c r="B47" t="s">
        <v>253</v>
      </c>
      <c r="C47"/>
      <c r="D47"/>
      <c r="E47"/>
      <c r="F47"/>
      <c r="G47"/>
      <c r="H47"/>
      <c r="I47"/>
      <c r="J47"/>
      <c r="K47"/>
      <c r="L47"/>
      <c r="M47"/>
      <c r="N47"/>
      <c r="O47"/>
      <c r="P47"/>
      <c r="Q47"/>
      <c r="R47"/>
      <c r="S47"/>
      <c r="T47"/>
      <c r="U47"/>
      <c r="V47"/>
      <c r="W47"/>
      <c r="X47"/>
      <c r="Y47"/>
      <c r="Z47"/>
      <c r="AA47"/>
      <c r="AB47"/>
      <c r="AC47"/>
      <c r="AD47"/>
      <c r="AE47"/>
      <c r="AF47"/>
      <c r="AG47"/>
      <c r="AH47"/>
      <c r="AI47"/>
      <c r="AJ47"/>
      <c r="AK47"/>
      <c r="AL47"/>
      <c r="AM47"/>
    </row>
    <row r="48" spans="1:39" ht="14.25" customHeight="1" x14ac:dyDescent="0.25">
      <c r="A48" t="str">
        <f t="shared" si="0"/>
        <v>CP</v>
      </c>
      <c r="B48" t="s">
        <v>254</v>
      </c>
      <c r="C48"/>
      <c r="D48"/>
      <c r="E48"/>
      <c r="F48"/>
      <c r="G48"/>
      <c r="H48"/>
      <c r="I48"/>
      <c r="J48"/>
      <c r="K48"/>
      <c r="L48"/>
      <c r="M48"/>
      <c r="N48"/>
      <c r="O48"/>
      <c r="P48"/>
      <c r="Q48"/>
      <c r="R48"/>
      <c r="S48"/>
      <c r="T48"/>
      <c r="U48"/>
      <c r="V48"/>
      <c r="W48"/>
      <c r="X48"/>
      <c r="Y48"/>
      <c r="Z48"/>
      <c r="AA48"/>
      <c r="AB48"/>
      <c r="AC48"/>
      <c r="AD48"/>
      <c r="AE48"/>
      <c r="AF48"/>
      <c r="AG48"/>
      <c r="AH48"/>
      <c r="AI48"/>
      <c r="AJ48"/>
      <c r="AK48"/>
      <c r="AL48"/>
      <c r="AM48"/>
    </row>
    <row r="49" spans="1:39" ht="14.25" customHeight="1" x14ac:dyDescent="0.25">
      <c r="A49" t="str">
        <f t="shared" si="0"/>
        <v>CC</v>
      </c>
      <c r="B49" t="s">
        <v>255</v>
      </c>
      <c r="C49"/>
      <c r="D49"/>
      <c r="E49"/>
      <c r="F49"/>
      <c r="G49"/>
      <c r="H49"/>
      <c r="I49"/>
      <c r="J49"/>
      <c r="K49"/>
      <c r="L49"/>
      <c r="M49"/>
      <c r="N49"/>
      <c r="O49"/>
      <c r="P49"/>
      <c r="Q49"/>
      <c r="R49"/>
      <c r="S49"/>
      <c r="T49"/>
      <c r="U49"/>
      <c r="V49"/>
      <c r="W49"/>
      <c r="X49"/>
      <c r="Y49"/>
      <c r="Z49"/>
      <c r="AA49"/>
      <c r="AB49"/>
      <c r="AC49"/>
      <c r="AD49"/>
      <c r="AE49"/>
      <c r="AF49"/>
      <c r="AG49"/>
      <c r="AH49"/>
      <c r="AI49"/>
      <c r="AJ49"/>
      <c r="AK49"/>
      <c r="AL49"/>
      <c r="AM49"/>
    </row>
    <row r="50" spans="1:39" ht="14.25" customHeight="1" x14ac:dyDescent="0.25">
      <c r="A50" t="str">
        <f t="shared" si="0"/>
        <v xml:space="preserve">Other </v>
      </c>
      <c r="B50" t="s">
        <v>256</v>
      </c>
      <c r="C50"/>
      <c r="D50"/>
      <c r="E50"/>
      <c r="F50"/>
      <c r="G50"/>
      <c r="H50"/>
      <c r="I50"/>
      <c r="J50"/>
      <c r="K50"/>
      <c r="L50"/>
      <c r="M50"/>
      <c r="N50"/>
      <c r="O50"/>
      <c r="P50"/>
      <c r="Q50"/>
      <c r="R50"/>
      <c r="S50"/>
      <c r="T50"/>
      <c r="U50"/>
      <c r="V50"/>
      <c r="W50"/>
      <c r="X50"/>
      <c r="Y50"/>
      <c r="Z50"/>
      <c r="AA50"/>
      <c r="AB50"/>
      <c r="AC50"/>
      <c r="AD50"/>
      <c r="AE50"/>
      <c r="AF50"/>
      <c r="AG50"/>
      <c r="AH50"/>
      <c r="AI50"/>
      <c r="AJ50"/>
      <c r="AK50"/>
      <c r="AL50"/>
      <c r="AM50"/>
    </row>
    <row r="51" spans="1:39" ht="14.25" customHeight="1" x14ac:dyDescent="0.25">
      <c r="A51" t="str">
        <f t="shared" si="0"/>
        <v xml:space="preserve">Total Approved Funding </v>
      </c>
      <c r="B51" t="s">
        <v>257</v>
      </c>
      <c r="C51"/>
      <c r="D51"/>
      <c r="E51"/>
      <c r="F51"/>
      <c r="G51"/>
      <c r="H51"/>
      <c r="I51"/>
      <c r="J51"/>
      <c r="K51"/>
      <c r="L51"/>
      <c r="M51"/>
      <c r="N51"/>
      <c r="O51"/>
      <c r="P51"/>
      <c r="Q51"/>
      <c r="R51"/>
      <c r="S51"/>
      <c r="T51"/>
      <c r="U51"/>
      <c r="V51"/>
      <c r="W51"/>
      <c r="X51"/>
      <c r="Y51"/>
      <c r="Z51"/>
      <c r="AA51"/>
      <c r="AB51"/>
      <c r="AC51"/>
      <c r="AD51"/>
      <c r="AE51"/>
      <c r="AF51"/>
      <c r="AG51"/>
      <c r="AH51"/>
      <c r="AI51"/>
      <c r="AJ51"/>
      <c r="AK51"/>
      <c r="AL51"/>
      <c r="AM51"/>
    </row>
    <row r="52" spans="1:39" ht="14.25" customHeight="1" x14ac:dyDescent="0.25">
      <c r="A52" t="str">
        <f t="shared" si="0"/>
        <v xml:space="preserve">Section 8: Projected Construction Cost </v>
      </c>
      <c r="B52" t="s">
        <v>182</v>
      </c>
      <c r="C52" t="s">
        <v>258</v>
      </c>
      <c r="D52"/>
      <c r="E52"/>
      <c r="F52"/>
      <c r="G52"/>
      <c r="H52"/>
      <c r="I52"/>
      <c r="J52"/>
      <c r="K52"/>
      <c r="L52"/>
      <c r="M52"/>
      <c r="N52"/>
      <c r="O52"/>
      <c r="P52"/>
      <c r="Q52"/>
      <c r="R52"/>
      <c r="S52"/>
      <c r="T52"/>
      <c r="U52"/>
      <c r="V52"/>
      <c r="W52"/>
      <c r="X52"/>
      <c r="Y52"/>
      <c r="Z52"/>
      <c r="AA52"/>
      <c r="AB52"/>
      <c r="AC52"/>
      <c r="AD52"/>
      <c r="AE52"/>
      <c r="AF52"/>
      <c r="AG52"/>
      <c r="AH52"/>
      <c r="AI52"/>
      <c r="AJ52"/>
      <c r="AK52"/>
      <c r="AL52"/>
      <c r="AM52"/>
    </row>
    <row r="53" spans="1:39" ht="14.25" customHeight="1" x14ac:dyDescent="0.25">
      <c r="A53" t="str">
        <f t="shared" si="0"/>
        <v xml:space="preserve">Basis of Cost Estimate </v>
      </c>
      <c r="B53" t="s">
        <v>183</v>
      </c>
      <c r="C53"/>
      <c r="D53"/>
      <c r="E53"/>
      <c r="F53"/>
      <c r="G53"/>
      <c r="H53"/>
      <c r="I53"/>
      <c r="J53"/>
      <c r="K53"/>
      <c r="L53"/>
      <c r="M53"/>
      <c r="N53"/>
      <c r="O53"/>
      <c r="P53"/>
      <c r="Q53"/>
      <c r="R53"/>
      <c r="S53"/>
      <c r="T53"/>
      <c r="U53"/>
      <c r="V53"/>
      <c r="W53"/>
      <c r="X53"/>
      <c r="Y53"/>
      <c r="Z53"/>
      <c r="AA53"/>
      <c r="AB53"/>
      <c r="AC53"/>
      <c r="AD53"/>
      <c r="AE53"/>
      <c r="AF53"/>
      <c r="AG53"/>
      <c r="AH53"/>
      <c r="AI53"/>
      <c r="AJ53"/>
      <c r="AK53"/>
      <c r="AL53"/>
      <c r="AM53"/>
    </row>
    <row r="54" spans="1:39" ht="14.25" customHeight="1" x14ac:dyDescent="0.25">
      <c r="A54" t="str">
        <f t="shared" si="0"/>
        <v>Land Cost</v>
      </c>
      <c r="B54" t="s">
        <v>259</v>
      </c>
      <c r="C54"/>
      <c r="D54"/>
      <c r="E54"/>
      <c r="F54"/>
      <c r="G54"/>
      <c r="H54"/>
      <c r="I54"/>
      <c r="J54"/>
      <c r="K54"/>
      <c r="L54"/>
      <c r="M54"/>
      <c r="N54"/>
      <c r="O54"/>
      <c r="P54"/>
      <c r="Q54"/>
      <c r="R54"/>
      <c r="S54"/>
      <c r="T54"/>
      <c r="U54"/>
      <c r="V54"/>
      <c r="W54"/>
      <c r="X54"/>
      <c r="Y54"/>
      <c r="Z54"/>
      <c r="AA54"/>
      <c r="AB54"/>
      <c r="AC54"/>
      <c r="AD54"/>
      <c r="AE54"/>
      <c r="AF54"/>
      <c r="AG54"/>
      <c r="AH54"/>
      <c r="AI54"/>
      <c r="AJ54"/>
      <c r="AK54"/>
      <c r="AL54"/>
      <c r="AM54"/>
    </row>
    <row r="55" spans="1:39" ht="14.25" customHeight="1" x14ac:dyDescent="0.25">
      <c r="A55" t="str">
        <f t="shared" si="0"/>
        <v>Building Cost - School</v>
      </c>
      <c r="B55" t="s">
        <v>260</v>
      </c>
      <c r="C55"/>
      <c r="D55"/>
      <c r="E55"/>
      <c r="F55"/>
      <c r="G55"/>
      <c r="H55"/>
      <c r="I55"/>
      <c r="J55"/>
      <c r="K55"/>
      <c r="L55"/>
      <c r="M55"/>
      <c r="N55"/>
      <c r="O55"/>
      <c r="P55"/>
      <c r="Q55"/>
      <c r="R55"/>
      <c r="S55"/>
      <c r="T55"/>
      <c r="U55"/>
      <c r="V55"/>
      <c r="W55"/>
      <c r="X55"/>
      <c r="Y55"/>
      <c r="Z55"/>
      <c r="AA55"/>
      <c r="AB55"/>
      <c r="AC55"/>
      <c r="AD55"/>
      <c r="AE55"/>
      <c r="AF55"/>
      <c r="AG55"/>
      <c r="AH55"/>
      <c r="AI55"/>
      <c r="AJ55"/>
      <c r="AK55"/>
      <c r="AL55"/>
      <c r="AM55"/>
    </row>
    <row r="56" spans="1:39" ht="14.25" customHeight="1" x14ac:dyDescent="0.25">
      <c r="A56" t="str">
        <f t="shared" si="0"/>
        <v>Soft Costs - School</v>
      </c>
      <c r="B56" t="s">
        <v>261</v>
      </c>
      <c r="C56"/>
      <c r="D56"/>
      <c r="E56"/>
      <c r="F56"/>
      <c r="G56"/>
      <c r="H56"/>
      <c r="I56"/>
      <c r="J56"/>
      <c r="K56"/>
      <c r="L56"/>
      <c r="M56"/>
      <c r="N56"/>
      <c r="O56"/>
      <c r="P56"/>
      <c r="Q56"/>
      <c r="R56"/>
      <c r="S56"/>
      <c r="T56"/>
      <c r="U56"/>
      <c r="V56"/>
      <c r="W56"/>
      <c r="X56"/>
      <c r="Y56"/>
      <c r="Z56"/>
      <c r="AA56"/>
      <c r="AB56"/>
      <c r="AC56"/>
      <c r="AD56"/>
      <c r="AE56"/>
      <c r="AF56"/>
      <c r="AG56"/>
      <c r="AH56"/>
      <c r="AI56"/>
      <c r="AJ56"/>
      <c r="AK56"/>
      <c r="AL56"/>
      <c r="AM56"/>
    </row>
    <row r="57" spans="1:39" ht="14.25" customHeight="1" x14ac:dyDescent="0.25">
      <c r="A57" t="str">
        <f t="shared" si="0"/>
        <v xml:space="preserve">Building Cost - Child Care </v>
      </c>
      <c r="B57" t="s">
        <v>262</v>
      </c>
      <c r="C57"/>
      <c r="D57"/>
      <c r="E57"/>
      <c r="F57"/>
      <c r="G57"/>
      <c r="H57"/>
      <c r="I57"/>
      <c r="J57"/>
      <c r="K57"/>
      <c r="L57"/>
      <c r="M57"/>
      <c r="N57"/>
      <c r="O57"/>
      <c r="P57"/>
      <c r="Q57"/>
      <c r="R57"/>
      <c r="S57"/>
      <c r="T57"/>
      <c r="U57"/>
      <c r="V57"/>
      <c r="W57"/>
      <c r="X57"/>
      <c r="Y57"/>
      <c r="Z57"/>
      <c r="AA57"/>
      <c r="AB57"/>
      <c r="AC57"/>
      <c r="AD57"/>
      <c r="AE57"/>
      <c r="AF57"/>
      <c r="AG57"/>
      <c r="AH57"/>
      <c r="AI57"/>
      <c r="AJ57"/>
      <c r="AK57"/>
      <c r="AL57"/>
      <c r="AM57"/>
    </row>
    <row r="58" spans="1:39" ht="14.25" customHeight="1" x14ac:dyDescent="0.25">
      <c r="A58" t="str">
        <f t="shared" si="0"/>
        <v xml:space="preserve">Soft Costs -Child Care </v>
      </c>
      <c r="B58" t="s">
        <v>263</v>
      </c>
      <c r="C58"/>
      <c r="D58"/>
      <c r="E58"/>
      <c r="F58"/>
      <c r="G58"/>
      <c r="H58"/>
      <c r="I58"/>
      <c r="J58"/>
      <c r="K58"/>
      <c r="L58"/>
      <c r="M58"/>
      <c r="N58"/>
      <c r="O58"/>
      <c r="P58"/>
      <c r="Q58"/>
      <c r="R58"/>
      <c r="S58"/>
      <c r="T58"/>
      <c r="U58"/>
      <c r="V58"/>
      <c r="W58"/>
      <c r="X58"/>
      <c r="Y58"/>
      <c r="Z58"/>
      <c r="AA58"/>
      <c r="AB58"/>
      <c r="AC58"/>
      <c r="AD58"/>
      <c r="AE58"/>
      <c r="AF58"/>
      <c r="AG58"/>
      <c r="AH58"/>
      <c r="AI58"/>
      <c r="AJ58"/>
      <c r="AK58"/>
      <c r="AL58"/>
      <c r="AM58"/>
    </row>
    <row r="59" spans="1:39" ht="14.25" customHeight="1" x14ac:dyDescent="0.25">
      <c r="A59" t="str">
        <f t="shared" si="0"/>
        <v>Unique Site Costs - School</v>
      </c>
      <c r="B59" t="s">
        <v>264</v>
      </c>
      <c r="C59"/>
      <c r="D59"/>
      <c r="E59"/>
      <c r="F59"/>
      <c r="G59"/>
      <c r="H59"/>
      <c r="I59"/>
      <c r="J59"/>
      <c r="K59"/>
      <c r="L59"/>
      <c r="M59"/>
      <c r="N59"/>
      <c r="O59"/>
      <c r="P59"/>
      <c r="Q59"/>
      <c r="R59"/>
      <c r="S59"/>
      <c r="T59"/>
      <c r="U59"/>
      <c r="V59"/>
      <c r="W59"/>
      <c r="X59"/>
      <c r="Y59"/>
      <c r="Z59"/>
      <c r="AA59"/>
      <c r="AB59"/>
      <c r="AC59"/>
      <c r="AD59"/>
      <c r="AE59"/>
      <c r="AF59"/>
      <c r="AG59"/>
      <c r="AH59"/>
      <c r="AI59"/>
      <c r="AJ59"/>
      <c r="AK59"/>
      <c r="AL59"/>
      <c r="AM59"/>
    </row>
    <row r="60" spans="1:39" ht="14.25" customHeight="1" x14ac:dyDescent="0.25">
      <c r="A60" t="str">
        <f t="shared" si="0"/>
        <v xml:space="preserve">Unique Site Costs - Child Care </v>
      </c>
      <c r="B60" t="s">
        <v>265</v>
      </c>
      <c r="C60"/>
      <c r="D60"/>
      <c r="E60"/>
      <c r="F60"/>
      <c r="G60"/>
      <c r="H60"/>
      <c r="I60"/>
      <c r="J60"/>
      <c r="K60"/>
      <c r="L60"/>
      <c r="M60"/>
      <c r="N60"/>
      <c r="O60"/>
      <c r="P60"/>
      <c r="Q60"/>
      <c r="R60"/>
      <c r="S60"/>
      <c r="T60"/>
      <c r="U60"/>
      <c r="V60"/>
      <c r="W60"/>
      <c r="X60"/>
      <c r="Y60"/>
      <c r="Z60"/>
      <c r="AA60"/>
      <c r="AB60"/>
      <c r="AC60"/>
      <c r="AD60"/>
      <c r="AE60"/>
      <c r="AF60"/>
      <c r="AG60"/>
      <c r="AH60"/>
      <c r="AI60"/>
      <c r="AJ60"/>
      <c r="AK60"/>
      <c r="AL60"/>
      <c r="AM60"/>
    </row>
    <row r="61" spans="1:39" ht="14.25" customHeight="1" x14ac:dyDescent="0.25">
      <c r="A61" t="str">
        <f t="shared" si="0"/>
        <v xml:space="preserve">Unique Site Costs - Other </v>
      </c>
      <c r="B61" t="s">
        <v>266</v>
      </c>
      <c r="C61"/>
      <c r="D61"/>
      <c r="E61"/>
      <c r="F61"/>
      <c r="G61"/>
      <c r="H61"/>
      <c r="I61"/>
      <c r="J61"/>
      <c r="K61"/>
      <c r="L61"/>
      <c r="M61"/>
      <c r="N61"/>
      <c r="O61"/>
      <c r="P61"/>
      <c r="Q61"/>
      <c r="R61"/>
      <c r="S61"/>
      <c r="T61"/>
      <c r="U61"/>
      <c r="V61"/>
      <c r="W61"/>
      <c r="X61"/>
      <c r="Y61"/>
      <c r="Z61"/>
      <c r="AA61"/>
      <c r="AB61"/>
      <c r="AC61"/>
      <c r="AD61"/>
      <c r="AE61"/>
      <c r="AF61"/>
      <c r="AG61"/>
      <c r="AH61"/>
      <c r="AI61"/>
      <c r="AJ61"/>
      <c r="AK61"/>
      <c r="AL61"/>
      <c r="AM61"/>
    </row>
    <row r="62" spans="1:39" ht="14.25" customHeight="1" x14ac:dyDescent="0.25">
      <c r="A62" t="str">
        <f t="shared" si="0"/>
        <v>Municipal/Extraordinary Cost - School</v>
      </c>
      <c r="B62" t="s">
        <v>267</v>
      </c>
      <c r="C62"/>
      <c r="D62"/>
      <c r="E62"/>
      <c r="F62"/>
      <c r="G62"/>
      <c r="H62"/>
      <c r="I62"/>
      <c r="J62"/>
      <c r="K62"/>
      <c r="L62"/>
      <c r="M62"/>
      <c r="N62"/>
      <c r="O62"/>
      <c r="P62"/>
      <c r="Q62"/>
      <c r="R62"/>
      <c r="S62"/>
      <c r="T62"/>
      <c r="U62"/>
      <c r="V62"/>
      <c r="W62"/>
      <c r="X62"/>
      <c r="Y62"/>
      <c r="Z62"/>
      <c r="AA62"/>
      <c r="AB62"/>
      <c r="AC62"/>
      <c r="AD62"/>
      <c r="AE62"/>
      <c r="AF62"/>
      <c r="AG62"/>
      <c r="AH62"/>
      <c r="AI62"/>
      <c r="AJ62"/>
      <c r="AK62"/>
      <c r="AL62"/>
      <c r="AM62"/>
    </row>
    <row r="63" spans="1:39" ht="14.25" customHeight="1" x14ac:dyDescent="0.25">
      <c r="A63" t="str">
        <f t="shared" si="0"/>
        <v>Municipal/Extraordinary Cost - Child Care</v>
      </c>
      <c r="B63" t="s">
        <v>268</v>
      </c>
      <c r="C63"/>
      <c r="D63"/>
      <c r="E63"/>
      <c r="F63"/>
      <c r="G63"/>
      <c r="H63"/>
      <c r="I63"/>
      <c r="J63"/>
      <c r="K63"/>
      <c r="L63"/>
      <c r="M63"/>
      <c r="N63"/>
      <c r="O63"/>
      <c r="P63"/>
      <c r="Q63"/>
      <c r="R63"/>
      <c r="S63"/>
      <c r="T63"/>
      <c r="U63"/>
      <c r="V63"/>
      <c r="W63"/>
      <c r="X63"/>
      <c r="Y63"/>
      <c r="Z63"/>
      <c r="AA63"/>
      <c r="AB63"/>
      <c r="AC63"/>
      <c r="AD63"/>
      <c r="AE63"/>
      <c r="AF63"/>
      <c r="AG63"/>
      <c r="AH63"/>
      <c r="AI63"/>
      <c r="AJ63"/>
      <c r="AK63"/>
      <c r="AL63"/>
      <c r="AM63"/>
    </row>
    <row r="64" spans="1:39" ht="14.25" customHeight="1" x14ac:dyDescent="0.25">
      <c r="A64" t="str">
        <f t="shared" si="0"/>
        <v>Municipal/Extraordinary Cost - Other</v>
      </c>
      <c r="B64" t="s">
        <v>269</v>
      </c>
      <c r="C64"/>
      <c r="D64"/>
      <c r="E64"/>
      <c r="F64"/>
      <c r="G64"/>
      <c r="H64"/>
      <c r="I64"/>
      <c r="J64"/>
      <c r="K64"/>
      <c r="L64"/>
      <c r="M64"/>
      <c r="N64"/>
      <c r="O64"/>
      <c r="P64"/>
      <c r="Q64"/>
      <c r="R64"/>
      <c r="S64"/>
      <c r="T64"/>
      <c r="U64"/>
      <c r="V64"/>
      <c r="W64"/>
      <c r="X64"/>
      <c r="Y64"/>
      <c r="Z64"/>
      <c r="AA64"/>
      <c r="AB64"/>
      <c r="AC64"/>
      <c r="AD64"/>
      <c r="AE64"/>
      <c r="AF64"/>
      <c r="AG64"/>
      <c r="AH64"/>
      <c r="AI64"/>
      <c r="AJ64"/>
      <c r="AK64"/>
      <c r="AL64"/>
      <c r="AM64"/>
    </row>
    <row r="65" spans="1:39" ht="14.25" customHeight="1" x14ac:dyDescent="0.25">
      <c r="A65" t="str">
        <f t="shared" si="0"/>
        <v xml:space="preserve">Total </v>
      </c>
      <c r="B65" t="s">
        <v>270</v>
      </c>
      <c r="C65"/>
      <c r="D65"/>
      <c r="E65"/>
      <c r="F65"/>
      <c r="G65"/>
      <c r="H65"/>
      <c r="I65"/>
      <c r="J65"/>
      <c r="K65"/>
      <c r="L65"/>
      <c r="M65"/>
      <c r="N65"/>
      <c r="O65"/>
      <c r="P65"/>
      <c r="Q65"/>
      <c r="R65"/>
      <c r="S65"/>
      <c r="T65"/>
      <c r="U65"/>
      <c r="V65"/>
      <c r="W65"/>
      <c r="X65"/>
      <c r="Y65"/>
      <c r="Z65"/>
      <c r="AA65"/>
      <c r="AB65"/>
      <c r="AC65"/>
      <c r="AD65"/>
      <c r="AE65"/>
      <c r="AF65"/>
      <c r="AG65"/>
      <c r="AH65"/>
      <c r="AI65"/>
      <c r="AJ65"/>
      <c r="AK65"/>
      <c r="AL65"/>
      <c r="AM65"/>
    </row>
    <row r="66" spans="1:39" ht="14.25" customHeight="1" x14ac:dyDescent="0.25">
      <c r="A66" t="str">
        <f t="shared" si="0"/>
        <v>Variance</v>
      </c>
      <c r="B66" t="s">
        <v>271</v>
      </c>
      <c r="C66"/>
      <c r="D66"/>
      <c r="E66"/>
      <c r="F66"/>
      <c r="G66"/>
      <c r="H66"/>
      <c r="I66"/>
      <c r="J66"/>
      <c r="K66"/>
      <c r="L66"/>
      <c r="M66"/>
      <c r="N66"/>
      <c r="O66"/>
      <c r="P66"/>
      <c r="Q66"/>
      <c r="R66"/>
      <c r="S66"/>
      <c r="T66"/>
      <c r="U66"/>
      <c r="V66"/>
      <c r="W66"/>
      <c r="X66"/>
      <c r="Y66"/>
      <c r="Z66"/>
      <c r="AA66"/>
      <c r="AB66"/>
      <c r="AC66"/>
      <c r="AD66"/>
      <c r="AE66"/>
      <c r="AF66"/>
      <c r="AG66"/>
      <c r="AH66"/>
      <c r="AI66"/>
      <c r="AJ66"/>
      <c r="AK66"/>
      <c r="AL66"/>
      <c r="AM66"/>
    </row>
    <row r="67" spans="1:39" ht="14.25" customHeight="1" x14ac:dyDescent="0.25">
      <c r="A67" t="str">
        <f t="shared" si="0"/>
        <v>Revised Funding Request</v>
      </c>
      <c r="B67" t="s">
        <v>272</v>
      </c>
      <c r="C67"/>
      <c r="D67"/>
      <c r="E67"/>
      <c r="F67"/>
      <c r="G67"/>
      <c r="H67"/>
      <c r="I67"/>
      <c r="J67"/>
      <c r="K67"/>
      <c r="L67"/>
      <c r="M67"/>
      <c r="N67"/>
      <c r="O67"/>
      <c r="P67"/>
      <c r="Q67"/>
      <c r="R67"/>
      <c r="S67"/>
      <c r="T67"/>
      <c r="U67"/>
      <c r="V67"/>
      <c r="W67"/>
      <c r="X67"/>
      <c r="Y67"/>
      <c r="Z67"/>
      <c r="AA67"/>
      <c r="AB67"/>
      <c r="AC67"/>
      <c r="AD67"/>
      <c r="AE67"/>
      <c r="AF67"/>
      <c r="AG67"/>
      <c r="AH67"/>
      <c r="AI67"/>
      <c r="AJ67"/>
      <c r="AK67"/>
      <c r="AL67"/>
      <c r="AM67"/>
    </row>
    <row r="68" spans="1:39" ht="14.25" customHeight="1" x14ac:dyDescent="0.25">
      <c r="A68" t="str">
        <f t="shared" si="0"/>
        <v>Section 9: Communications Protocol</v>
      </c>
      <c r="B68" t="s">
        <v>273</v>
      </c>
      <c r="C68"/>
      <c r="D68"/>
      <c r="E68"/>
      <c r="F68"/>
      <c r="G68"/>
      <c r="H68"/>
      <c r="I68"/>
      <c r="J68"/>
      <c r="K68"/>
      <c r="L68"/>
      <c r="M68"/>
      <c r="N68"/>
      <c r="O68"/>
      <c r="P68"/>
      <c r="Q68"/>
      <c r="R68"/>
      <c r="S68"/>
      <c r="T68"/>
      <c r="U68"/>
      <c r="V68"/>
      <c r="W68"/>
      <c r="X68"/>
      <c r="Y68"/>
      <c r="Z68"/>
      <c r="AA68"/>
      <c r="AB68"/>
      <c r="AC68"/>
      <c r="AD68"/>
      <c r="AE68"/>
      <c r="AF68"/>
      <c r="AG68"/>
      <c r="AH68"/>
      <c r="AI68"/>
      <c r="AJ68"/>
      <c r="AK68"/>
      <c r="AL68"/>
      <c r="AM68"/>
    </row>
    <row r="69" spans="1:39" ht="14.25" customHeight="1" x14ac:dyDescent="0.25">
      <c r="A69" t="str">
        <f t="shared" si="0"/>
        <v xml:space="preserve">Signage </v>
      </c>
      <c r="B69" t="s">
        <v>187</v>
      </c>
      <c r="C69"/>
      <c r="D69"/>
      <c r="E69"/>
      <c r="F69"/>
      <c r="G69"/>
      <c r="H69"/>
      <c r="I69"/>
      <c r="J69"/>
      <c r="K69"/>
      <c r="L69"/>
      <c r="M69"/>
      <c r="N69"/>
      <c r="O69"/>
      <c r="P69"/>
      <c r="Q69"/>
      <c r="R69"/>
      <c r="S69"/>
      <c r="T69"/>
      <c r="U69"/>
      <c r="V69"/>
      <c r="W69"/>
      <c r="X69"/>
      <c r="Y69"/>
      <c r="Z69"/>
      <c r="AA69"/>
      <c r="AB69"/>
      <c r="AC69"/>
      <c r="AD69"/>
      <c r="AE69"/>
      <c r="AF69"/>
      <c r="AG69"/>
      <c r="AH69"/>
      <c r="AI69"/>
      <c r="AJ69"/>
      <c r="AK69"/>
      <c r="AL69"/>
      <c r="AM69"/>
    </row>
    <row r="70" spans="1:39" ht="14.25" customHeight="1" x14ac:dyDescent="0.25">
      <c r="A70" t="str">
        <f t="shared" si="0"/>
        <v>Opening Ceremony - Date</v>
      </c>
      <c r="B70" t="s">
        <v>274</v>
      </c>
      <c r="C70"/>
      <c r="D70"/>
      <c r="E70"/>
      <c r="F70"/>
      <c r="G70"/>
      <c r="H70"/>
      <c r="I70"/>
      <c r="J70"/>
      <c r="K70"/>
      <c r="L70"/>
      <c r="M70"/>
      <c r="N70"/>
      <c r="O70"/>
      <c r="P70"/>
      <c r="Q70"/>
      <c r="R70"/>
      <c r="S70"/>
      <c r="T70"/>
      <c r="U70"/>
      <c r="V70"/>
      <c r="W70"/>
      <c r="X70"/>
      <c r="Y70"/>
      <c r="Z70"/>
      <c r="AA70"/>
      <c r="AB70"/>
      <c r="AC70"/>
      <c r="AD70"/>
      <c r="AE70"/>
      <c r="AF70"/>
      <c r="AG70"/>
      <c r="AH70"/>
      <c r="AI70"/>
      <c r="AJ70"/>
      <c r="AK70"/>
      <c r="AL70"/>
      <c r="AM70"/>
    </row>
    <row r="71" spans="1:39" ht="14.25" customHeight="1" x14ac:dyDescent="0.25">
      <c r="A71" t="str">
        <f t="shared" ref="A71:A89" si="1">IF($A$1="English",B71,C71)</f>
        <v xml:space="preserve">Section 10: General Comments </v>
      </c>
      <c r="B71" t="s">
        <v>275</v>
      </c>
      <c r="C71" t="s">
        <v>276</v>
      </c>
      <c r="D71"/>
      <c r="E71"/>
      <c r="F71"/>
      <c r="G71"/>
      <c r="H71"/>
      <c r="I71"/>
      <c r="J71"/>
      <c r="K71"/>
      <c r="L71"/>
      <c r="M71"/>
      <c r="N71"/>
      <c r="O71"/>
      <c r="P71"/>
      <c r="Q71"/>
      <c r="R71"/>
      <c r="S71"/>
      <c r="T71"/>
      <c r="U71"/>
      <c r="V71"/>
      <c r="W71"/>
      <c r="X71"/>
      <c r="Y71"/>
      <c r="Z71"/>
      <c r="AA71"/>
      <c r="AB71"/>
      <c r="AC71"/>
      <c r="AD71"/>
      <c r="AE71"/>
      <c r="AF71"/>
      <c r="AG71"/>
      <c r="AH71"/>
      <c r="AI71"/>
      <c r="AJ71"/>
      <c r="AK71"/>
      <c r="AL71"/>
      <c r="AM71"/>
    </row>
    <row r="72" spans="1:39" ht="14.25" customHeight="1" x14ac:dyDescent="0.25">
      <c r="A72" t="str">
        <f t="shared" si="1"/>
        <v xml:space="preserve">Section 10: Project Risks and Mitigation Stategies </v>
      </c>
      <c r="B72" t="s">
        <v>277</v>
      </c>
      <c r="C72"/>
      <c r="D72"/>
      <c r="E72"/>
      <c r="F72"/>
      <c r="G72"/>
      <c r="H72"/>
      <c r="I72"/>
      <c r="J72"/>
      <c r="K72"/>
      <c r="L72"/>
      <c r="M72"/>
      <c r="N72"/>
      <c r="O72"/>
      <c r="P72"/>
      <c r="Q72"/>
      <c r="R72"/>
      <c r="S72"/>
      <c r="T72"/>
      <c r="U72"/>
      <c r="V72"/>
      <c r="W72"/>
      <c r="X72"/>
      <c r="Y72"/>
      <c r="Z72"/>
      <c r="AA72"/>
      <c r="AB72"/>
      <c r="AC72"/>
      <c r="AD72"/>
      <c r="AE72"/>
      <c r="AF72"/>
      <c r="AG72"/>
      <c r="AH72"/>
      <c r="AI72"/>
      <c r="AJ72"/>
      <c r="AK72"/>
      <c r="AL72"/>
      <c r="AM72"/>
    </row>
    <row r="73" spans="1:39" ht="14.25" customHeight="1" x14ac:dyDescent="0.25">
      <c r="A73" t="str">
        <f t="shared" si="1"/>
        <v>Risk Type</v>
      </c>
      <c r="B73" t="s">
        <v>278</v>
      </c>
      <c r="C73"/>
      <c r="D73"/>
      <c r="E73"/>
      <c r="F73"/>
      <c r="G73"/>
      <c r="H73"/>
      <c r="I73"/>
      <c r="J73"/>
      <c r="K73"/>
      <c r="L73"/>
      <c r="M73"/>
      <c r="N73"/>
      <c r="O73"/>
      <c r="P73"/>
      <c r="Q73"/>
      <c r="R73"/>
      <c r="S73"/>
      <c r="T73"/>
      <c r="U73"/>
      <c r="V73"/>
      <c r="W73"/>
      <c r="X73"/>
      <c r="Y73"/>
      <c r="Z73"/>
      <c r="AA73"/>
      <c r="AB73"/>
      <c r="AC73"/>
      <c r="AD73"/>
      <c r="AE73"/>
      <c r="AF73"/>
      <c r="AG73"/>
      <c r="AH73"/>
      <c r="AI73"/>
      <c r="AJ73"/>
      <c r="AK73"/>
      <c r="AL73"/>
      <c r="AM73"/>
    </row>
    <row r="74" spans="1:39" ht="14.1" customHeight="1" x14ac:dyDescent="0.25">
      <c r="A74" t="str">
        <f t="shared" si="1"/>
        <v>Risk Rating</v>
      </c>
      <c r="B74" t="s">
        <v>279</v>
      </c>
      <c r="C74"/>
      <c r="D74"/>
      <c r="E74"/>
      <c r="F74"/>
      <c r="G74"/>
      <c r="H74"/>
      <c r="I74"/>
      <c r="J74"/>
      <c r="K74"/>
      <c r="L74"/>
      <c r="M74"/>
      <c r="N74"/>
      <c r="O74"/>
      <c r="P74"/>
      <c r="Q74"/>
      <c r="R74"/>
      <c r="S74"/>
      <c r="T74"/>
      <c r="U74"/>
      <c r="V74"/>
      <c r="W74"/>
      <c r="X74"/>
      <c r="Y74"/>
      <c r="Z74"/>
      <c r="AA74"/>
      <c r="AB74"/>
      <c r="AC74"/>
      <c r="AD74"/>
      <c r="AE74"/>
      <c r="AF74"/>
      <c r="AG74"/>
      <c r="AH74"/>
      <c r="AI74"/>
      <c r="AJ74"/>
      <c r="AK74"/>
      <c r="AL74"/>
      <c r="AM74"/>
    </row>
    <row r="75" spans="1:39" ht="14.1" customHeight="1" x14ac:dyDescent="0.25">
      <c r="A75" t="str">
        <f t="shared" si="1"/>
        <v>Risk Exposure Start Date</v>
      </c>
      <c r="B75" t="s">
        <v>280</v>
      </c>
      <c r="C75"/>
      <c r="D75"/>
      <c r="E75"/>
      <c r="F75"/>
      <c r="G75"/>
      <c r="H75"/>
      <c r="I75"/>
      <c r="J75"/>
      <c r="K75"/>
      <c r="L75"/>
      <c r="M75"/>
      <c r="N75"/>
      <c r="O75"/>
      <c r="P75"/>
      <c r="Q75"/>
      <c r="R75"/>
      <c r="S75"/>
      <c r="T75"/>
      <c r="U75"/>
      <c r="V75"/>
      <c r="W75"/>
      <c r="X75"/>
      <c r="Y75"/>
      <c r="Z75"/>
      <c r="AA75"/>
      <c r="AB75"/>
      <c r="AC75"/>
      <c r="AD75"/>
      <c r="AE75"/>
      <c r="AF75"/>
      <c r="AG75"/>
      <c r="AH75"/>
      <c r="AI75"/>
      <c r="AJ75"/>
      <c r="AK75"/>
      <c r="AL75"/>
      <c r="AM75"/>
    </row>
    <row r="76" spans="1:39" ht="14.1" customHeight="1" x14ac:dyDescent="0.25">
      <c r="A76" t="str">
        <f t="shared" si="1"/>
        <v>Min-Max Cost of Risk ($M)</v>
      </c>
      <c r="B76" t="s">
        <v>281</v>
      </c>
      <c r="C76"/>
      <c r="D76"/>
      <c r="E76"/>
      <c r="F76"/>
      <c r="G76"/>
      <c r="H76"/>
      <c r="I76"/>
      <c r="J76"/>
      <c r="K76"/>
      <c r="L76"/>
      <c r="M76"/>
      <c r="N76"/>
      <c r="O76"/>
      <c r="P76"/>
      <c r="Q76"/>
      <c r="R76"/>
      <c r="S76"/>
      <c r="T76"/>
      <c r="U76"/>
      <c r="V76"/>
      <c r="W76"/>
      <c r="X76"/>
      <c r="Y76"/>
      <c r="Z76"/>
      <c r="AA76"/>
      <c r="AB76"/>
      <c r="AC76"/>
      <c r="AD76"/>
      <c r="AE76"/>
      <c r="AF76"/>
      <c r="AG76"/>
      <c r="AH76"/>
      <c r="AI76"/>
      <c r="AJ76"/>
      <c r="AK76"/>
      <c r="AL76"/>
      <c r="AM76"/>
    </row>
    <row r="77" spans="1:39" ht="14.1" customHeight="1" x14ac:dyDescent="0.25">
      <c r="A77" t="str">
        <f t="shared" si="1"/>
        <v>Min-Max Delay of Risk (Months)</v>
      </c>
      <c r="B77" t="s">
        <v>282</v>
      </c>
      <c r="C77"/>
      <c r="D77"/>
      <c r="E77"/>
      <c r="F77"/>
      <c r="G77"/>
      <c r="H77"/>
      <c r="I77"/>
      <c r="J77"/>
      <c r="K77"/>
      <c r="L77"/>
      <c r="M77"/>
      <c r="N77"/>
      <c r="O77"/>
      <c r="P77"/>
      <c r="Q77"/>
      <c r="R77"/>
      <c r="S77"/>
      <c r="T77"/>
      <c r="U77"/>
      <c r="V77"/>
      <c r="W77"/>
      <c r="X77"/>
      <c r="Y77"/>
      <c r="Z77"/>
      <c r="AA77"/>
      <c r="AB77"/>
      <c r="AC77"/>
      <c r="AD77"/>
      <c r="AE77"/>
      <c r="AF77"/>
      <c r="AG77"/>
      <c r="AH77"/>
      <c r="AI77"/>
      <c r="AJ77"/>
      <c r="AK77"/>
      <c r="AL77"/>
      <c r="AM77"/>
    </row>
    <row r="78" spans="1:39" ht="14.1" customHeight="1" x14ac:dyDescent="0.25">
      <c r="A78" t="str">
        <f t="shared" si="1"/>
        <v>Mitigation Stategies/Comments</v>
      </c>
      <c r="B78" t="s">
        <v>283</v>
      </c>
      <c r="C78"/>
      <c r="D78"/>
      <c r="E78"/>
      <c r="F78"/>
      <c r="G78"/>
      <c r="H78"/>
      <c r="I78"/>
      <c r="J78"/>
      <c r="K78"/>
      <c r="L78"/>
      <c r="M78"/>
      <c r="N78"/>
      <c r="O78"/>
      <c r="P78"/>
      <c r="Q78"/>
      <c r="R78"/>
      <c r="S78"/>
      <c r="T78"/>
      <c r="U78"/>
      <c r="V78"/>
      <c r="W78"/>
      <c r="X78"/>
      <c r="Y78"/>
      <c r="Z78"/>
      <c r="AA78"/>
      <c r="AB78"/>
      <c r="AC78"/>
      <c r="AD78"/>
      <c r="AE78"/>
      <c r="AF78"/>
      <c r="AG78"/>
      <c r="AH78"/>
      <c r="AI78"/>
      <c r="AJ78"/>
      <c r="AK78"/>
      <c r="AL78"/>
      <c r="AM78"/>
    </row>
    <row r="79" spans="1:39" ht="14.25" customHeight="1" x14ac:dyDescent="0.25">
      <c r="A79" t="str">
        <f t="shared" si="1"/>
        <v>CA Comments</v>
      </c>
      <c r="B79" t="s">
        <v>284</v>
      </c>
      <c r="C79"/>
      <c r="D79"/>
      <c r="E79"/>
      <c r="F79"/>
      <c r="G79"/>
      <c r="H79"/>
      <c r="I79"/>
      <c r="J79"/>
      <c r="K79"/>
      <c r="L79"/>
      <c r="M79"/>
      <c r="N79"/>
      <c r="O79"/>
      <c r="P79"/>
      <c r="Q79"/>
      <c r="R79"/>
      <c r="S79"/>
      <c r="T79"/>
      <c r="U79"/>
      <c r="V79"/>
      <c r="W79"/>
      <c r="X79"/>
      <c r="Y79"/>
      <c r="Z79"/>
      <c r="AA79"/>
      <c r="AB79"/>
      <c r="AC79"/>
      <c r="AD79"/>
      <c r="AE79"/>
      <c r="AF79"/>
      <c r="AG79"/>
      <c r="AH79"/>
      <c r="AI79"/>
      <c r="AJ79"/>
      <c r="AK79"/>
      <c r="AL79"/>
      <c r="AM79"/>
    </row>
    <row r="80" spans="1:39" ht="14.25" customHeight="1" x14ac:dyDescent="0.25">
      <c r="A80" t="str">
        <f t="shared" si="1"/>
        <v>Contract Awarded</v>
      </c>
      <c r="B80" t="s">
        <v>285</v>
      </c>
      <c r="C80"/>
      <c r="D80"/>
      <c r="E80"/>
      <c r="F80"/>
      <c r="G80"/>
      <c r="H80"/>
      <c r="I80"/>
      <c r="J80"/>
      <c r="K80"/>
      <c r="L80"/>
      <c r="M80"/>
      <c r="N80"/>
      <c r="O80"/>
      <c r="P80"/>
      <c r="Q80"/>
      <c r="R80"/>
      <c r="S80"/>
      <c r="T80"/>
      <c r="U80"/>
      <c r="V80"/>
      <c r="W80"/>
      <c r="X80"/>
      <c r="Y80"/>
      <c r="Z80"/>
      <c r="AA80"/>
      <c r="AB80"/>
      <c r="AC80"/>
      <c r="AD80"/>
      <c r="AE80"/>
      <c r="AF80"/>
      <c r="AG80"/>
      <c r="AH80"/>
      <c r="AI80"/>
      <c r="AJ80"/>
      <c r="AK80"/>
      <c r="AL80"/>
      <c r="AM80"/>
    </row>
    <row r="81" spans="1:39" ht="14.25" customHeight="1" x14ac:dyDescent="0.25">
      <c r="A81" t="str">
        <f t="shared" si="1"/>
        <v>Build Permit Obtained</v>
      </c>
      <c r="B81" t="s">
        <v>49</v>
      </c>
      <c r="C81"/>
      <c r="D81"/>
      <c r="E81"/>
      <c r="F81"/>
      <c r="G81"/>
      <c r="H81"/>
      <c r="I81"/>
      <c r="J81"/>
      <c r="K81"/>
      <c r="L81"/>
      <c r="M81"/>
      <c r="N81"/>
      <c r="O81"/>
      <c r="P81"/>
      <c r="Q81"/>
      <c r="R81"/>
      <c r="S81"/>
      <c r="T81"/>
      <c r="U81"/>
      <c r="V81"/>
      <c r="W81"/>
      <c r="X81"/>
      <c r="Y81"/>
      <c r="Z81"/>
      <c r="AA81"/>
      <c r="AB81"/>
      <c r="AC81"/>
      <c r="AD81"/>
      <c r="AE81"/>
      <c r="AF81"/>
      <c r="AG81"/>
      <c r="AH81"/>
      <c r="AI81"/>
      <c r="AJ81"/>
      <c r="AK81"/>
      <c r="AL81"/>
      <c r="AM81"/>
    </row>
    <row r="82" spans="1:39" ht="14.25" customHeight="1" x14ac:dyDescent="0.25">
      <c r="A82" t="str">
        <f t="shared" si="1"/>
        <v xml:space="preserve">Site Preparation Cost </v>
      </c>
      <c r="B82" t="s">
        <v>286</v>
      </c>
      <c r="C82"/>
      <c r="D82"/>
      <c r="E82"/>
      <c r="F82"/>
      <c r="G82"/>
      <c r="H82"/>
      <c r="I82"/>
      <c r="J82"/>
      <c r="K82"/>
      <c r="L82"/>
      <c r="M82"/>
      <c r="N82"/>
      <c r="O82"/>
      <c r="P82"/>
      <c r="Q82"/>
      <c r="R82"/>
      <c r="S82"/>
      <c r="T82"/>
      <c r="U82"/>
      <c r="V82"/>
      <c r="W82"/>
      <c r="X82"/>
      <c r="Y82"/>
      <c r="Z82"/>
      <c r="AA82"/>
      <c r="AB82"/>
      <c r="AC82"/>
      <c r="AD82"/>
      <c r="AE82"/>
      <c r="AF82"/>
      <c r="AG82"/>
      <c r="AH82"/>
      <c r="AI82"/>
      <c r="AJ82"/>
      <c r="AK82"/>
      <c r="AL82"/>
      <c r="AM82"/>
    </row>
    <row r="83" spans="1:39" ht="14.25" customHeight="1" x14ac:dyDescent="0.25">
      <c r="A83" t="str">
        <f t="shared" si="1"/>
        <v xml:space="preserve">Site Funding Source </v>
      </c>
      <c r="B83" t="s">
        <v>287</v>
      </c>
      <c r="C83"/>
      <c r="D83"/>
      <c r="E83"/>
      <c r="F83"/>
      <c r="G83"/>
      <c r="H83"/>
      <c r="I83"/>
      <c r="J83"/>
      <c r="K83"/>
      <c r="L83"/>
      <c r="M83"/>
      <c r="N83"/>
      <c r="O83"/>
      <c r="P83"/>
      <c r="Q83"/>
      <c r="R83"/>
      <c r="S83"/>
      <c r="T83"/>
      <c r="U83"/>
      <c r="V83"/>
      <c r="W83"/>
      <c r="X83"/>
      <c r="Y83"/>
      <c r="Z83"/>
      <c r="AA83"/>
      <c r="AB83"/>
      <c r="AC83"/>
      <c r="AD83"/>
      <c r="AE83"/>
      <c r="AF83"/>
      <c r="AG83"/>
      <c r="AH83"/>
      <c r="AI83"/>
      <c r="AJ83"/>
      <c r="AK83"/>
      <c r="AL83"/>
      <c r="AM83"/>
    </row>
    <row r="84" spans="1:39" ht="14.25" customHeight="1" x14ac:dyDescent="0.25">
      <c r="A84" t="str">
        <f t="shared" si="1"/>
        <v>Site Prep/Mobilization</v>
      </c>
      <c r="B84" t="s">
        <v>288</v>
      </c>
      <c r="C84"/>
      <c r="D84"/>
      <c r="E84"/>
      <c r="F84"/>
      <c r="G84"/>
      <c r="H84"/>
      <c r="I84"/>
      <c r="J84"/>
      <c r="K84"/>
      <c r="L84"/>
      <c r="M84"/>
      <c r="N84"/>
      <c r="O84"/>
      <c r="P84"/>
      <c r="Q84"/>
      <c r="R84"/>
      <c r="S84"/>
      <c r="T84"/>
      <c r="U84"/>
      <c r="V84"/>
      <c r="W84"/>
      <c r="X84"/>
      <c r="Y84"/>
      <c r="Z84"/>
      <c r="AA84"/>
      <c r="AB84"/>
      <c r="AC84"/>
      <c r="AD84"/>
      <c r="AE84"/>
      <c r="AF84"/>
      <c r="AG84"/>
      <c r="AH84"/>
      <c r="AI84"/>
      <c r="AJ84"/>
      <c r="AK84"/>
      <c r="AL84"/>
      <c r="AM84"/>
    </row>
    <row r="85" spans="1:39" ht="14.25" customHeight="1" x14ac:dyDescent="0.25">
      <c r="A85" t="str">
        <f t="shared" si="1"/>
        <v xml:space="preserve">Building Cost - Other </v>
      </c>
      <c r="B85" t="s">
        <v>289</v>
      </c>
      <c r="C85"/>
      <c r="D85"/>
      <c r="E85"/>
      <c r="F85"/>
      <c r="G85"/>
      <c r="H85"/>
      <c r="I85"/>
      <c r="J85"/>
      <c r="K85"/>
      <c r="L85"/>
      <c r="M85"/>
      <c r="N85"/>
      <c r="O85"/>
      <c r="P85"/>
      <c r="Q85"/>
      <c r="R85"/>
      <c r="S85"/>
      <c r="T85"/>
      <c r="U85"/>
      <c r="V85"/>
      <c r="W85"/>
      <c r="X85"/>
      <c r="Y85"/>
      <c r="Z85"/>
      <c r="AA85"/>
      <c r="AB85"/>
      <c r="AC85"/>
      <c r="AD85"/>
      <c r="AE85"/>
      <c r="AF85"/>
      <c r="AG85"/>
      <c r="AH85"/>
      <c r="AI85"/>
      <c r="AJ85"/>
      <c r="AK85"/>
      <c r="AL85"/>
      <c r="AM85"/>
    </row>
    <row r="86" spans="1:39" ht="14.25" customHeight="1" x14ac:dyDescent="0.3">
      <c r="A86" t="str">
        <f t="shared" si="1"/>
        <v xml:space="preserve">ALL ESTIMATED DATES = UNBOLDED  
ALL ACTUAL DATES = BOLDED </v>
      </c>
      <c r="B86" s="56" t="s">
        <v>290</v>
      </c>
      <c r="C86"/>
      <c r="D86"/>
      <c r="E86"/>
      <c r="F86"/>
      <c r="G86"/>
      <c r="H86"/>
      <c r="I86"/>
      <c r="J86"/>
      <c r="K86"/>
      <c r="L86"/>
      <c r="M86"/>
      <c r="N86"/>
      <c r="O86"/>
      <c r="P86"/>
      <c r="Q86"/>
      <c r="R86"/>
      <c r="S86"/>
      <c r="T86"/>
      <c r="U86"/>
      <c r="V86"/>
      <c r="W86"/>
      <c r="X86"/>
      <c r="Y86"/>
      <c r="Z86"/>
      <c r="AA86"/>
      <c r="AB86"/>
      <c r="AC86"/>
      <c r="AD86"/>
      <c r="AE86"/>
      <c r="AF86"/>
      <c r="AG86"/>
      <c r="AH86"/>
      <c r="AI86"/>
      <c r="AJ86"/>
      <c r="AK86"/>
      <c r="AL86"/>
      <c r="AM86"/>
    </row>
    <row r="87" spans="1:39" ht="14.25" customHeight="1" x14ac:dyDescent="0.25">
      <c r="A87">
        <f t="shared" si="1"/>
        <v>0</v>
      </c>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row>
    <row r="88" spans="1:39" ht="14.25" customHeight="1" x14ac:dyDescent="0.25">
      <c r="A88">
        <f t="shared" si="1"/>
        <v>0</v>
      </c>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row>
    <row r="89" spans="1:39" ht="14.25" customHeight="1" x14ac:dyDescent="0.25">
      <c r="A89">
        <f t="shared" si="1"/>
        <v>0</v>
      </c>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row>
    <row r="90" spans="1:39" ht="14.25" customHeight="1" x14ac:dyDescent="0.25">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row>
    <row r="91" spans="1:39" ht="14.25" customHeight="1" x14ac:dyDescent="0.25">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row>
    <row r="92" spans="1:39" ht="14.25" customHeight="1" x14ac:dyDescent="0.25">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row>
    <row r="93" spans="1:39" ht="14.25" customHeight="1" x14ac:dyDescent="0.25">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row>
    <row r="94" spans="1:39" ht="14.25" customHeight="1" x14ac:dyDescent="0.35">
      <c r="A94" s="55" t="s">
        <v>8</v>
      </c>
      <c r="B94" s="55" t="s">
        <v>9</v>
      </c>
      <c r="C94" s="55" t="s">
        <v>10</v>
      </c>
      <c r="D94"/>
      <c r="E94"/>
      <c r="F94"/>
      <c r="G94"/>
      <c r="H94"/>
      <c r="I94"/>
      <c r="J94"/>
      <c r="K94"/>
      <c r="L94"/>
      <c r="M94"/>
      <c r="N94"/>
      <c r="O94"/>
      <c r="P94"/>
      <c r="Q94"/>
      <c r="R94"/>
      <c r="S94"/>
      <c r="T94"/>
      <c r="U94"/>
      <c r="V94"/>
      <c r="W94"/>
      <c r="X94"/>
      <c r="Y94"/>
      <c r="Z94"/>
      <c r="AA94"/>
      <c r="AB94"/>
      <c r="AC94"/>
      <c r="AD94"/>
      <c r="AE94"/>
      <c r="AF94"/>
      <c r="AG94"/>
      <c r="AH94"/>
      <c r="AI94"/>
      <c r="AJ94"/>
      <c r="AK94"/>
      <c r="AL94"/>
      <c r="AM94"/>
    </row>
    <row r="95" spans="1:39" ht="14.25" customHeight="1" x14ac:dyDescent="0.25">
      <c r="A95" s="177" t="s">
        <v>0</v>
      </c>
      <c r="B95" s="177"/>
      <c r="C95" s="177"/>
      <c r="D95"/>
      <c r="E95"/>
      <c r="F95"/>
      <c r="G95"/>
      <c r="H95"/>
      <c r="I95"/>
      <c r="J95"/>
      <c r="K95"/>
      <c r="L95"/>
      <c r="M95"/>
      <c r="N95"/>
      <c r="O95"/>
      <c r="P95"/>
      <c r="Q95"/>
      <c r="R95"/>
      <c r="S95"/>
      <c r="T95"/>
      <c r="U95"/>
      <c r="V95"/>
      <c r="W95"/>
      <c r="X95"/>
      <c r="Y95"/>
      <c r="Z95"/>
      <c r="AA95"/>
      <c r="AB95"/>
      <c r="AC95"/>
      <c r="AD95"/>
      <c r="AE95"/>
      <c r="AF95"/>
      <c r="AG95"/>
      <c r="AH95"/>
      <c r="AI95"/>
      <c r="AJ95"/>
      <c r="AK95"/>
      <c r="AL95"/>
      <c r="AM95"/>
    </row>
    <row r="96" spans="1:39" ht="14.25" customHeight="1" x14ac:dyDescent="0.25">
      <c r="A96" s="36" t="s">
        <v>11</v>
      </c>
      <c r="B96" s="36" t="s">
        <v>12</v>
      </c>
      <c r="C96" s="36" t="s">
        <v>13</v>
      </c>
      <c r="D96"/>
      <c r="E96"/>
      <c r="F96"/>
      <c r="G96"/>
      <c r="H96"/>
      <c r="I96"/>
      <c r="J96"/>
      <c r="K96"/>
      <c r="L96"/>
      <c r="M96"/>
      <c r="N96"/>
      <c r="O96"/>
      <c r="P96"/>
      <c r="Q96"/>
      <c r="R96"/>
      <c r="S96"/>
      <c r="T96"/>
      <c r="U96"/>
      <c r="V96"/>
      <c r="W96"/>
      <c r="X96"/>
      <c r="Y96"/>
      <c r="Z96"/>
      <c r="AA96"/>
      <c r="AB96"/>
      <c r="AC96"/>
      <c r="AD96"/>
      <c r="AE96"/>
      <c r="AF96"/>
      <c r="AG96"/>
      <c r="AH96"/>
      <c r="AI96"/>
      <c r="AJ96"/>
      <c r="AK96"/>
      <c r="AL96"/>
      <c r="AM96"/>
    </row>
    <row r="97" spans="1:39" ht="14.25" customHeight="1" x14ac:dyDescent="0.25">
      <c r="A97" t="str">
        <f t="shared" ref="A97:A126" si="2">IF($A$1="English",B97,C97)</f>
        <v>Project Info</v>
      </c>
      <c r="B97" t="s">
        <v>14</v>
      </c>
      <c r="C97" s="36"/>
      <c r="D97"/>
      <c r="E97"/>
      <c r="F97"/>
      <c r="G97"/>
      <c r="H97"/>
      <c r="I97"/>
      <c r="J97"/>
      <c r="K97"/>
      <c r="L97"/>
      <c r="M97"/>
      <c r="N97"/>
      <c r="O97"/>
      <c r="P97"/>
      <c r="Q97"/>
      <c r="R97"/>
      <c r="S97"/>
      <c r="T97"/>
      <c r="U97"/>
      <c r="V97"/>
      <c r="W97"/>
      <c r="X97"/>
      <c r="Y97"/>
      <c r="Z97"/>
      <c r="AA97"/>
      <c r="AB97"/>
      <c r="AC97"/>
      <c r="AD97"/>
      <c r="AE97"/>
      <c r="AF97"/>
      <c r="AG97"/>
      <c r="AH97"/>
      <c r="AI97"/>
      <c r="AJ97"/>
      <c r="AK97"/>
      <c r="AL97"/>
      <c r="AM97"/>
    </row>
    <row r="98" spans="1:39" ht="14.25" customHeight="1" x14ac:dyDescent="0.25">
      <c r="A98" t="str">
        <f t="shared" si="2"/>
        <v xml:space="preserve">Key </v>
      </c>
      <c r="B98" t="s">
        <v>15</v>
      </c>
      <c r="C98"/>
      <c r="D98"/>
      <c r="E98"/>
      <c r="F98"/>
      <c r="G98"/>
      <c r="H98"/>
      <c r="I98"/>
      <c r="J98"/>
      <c r="K98"/>
      <c r="L98"/>
      <c r="M98"/>
      <c r="N98"/>
      <c r="O98"/>
      <c r="P98"/>
      <c r="Q98"/>
      <c r="R98"/>
      <c r="S98"/>
      <c r="T98"/>
      <c r="U98"/>
      <c r="V98"/>
      <c r="W98"/>
      <c r="X98"/>
      <c r="Y98"/>
      <c r="Z98"/>
      <c r="AA98"/>
      <c r="AB98"/>
      <c r="AC98"/>
      <c r="AD98"/>
      <c r="AE98"/>
      <c r="AF98"/>
      <c r="AG98"/>
      <c r="AH98"/>
      <c r="AI98"/>
      <c r="AJ98"/>
      <c r="AK98"/>
      <c r="AL98"/>
      <c r="AM98"/>
    </row>
    <row r="99" spans="1:39" ht="14.25" customHeight="1" x14ac:dyDescent="0.25">
      <c r="A99" t="str">
        <f t="shared" si="2"/>
        <v>Project ID</v>
      </c>
      <c r="B99" t="s">
        <v>1</v>
      </c>
      <c r="C99" s="57" t="s">
        <v>16</v>
      </c>
      <c r="D99"/>
      <c r="E99"/>
      <c r="F99"/>
      <c r="G99"/>
      <c r="H99"/>
      <c r="I99"/>
      <c r="J99"/>
      <c r="K99"/>
      <c r="L99"/>
      <c r="M99"/>
      <c r="N99"/>
      <c r="O99"/>
      <c r="P99"/>
      <c r="Q99"/>
      <c r="R99"/>
      <c r="S99"/>
      <c r="T99"/>
      <c r="U99"/>
      <c r="V99"/>
      <c r="W99"/>
      <c r="X99"/>
      <c r="Y99"/>
      <c r="Z99"/>
      <c r="AA99"/>
      <c r="AB99"/>
      <c r="AC99"/>
      <c r="AD99"/>
      <c r="AE99"/>
      <c r="AF99"/>
      <c r="AG99"/>
      <c r="AH99"/>
      <c r="AI99"/>
      <c r="AJ99"/>
      <c r="AK99"/>
      <c r="AL99"/>
      <c r="AM99"/>
    </row>
    <row r="100" spans="1:39" ht="14.25" customHeight="1" x14ac:dyDescent="0.25">
      <c r="A100" t="str">
        <f t="shared" si="2"/>
        <v xml:space="preserve">Project Name </v>
      </c>
      <c r="B100" t="s">
        <v>17</v>
      </c>
      <c r="C100" t="s">
        <v>4</v>
      </c>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row>
    <row r="101" spans="1:39" ht="14.25" customHeight="1" x14ac:dyDescent="0.25">
      <c r="A101" t="str">
        <f t="shared" si="2"/>
        <v>Phase 1 - Start</v>
      </c>
      <c r="B101" t="s">
        <v>18</v>
      </c>
      <c r="C101" t="s">
        <v>19</v>
      </c>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row>
    <row r="102" spans="1:39" ht="14.25" customHeight="1" x14ac:dyDescent="0.25">
      <c r="A102" t="str">
        <f t="shared" si="2"/>
        <v xml:space="preserve">Phase 1 - End </v>
      </c>
      <c r="B102" t="s">
        <v>20</v>
      </c>
      <c r="C102" t="s">
        <v>21</v>
      </c>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row>
    <row r="103" spans="1:39" ht="14.25" customHeight="1" x14ac:dyDescent="0.25">
      <c r="A103" t="str">
        <f t="shared" si="2"/>
        <v>Phase 2 - Start</v>
      </c>
      <c r="B103" t="s">
        <v>22</v>
      </c>
      <c r="C103" t="s">
        <v>23</v>
      </c>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row>
    <row r="104" spans="1:39" ht="14.25" customHeight="1" x14ac:dyDescent="0.25">
      <c r="A104" t="str">
        <f t="shared" si="2"/>
        <v>Phase 2 - End</v>
      </c>
      <c r="B104" t="s">
        <v>24</v>
      </c>
      <c r="C104" t="s">
        <v>25</v>
      </c>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row>
    <row r="105" spans="1:39" ht="14.25" customHeight="1" x14ac:dyDescent="0.25">
      <c r="A105" t="str">
        <f t="shared" si="2"/>
        <v>Phase 3 - Start</v>
      </c>
      <c r="B105" t="s">
        <v>26</v>
      </c>
      <c r="C105" t="s">
        <v>27</v>
      </c>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row>
    <row r="106" spans="1:39" ht="14.25" customHeight="1" x14ac:dyDescent="0.25">
      <c r="A106" t="str">
        <f t="shared" si="2"/>
        <v xml:space="preserve">Phase 3 - End </v>
      </c>
      <c r="B106" t="s">
        <v>28</v>
      </c>
      <c r="C106" t="s">
        <v>29</v>
      </c>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row>
    <row r="107" spans="1:39" ht="14.25" customHeight="1" x14ac:dyDescent="0.25">
      <c r="A107" t="str">
        <f t="shared" si="2"/>
        <v>Phase 4 - Start</v>
      </c>
      <c r="B107" t="s">
        <v>30</v>
      </c>
      <c r="C107" t="s">
        <v>31</v>
      </c>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row>
    <row r="108" spans="1:39" ht="14.25" customHeight="1" x14ac:dyDescent="0.25">
      <c r="A108" t="str">
        <f t="shared" si="2"/>
        <v>Phase 4 - End</v>
      </c>
      <c r="B108" t="s">
        <v>32</v>
      </c>
      <c r="C108" t="s">
        <v>33</v>
      </c>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row>
    <row r="109" spans="1:39" ht="14.25" customHeight="1" x14ac:dyDescent="0.25">
      <c r="A109" t="str">
        <f t="shared" si="2"/>
        <v>Phase Dates</v>
      </c>
      <c r="B109" t="s">
        <v>34</v>
      </c>
      <c r="C109" t="s">
        <v>35</v>
      </c>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row>
    <row r="110" spans="1:39" ht="14.25" customHeight="1" x14ac:dyDescent="0.25">
      <c r="A110" t="str">
        <f t="shared" si="2"/>
        <v>Key Milestones</v>
      </c>
      <c r="B110" t="s">
        <v>36</v>
      </c>
      <c r="C110" t="s">
        <v>37</v>
      </c>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row>
    <row r="111" spans="1:39" ht="14.25" customHeight="1" x14ac:dyDescent="0.25">
      <c r="A111" t="str">
        <f t="shared" si="2"/>
        <v xml:space="preserve">Site Purchase </v>
      </c>
      <c r="B111" t="s">
        <v>38</v>
      </c>
      <c r="C111" t="s">
        <v>39</v>
      </c>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row>
    <row r="112" spans="1:39" ht="14.25" customHeight="1" x14ac:dyDescent="0.25">
      <c r="A112" t="str">
        <f t="shared" si="2"/>
        <v xml:space="preserve">Space Template Finalized </v>
      </c>
      <c r="B112" t="s">
        <v>40</v>
      </c>
      <c r="C112" t="s">
        <v>41</v>
      </c>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row>
    <row r="113" spans="1:39" ht="14.25" customHeight="1" x14ac:dyDescent="0.25">
      <c r="A113" t="str">
        <f t="shared" si="2"/>
        <v xml:space="preserve">Signed Joint Use Agreement </v>
      </c>
      <c r="B113" s="54" t="s">
        <v>42</v>
      </c>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row>
    <row r="114" spans="1:39" ht="14.25" customHeight="1" x14ac:dyDescent="0.25">
      <c r="A114" t="str">
        <f t="shared" si="2"/>
        <v>80% Design</v>
      </c>
      <c r="B114" t="s">
        <v>43</v>
      </c>
      <c r="C114" t="s">
        <v>44</v>
      </c>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row>
    <row r="115" spans="1:39" ht="14.25" customHeight="1" x14ac:dyDescent="0.25">
      <c r="A115" t="str">
        <f t="shared" si="2"/>
        <v xml:space="preserve">Class A Cost Estimate </v>
      </c>
      <c r="B115" t="s">
        <v>45</v>
      </c>
      <c r="C115" t="s">
        <v>46</v>
      </c>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row>
    <row r="116" spans="1:39" ht="14.25" customHeight="1" x14ac:dyDescent="0.25">
      <c r="A116" t="str">
        <f t="shared" si="2"/>
        <v>Site Plan Approval</v>
      </c>
      <c r="B116" s="54" t="s">
        <v>47</v>
      </c>
      <c r="C116" t="s">
        <v>48</v>
      </c>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row>
    <row r="117" spans="1:39" ht="14.25" customHeight="1" x14ac:dyDescent="0.25">
      <c r="A117" t="str">
        <f t="shared" si="2"/>
        <v>Build Permit Obtained</v>
      </c>
      <c r="B117" s="54" t="s">
        <v>49</v>
      </c>
      <c r="C117" t="s">
        <v>50</v>
      </c>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row>
    <row r="118" spans="1:39" ht="14.25" customHeight="1" x14ac:dyDescent="0.25">
      <c r="A118" t="str">
        <f t="shared" si="2"/>
        <v xml:space="preserve">Tender Issued </v>
      </c>
      <c r="B118" s="54" t="s">
        <v>51</v>
      </c>
      <c r="C118" t="s">
        <v>52</v>
      </c>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row>
    <row r="119" spans="1:39" ht="14.25" customHeight="1" x14ac:dyDescent="0.25">
      <c r="A119" t="str">
        <f t="shared" si="2"/>
        <v>Construction Start</v>
      </c>
      <c r="B119" t="s">
        <v>53</v>
      </c>
      <c r="C119" t="s">
        <v>54</v>
      </c>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row>
    <row r="120" spans="1:39" ht="14.25" customHeight="1" x14ac:dyDescent="0.25">
      <c r="A120" t="str">
        <f t="shared" si="2"/>
        <v xml:space="preserve">School/Addition Opening </v>
      </c>
      <c r="B120" t="s">
        <v>55</v>
      </c>
      <c r="C120" t="s">
        <v>56</v>
      </c>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row>
    <row r="121" spans="1:39" ht="14.25" customHeight="1" x14ac:dyDescent="0.25">
      <c r="A121" t="str">
        <f t="shared" si="2"/>
        <v>Project Reconciliation</v>
      </c>
      <c r="B121" t="s">
        <v>57</v>
      </c>
      <c r="C121" t="s">
        <v>58</v>
      </c>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row>
    <row r="122" spans="1:39" ht="14.25" customHeight="1" x14ac:dyDescent="0.25">
      <c r="A122" t="str">
        <f t="shared" si="2"/>
        <v>Funding Requested</v>
      </c>
      <c r="B122" t="s">
        <v>59</v>
      </c>
      <c r="C122" t="s">
        <v>60</v>
      </c>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row>
    <row r="123" spans="1:39" ht="14.25" customHeight="1" x14ac:dyDescent="0.25">
      <c r="A123" t="str">
        <f t="shared" si="2"/>
        <v>Cost of Project (Excluding Site)</v>
      </c>
      <c r="B123" t="s">
        <v>61</v>
      </c>
      <c r="C123" t="s">
        <v>62</v>
      </c>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row>
    <row r="124" spans="1:39" ht="14.25" customHeight="1" x14ac:dyDescent="0.25">
      <c r="A124" t="str">
        <f t="shared" si="2"/>
        <v>Total Cost of Project (Including Site)</v>
      </c>
      <c r="B124" t="s">
        <v>63</v>
      </c>
      <c r="C124" t="s">
        <v>64</v>
      </c>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row>
    <row r="125" spans="1:39" ht="14.25" customHeight="1" x14ac:dyDescent="0.25">
      <c r="A125" t="str">
        <f t="shared" si="2"/>
        <v xml:space="preserve">Total CP Request </v>
      </c>
      <c r="B125" s="54" t="s">
        <v>65</v>
      </c>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row>
    <row r="126" spans="1:39" ht="14.25" customHeight="1" x14ac:dyDescent="0.25">
      <c r="A126" t="str">
        <f t="shared" si="2"/>
        <v xml:space="preserve">Total Child Care Request </v>
      </c>
      <c r="B126" s="54" t="s">
        <v>66</v>
      </c>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row>
    <row r="127" spans="1:39" ht="14.25" customHeight="1" x14ac:dyDescent="0.25">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row>
    <row r="128" spans="1:39" ht="14.25" customHeight="1" x14ac:dyDescent="0.25">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row>
    <row r="129" spans="1:39" ht="14.25" customHeight="1" x14ac:dyDescent="0.25">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row>
    <row r="130" spans="1:39" ht="14.25" customHeight="1" x14ac:dyDescent="0.25">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row>
    <row r="131" spans="1:39" ht="14.25" customHeight="1" x14ac:dyDescent="0.25">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row>
    <row r="132" spans="1:39" ht="14.25" customHeight="1" x14ac:dyDescent="0.25">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row>
    <row r="133" spans="1:39" ht="14.25" customHeight="1" x14ac:dyDescent="0.25">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row>
    <row r="134" spans="1:39" ht="14.25" customHeight="1" x14ac:dyDescent="0.25">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row>
    <row r="135" spans="1:39" ht="14.25" customHeight="1" x14ac:dyDescent="0.25">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row>
    <row r="136" spans="1:39" ht="14.25" customHeight="1" x14ac:dyDescent="0.25">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row>
    <row r="137" spans="1:39" ht="14.25" customHeight="1" x14ac:dyDescent="0.25">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row>
    <row r="138" spans="1:39" ht="14.25" customHeight="1" x14ac:dyDescent="0.25">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row>
    <row r="139" spans="1:39" ht="14.25" customHeight="1" x14ac:dyDescent="0.25">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row>
    <row r="140" spans="1:39" ht="14.25" customHeight="1" x14ac:dyDescent="0.25">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row>
    <row r="141" spans="1:39" ht="14.25" customHeight="1" x14ac:dyDescent="0.25">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row>
    <row r="142" spans="1:39" ht="14.25" customHeight="1" x14ac:dyDescent="0.25">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row>
    <row r="143" spans="1:39" ht="14.25" customHeight="1" x14ac:dyDescent="0.25">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row>
    <row r="144" spans="1:39" ht="14.25" customHeight="1" x14ac:dyDescent="0.25">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row>
    <row r="145" spans="1:39" ht="14.25" customHeight="1" x14ac:dyDescent="0.25">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row>
    <row r="146" spans="1:39" ht="14.25" customHeight="1" x14ac:dyDescent="0.25">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row>
    <row r="147" spans="1:39" ht="14.25" customHeight="1" x14ac:dyDescent="0.25">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row>
    <row r="148" spans="1:39" ht="14.25" customHeight="1" x14ac:dyDescent="0.25">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row>
    <row r="149" spans="1:39" ht="14.25" customHeight="1" x14ac:dyDescent="0.25">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row>
    <row r="150" spans="1:39" ht="14.25" customHeight="1" x14ac:dyDescent="0.25">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row>
    <row r="151" spans="1:39" ht="14.25" customHeight="1" x14ac:dyDescent="0.25">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row>
    <row r="152" spans="1:39" ht="14.25" customHeight="1" x14ac:dyDescent="0.25">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row>
    <row r="153" spans="1:39" ht="14.25" customHeight="1" x14ac:dyDescent="0.25">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row>
    <row r="154" spans="1:39" ht="14.25" customHeight="1" x14ac:dyDescent="0.25">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row>
    <row r="155" spans="1:39" ht="14.25" customHeight="1" x14ac:dyDescent="0.25">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row>
    <row r="156" spans="1:39" ht="14.25" customHeight="1" x14ac:dyDescent="0.25">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row>
    <row r="157" spans="1:39" ht="14.25" customHeight="1" x14ac:dyDescent="0.25">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row>
    <row r="158" spans="1:39" ht="14.25" customHeight="1" x14ac:dyDescent="0.25">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row>
    <row r="159" spans="1:39" ht="14.25" customHeight="1" x14ac:dyDescent="0.25">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row>
    <row r="160" spans="1:39" ht="14.25" customHeight="1" x14ac:dyDescent="0.25">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row>
  </sheetData>
  <mergeCells count="2">
    <mergeCell ref="A3:C3"/>
    <mergeCell ref="A95:C9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84086bb-133c-45d3-b01c-16ca9052c0a7">
      <Terms xmlns="http://schemas.microsoft.com/office/infopath/2007/PartnerControls"/>
    </lcf76f155ced4ddcb4097134ff3c332f>
    <TaxCatchAll xmlns="34ea4838-a4b9-4e80-901d-75f025a8c6c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CDB668B227E234DA11F86B367F53E9A" ma:contentTypeVersion="12" ma:contentTypeDescription="Create a new document." ma:contentTypeScope="" ma:versionID="561bc83aff46baadcf624f3ab3f5661d">
  <xsd:schema xmlns:xsd="http://www.w3.org/2001/XMLSchema" xmlns:xs="http://www.w3.org/2001/XMLSchema" xmlns:p="http://schemas.microsoft.com/office/2006/metadata/properties" xmlns:ns2="c84086bb-133c-45d3-b01c-16ca9052c0a7" xmlns:ns3="34ea4838-a4b9-4e80-901d-75f025a8c6c9" targetNamespace="http://schemas.microsoft.com/office/2006/metadata/properties" ma:root="true" ma:fieldsID="ca3ccdd586776fa4d1594d5fb6336d5f" ns2:_="" ns3:_="">
    <xsd:import namespace="c84086bb-133c-45d3-b01c-16ca9052c0a7"/>
    <xsd:import namespace="34ea4838-a4b9-4e80-901d-75f025a8c6c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4086bb-133c-45d3-b01c-16ca9052c0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03f8475-640f-4944-9dcc-2d3788384b7c"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ea4838-a4b9-4e80-901d-75f025a8c6c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bc90e22-0fba-4024-8ccc-52d0d223867a}" ma:internalName="TaxCatchAll" ma:showField="CatchAllData" ma:web="34ea4838-a4b9-4e80-901d-75f025a8c6c9">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1DB81B-CBED-4112-A7D4-C74EE64BDF4E}">
  <ds:schemaRefs>
    <ds:schemaRef ds:uri="http://schemas.microsoft.com/office/2006/metadata/properties"/>
    <ds:schemaRef ds:uri="http://schemas.microsoft.com/office/infopath/2007/PartnerControls"/>
    <ds:schemaRef ds:uri="c84086bb-133c-45d3-b01c-16ca9052c0a7"/>
    <ds:schemaRef ds:uri="34ea4838-a4b9-4e80-901d-75f025a8c6c9"/>
  </ds:schemaRefs>
</ds:datastoreItem>
</file>

<file path=customXml/itemProps2.xml><?xml version="1.0" encoding="utf-8"?>
<ds:datastoreItem xmlns:ds="http://schemas.openxmlformats.org/officeDocument/2006/customXml" ds:itemID="{FB98DD0B-DA64-49C3-9973-D80203D7D1B8}">
  <ds:schemaRefs>
    <ds:schemaRef ds:uri="http://schemas.microsoft.com/sharepoint/v3/contenttype/forms"/>
  </ds:schemaRefs>
</ds:datastoreItem>
</file>

<file path=customXml/itemProps3.xml><?xml version="1.0" encoding="utf-8"?>
<ds:datastoreItem xmlns:ds="http://schemas.openxmlformats.org/officeDocument/2006/customXml" ds:itemID="{A0BFDBB5-79ED-4E9C-AC49-82AAAA5EE4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4086bb-133c-45d3-b01c-16ca9052c0a7"/>
    <ds:schemaRef ds:uri="34ea4838-a4b9-4e80-901d-75f025a8c6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34a106e-6316-442c-ad35-738afd673d2b}" enabled="1" method="Standard" siteId="{cddc1229-ac2a-4b97-b78a-0e5cacb5865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form</vt:lpstr>
      <vt:lpstr>Glossary</vt:lpstr>
      <vt:lpstr>Board Contacts</vt:lpstr>
      <vt:lpstr>Monthly Update</vt:lpstr>
      <vt:lpstr>Basic Project Info</vt:lpstr>
      <vt:lpstr>Ad-Hoc or Potential Projects</vt:lpstr>
      <vt:lpstr>Project Commitment</vt:lpstr>
      <vt:lpstr>Constants</vt:lpstr>
      <vt:lpstr>List</vt:lpstr>
      <vt:lpstr>Translation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McRuer, Geordie (EDU)</dc:creator>
  <cp:keywords/>
  <dc:description/>
  <cp:lastModifiedBy>McRuer, Geordie (EDU)</cp:lastModifiedBy>
  <cp:revision/>
  <dcterms:created xsi:type="dcterms:W3CDTF">2022-09-02T17:27:12Z</dcterms:created>
  <dcterms:modified xsi:type="dcterms:W3CDTF">2026-01-15T19:16:54Z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4a106e-6316-442c-ad35-738afd673d2b_Enabled">
    <vt:lpwstr>true</vt:lpwstr>
  </property>
  <property fmtid="{D5CDD505-2E9C-101B-9397-08002B2CF9AE}" pid="3" name="MSIP_Label_034a106e-6316-442c-ad35-738afd673d2b_SetDate">
    <vt:lpwstr>2022-09-02T17:27:13Z</vt:lpwstr>
  </property>
  <property fmtid="{D5CDD505-2E9C-101B-9397-08002B2CF9AE}" pid="4" name="MSIP_Label_034a106e-6316-442c-ad35-738afd673d2b_Method">
    <vt:lpwstr>Standard</vt:lpwstr>
  </property>
  <property fmtid="{D5CDD505-2E9C-101B-9397-08002B2CF9AE}" pid="5" name="MSIP_Label_034a106e-6316-442c-ad35-738afd673d2b_Name">
    <vt:lpwstr>034a106e-6316-442c-ad35-738afd673d2b</vt:lpwstr>
  </property>
  <property fmtid="{D5CDD505-2E9C-101B-9397-08002B2CF9AE}" pid="6" name="MSIP_Label_034a106e-6316-442c-ad35-738afd673d2b_SiteId">
    <vt:lpwstr>cddc1229-ac2a-4b97-b78a-0e5cacb5865c</vt:lpwstr>
  </property>
  <property fmtid="{D5CDD505-2E9C-101B-9397-08002B2CF9AE}" pid="7" name="MSIP_Label_034a106e-6316-442c-ad35-738afd673d2b_ActionId">
    <vt:lpwstr>8a0667a0-aef9-421c-8e05-db76a19e62e1</vt:lpwstr>
  </property>
  <property fmtid="{D5CDD505-2E9C-101B-9397-08002B2CF9AE}" pid="8" name="MSIP_Label_034a106e-6316-442c-ad35-738afd673d2b_ContentBits">
    <vt:lpwstr>0</vt:lpwstr>
  </property>
  <property fmtid="{D5CDD505-2E9C-101B-9397-08002B2CF9AE}" pid="9" name="ContentTypeId">
    <vt:lpwstr>0x010100CCDB668B227E234DA11F86B367F53E9A</vt:lpwstr>
  </property>
  <property fmtid="{D5CDD505-2E9C-101B-9397-08002B2CF9AE}" pid="10" name="MediaServiceImageTags">
    <vt:lpwstr/>
  </property>
  <property fmtid="{D5CDD505-2E9C-101B-9397-08002B2CF9AE}" pid="11" name="SV_QUERY_LIST_4F35BF76-6C0D-4D9B-82B2-816C12CF3733">
    <vt:lpwstr>empty_477D106A-C0D6-4607-AEBD-E2C9D60EA279</vt:lpwstr>
  </property>
</Properties>
</file>